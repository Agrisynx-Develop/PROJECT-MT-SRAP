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FILE\LAPORAN HARIAN\LAPORAN HARIAN &amp; PAK HJ RUDI\laporan harian\LAPORAN DAGING AGUSTUS 2026\"/>
    </mc:Choice>
  </mc:AlternateContent>
  <bookViews>
    <workbookView xWindow="0" yWindow="0" windowWidth="24000" windowHeight="9315" activeTab="2"/>
  </bookViews>
  <sheets>
    <sheet name="LAP.DAGING" sheetId="5" r:id="rId1"/>
    <sheet name="PROSES" sheetId="4" r:id="rId2"/>
    <sheet name="SALES DAGING" sheetId="3" r:id="rId3"/>
  </sheets>
  <definedNames>
    <definedName name="_xlnm.Print_Area" localSheetId="0">LAP.DAGING!$B$1:$AV$69</definedName>
    <definedName name="_xlnm.Print_Area" localSheetId="1">PROSES!$A$1:$W$27</definedName>
    <definedName name="_xlnm.Print_Area" localSheetId="2">'SALES DAGING'!$B$1:$U$13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3" l="1"/>
  <c r="Q3" i="3" s="1"/>
  <c r="I4" i="3"/>
  <c r="M6" i="3"/>
  <c r="P6" i="3" s="1"/>
  <c r="U6" i="3" s="1"/>
  <c r="J8" i="3"/>
  <c r="N8" i="3"/>
  <c r="S8" i="3"/>
  <c r="C36" i="5" l="1"/>
  <c r="G41" i="5" l="1"/>
  <c r="W13" i="4" l="1"/>
  <c r="W26" i="4" s="1"/>
  <c r="W10" i="4"/>
  <c r="W23" i="4" s="1"/>
  <c r="X25" i="5" l="1"/>
  <c r="X26" i="5"/>
  <c r="X27" i="5"/>
  <c r="X28" i="5"/>
  <c r="X29" i="5"/>
  <c r="X30" i="5"/>
  <c r="X9" i="5"/>
  <c r="X10" i="5"/>
  <c r="X11" i="5"/>
  <c r="X12" i="5"/>
  <c r="AS27" i="5" l="1"/>
  <c r="AS28" i="5"/>
  <c r="AS29" i="5"/>
  <c r="AO27" i="5"/>
  <c r="AO28" i="5"/>
  <c r="AO29" i="5"/>
  <c r="AI27" i="5"/>
  <c r="AI28" i="5"/>
  <c r="AI29" i="5"/>
  <c r="AE27" i="5"/>
  <c r="AE28" i="5"/>
  <c r="AE29" i="5"/>
  <c r="AB27" i="5"/>
  <c r="AB28" i="5"/>
  <c r="AB29" i="5"/>
  <c r="U27" i="5"/>
  <c r="U28" i="5"/>
  <c r="U29" i="5"/>
  <c r="R27" i="5"/>
  <c r="R28" i="5"/>
  <c r="R29" i="5"/>
  <c r="AS30" i="5" l="1"/>
  <c r="AO30" i="5"/>
  <c r="AI30" i="5"/>
  <c r="AE30" i="5"/>
  <c r="AB30" i="5"/>
  <c r="U30" i="5"/>
  <c r="R30" i="5"/>
  <c r="AO26" i="5" l="1"/>
  <c r="AS26" i="5"/>
  <c r="AI26" i="5"/>
  <c r="AE26" i="5"/>
  <c r="AB26" i="5"/>
  <c r="U26" i="5"/>
  <c r="R26" i="5"/>
  <c r="AF31" i="5" l="1"/>
  <c r="J7" i="4" l="1"/>
  <c r="R25" i="5"/>
  <c r="U25" i="5"/>
  <c r="AB25" i="5"/>
  <c r="AE25" i="5"/>
  <c r="AI25" i="5"/>
  <c r="AO25" i="5"/>
  <c r="AS25" i="5"/>
  <c r="R8" i="5" l="1"/>
  <c r="R11" i="5" l="1"/>
  <c r="G25" i="5" l="1"/>
  <c r="G24" i="5"/>
  <c r="U13" i="5" l="1"/>
  <c r="P627" i="5" l="1"/>
  <c r="C41" i="5"/>
  <c r="C40" i="5"/>
  <c r="G39" i="5"/>
  <c r="C39" i="5"/>
  <c r="AD35" i="5"/>
  <c r="AU31" i="5"/>
  <c r="AT31" i="5"/>
  <c r="AQ31" i="5"/>
  <c r="AP31" i="5"/>
  <c r="AN31" i="5"/>
  <c r="W36" i="5" s="1"/>
  <c r="AM31" i="5"/>
  <c r="E35" i="5" s="1"/>
  <c r="I35" i="5" s="1"/>
  <c r="AK31" i="5"/>
  <c r="AJ31" i="5"/>
  <c r="AG31" i="5"/>
  <c r="AD31" i="5"/>
  <c r="AC31" i="5"/>
  <c r="Z31" i="5"/>
  <c r="Y31" i="5"/>
  <c r="W31" i="5"/>
  <c r="V31" i="5"/>
  <c r="T31" i="5"/>
  <c r="S31" i="5"/>
  <c r="AS24" i="5"/>
  <c r="AO24" i="5"/>
  <c r="AL24" i="5"/>
  <c r="AI24" i="5"/>
  <c r="AE24" i="5"/>
  <c r="AB24" i="5"/>
  <c r="X24" i="5"/>
  <c r="U24" i="5"/>
  <c r="R24" i="5"/>
  <c r="Q24" i="5"/>
  <c r="P24" i="5"/>
  <c r="AS23" i="5"/>
  <c r="AO23" i="5"/>
  <c r="AL23" i="5"/>
  <c r="AI23" i="5"/>
  <c r="AE23" i="5"/>
  <c r="AB23" i="5"/>
  <c r="X23" i="5"/>
  <c r="U23" i="5"/>
  <c r="R23" i="5"/>
  <c r="O23" i="5"/>
  <c r="AS22" i="5"/>
  <c r="AO22" i="5"/>
  <c r="AL22" i="5"/>
  <c r="AI22" i="5"/>
  <c r="AE22" i="5"/>
  <c r="AB22" i="5"/>
  <c r="X22" i="5"/>
  <c r="U22" i="5"/>
  <c r="R22" i="5"/>
  <c r="O22" i="5"/>
  <c r="AS21" i="5"/>
  <c r="AO21" i="5"/>
  <c r="AL21" i="5"/>
  <c r="AI21" i="5"/>
  <c r="AE21" i="5"/>
  <c r="AB21" i="5"/>
  <c r="X21" i="5"/>
  <c r="U21" i="5"/>
  <c r="R21" i="5"/>
  <c r="O21" i="5"/>
  <c r="AS20" i="5"/>
  <c r="AO20" i="5"/>
  <c r="AL20" i="5"/>
  <c r="AI20" i="5"/>
  <c r="AE20" i="5"/>
  <c r="AB20" i="5"/>
  <c r="X20" i="5"/>
  <c r="U20" i="5"/>
  <c r="R20" i="5"/>
  <c r="O20" i="5"/>
  <c r="AS19" i="5"/>
  <c r="AO19" i="5"/>
  <c r="AL19" i="5"/>
  <c r="AI19" i="5"/>
  <c r="AE19" i="5"/>
  <c r="AB19" i="5"/>
  <c r="X19" i="5"/>
  <c r="U19" i="5"/>
  <c r="R19" i="5"/>
  <c r="O19" i="5"/>
  <c r="AS18" i="5"/>
  <c r="AO18" i="5"/>
  <c r="AL18" i="5"/>
  <c r="AI18" i="5"/>
  <c r="AE18" i="5"/>
  <c r="AB18" i="5"/>
  <c r="X18" i="5"/>
  <c r="U18" i="5"/>
  <c r="R18" i="5"/>
  <c r="O18" i="5"/>
  <c r="AS17" i="5"/>
  <c r="AO17" i="5"/>
  <c r="AL17" i="5"/>
  <c r="AI17" i="5"/>
  <c r="AE17" i="5"/>
  <c r="AB17" i="5"/>
  <c r="X17" i="5"/>
  <c r="U17" i="5"/>
  <c r="R17" i="5"/>
  <c r="O17" i="5"/>
  <c r="AS16" i="5"/>
  <c r="AO16" i="5"/>
  <c r="AL16" i="5"/>
  <c r="AI16" i="5"/>
  <c r="AE16" i="5"/>
  <c r="AB16" i="5"/>
  <c r="X16" i="5"/>
  <c r="U16" i="5"/>
  <c r="R16" i="5"/>
  <c r="O16" i="5"/>
  <c r="AS15" i="5"/>
  <c r="AO15" i="5"/>
  <c r="AL15" i="5"/>
  <c r="AI15" i="5"/>
  <c r="AE15" i="5"/>
  <c r="AB15" i="5"/>
  <c r="X15" i="5"/>
  <c r="U15" i="5"/>
  <c r="R15" i="5"/>
  <c r="O15" i="5"/>
  <c r="AS14" i="5"/>
  <c r="AO14" i="5"/>
  <c r="AL14" i="5"/>
  <c r="AI14" i="5"/>
  <c r="AE14" i="5"/>
  <c r="AB14" i="5"/>
  <c r="X14" i="5"/>
  <c r="U14" i="5"/>
  <c r="R14" i="5"/>
  <c r="O14" i="5"/>
  <c r="AS13" i="5"/>
  <c r="AO13" i="5"/>
  <c r="AL13" i="5"/>
  <c r="AI13" i="5"/>
  <c r="AE13" i="5"/>
  <c r="AB13" i="5"/>
  <c r="X13" i="5"/>
  <c r="R13" i="5"/>
  <c r="O13" i="5"/>
  <c r="AS12" i="5"/>
  <c r="AO12" i="5"/>
  <c r="AL12" i="5"/>
  <c r="AI12" i="5"/>
  <c r="AE12" i="5"/>
  <c r="AB12" i="5"/>
  <c r="U12" i="5"/>
  <c r="R12" i="5"/>
  <c r="O12" i="5"/>
  <c r="AS11" i="5"/>
  <c r="AO11" i="5"/>
  <c r="AL11" i="5"/>
  <c r="AI11" i="5"/>
  <c r="AE11" i="5"/>
  <c r="AB11" i="5"/>
  <c r="U11" i="5"/>
  <c r="O11" i="5"/>
  <c r="AS10" i="5"/>
  <c r="AO10" i="5"/>
  <c r="AL10" i="5"/>
  <c r="AI10" i="5"/>
  <c r="AE10" i="5"/>
  <c r="AB10" i="5"/>
  <c r="U10" i="5"/>
  <c r="R10" i="5"/>
  <c r="O10" i="5"/>
  <c r="AS9" i="5"/>
  <c r="AO9" i="5"/>
  <c r="AL9" i="5"/>
  <c r="AI9" i="5"/>
  <c r="AE9" i="5"/>
  <c r="AB9" i="5"/>
  <c r="U9" i="5"/>
  <c r="R9" i="5"/>
  <c r="O9" i="5"/>
  <c r="AS8" i="5"/>
  <c r="AO8" i="5"/>
  <c r="AL8" i="5"/>
  <c r="AI8" i="5"/>
  <c r="AE8" i="5"/>
  <c r="AB8" i="5"/>
  <c r="X8" i="5"/>
  <c r="U8" i="5"/>
  <c r="O8" i="5"/>
  <c r="AS7" i="5"/>
  <c r="AO7" i="5"/>
  <c r="AL7" i="5"/>
  <c r="AI7" i="5"/>
  <c r="AE7" i="5"/>
  <c r="AB7" i="5"/>
  <c r="X7" i="5"/>
  <c r="U7" i="5"/>
  <c r="R7" i="5"/>
  <c r="O7" i="5"/>
  <c r="G8" i="5"/>
  <c r="C8" i="5"/>
  <c r="AS6" i="5"/>
  <c r="AO6" i="5"/>
  <c r="AL6" i="5"/>
  <c r="AI6" i="5"/>
  <c r="AE6" i="5"/>
  <c r="AB6" i="5"/>
  <c r="X6" i="5"/>
  <c r="U6" i="5"/>
  <c r="R6" i="5"/>
  <c r="O6" i="5"/>
  <c r="AA3" i="5"/>
  <c r="E24" i="5" l="1"/>
  <c r="I24" i="5" s="1"/>
  <c r="E34" i="5"/>
  <c r="E20" i="5"/>
  <c r="I20" i="5" s="1"/>
  <c r="E39" i="5"/>
  <c r="E7" i="4"/>
  <c r="J9" i="4"/>
  <c r="E8" i="4"/>
  <c r="H7" i="4"/>
  <c r="I7" i="4"/>
  <c r="H12" i="4"/>
  <c r="K7" i="4"/>
  <c r="I9" i="4"/>
  <c r="E9" i="5"/>
  <c r="I9" i="5" s="1"/>
  <c r="D8" i="4"/>
  <c r="E5" i="5"/>
  <c r="I5" i="5" s="1"/>
  <c r="D7" i="4"/>
  <c r="G7" i="4"/>
  <c r="G12" i="4"/>
  <c r="E53" i="5"/>
  <c r="E54" i="5" s="1"/>
  <c r="K11" i="4"/>
  <c r="W11" i="4" s="1"/>
  <c r="W24" i="4" s="1"/>
  <c r="E4" i="5"/>
  <c r="I4" i="5" s="1"/>
  <c r="C7" i="4"/>
  <c r="E8" i="5"/>
  <c r="I8" i="5" s="1"/>
  <c r="C8" i="4"/>
  <c r="E10" i="5"/>
  <c r="E6" i="5"/>
  <c r="AI31" i="5"/>
  <c r="U31" i="5"/>
  <c r="R31" i="5"/>
  <c r="AS31" i="5"/>
  <c r="I58" i="5" s="1"/>
  <c r="AE31" i="5"/>
  <c r="AL31" i="5"/>
  <c r="Z36" i="5"/>
  <c r="AD36" i="5"/>
  <c r="AB31" i="5"/>
  <c r="E41" i="5"/>
  <c r="I41" i="5" s="1"/>
  <c r="O24" i="5"/>
  <c r="AO31" i="5"/>
  <c r="X31" i="5"/>
  <c r="Z34" i="5"/>
  <c r="E36" i="5"/>
  <c r="I36" i="5" s="1"/>
  <c r="Z35" i="5"/>
  <c r="E40" i="5"/>
  <c r="I40" i="5" s="1"/>
  <c r="AD34" i="5"/>
  <c r="I25" i="5"/>
  <c r="W34" i="5"/>
  <c r="W35" i="5"/>
  <c r="AB35" i="5" s="1"/>
  <c r="T35" i="5"/>
  <c r="T34" i="5"/>
  <c r="AG35" i="5"/>
  <c r="E51" i="5"/>
  <c r="E52" i="5" s="1"/>
  <c r="AG34" i="5"/>
  <c r="K3" i="3" l="1"/>
  <c r="W8" i="4"/>
  <c r="F16" i="4" s="1"/>
  <c r="F18" i="4" s="1"/>
  <c r="W12" i="4"/>
  <c r="W25" i="4" s="1"/>
  <c r="I26" i="5"/>
  <c r="W9" i="4"/>
  <c r="W22" i="4" s="1"/>
  <c r="E7" i="5"/>
  <c r="J5" i="5" s="1"/>
  <c r="W7" i="4"/>
  <c r="I53" i="5"/>
  <c r="E11" i="5"/>
  <c r="I10" i="5"/>
  <c r="I11" i="5" s="1"/>
  <c r="I6" i="5"/>
  <c r="I7" i="5" s="1"/>
  <c r="E22" i="5"/>
  <c r="AE35" i="5"/>
  <c r="W37" i="5"/>
  <c r="I21" i="5"/>
  <c r="I22" i="5" s="1"/>
  <c r="E26" i="5"/>
  <c r="Z37" i="5"/>
  <c r="I47" i="5"/>
  <c r="E37" i="5"/>
  <c r="I34" i="5"/>
  <c r="E42" i="5"/>
  <c r="I39" i="5"/>
  <c r="I42" i="5" s="1"/>
  <c r="I45" i="5" s="1"/>
  <c r="T36" i="5"/>
  <c r="AG36" i="5"/>
  <c r="E58" i="5"/>
  <c r="I51" i="5"/>
  <c r="K5" i="3" l="1"/>
  <c r="M5" i="3" s="1"/>
  <c r="P5" i="3" s="1"/>
  <c r="U5" i="3" s="1"/>
  <c r="K7" i="3"/>
  <c r="M7" i="3" s="1"/>
  <c r="P7" i="3" s="1"/>
  <c r="U7" i="3" s="1"/>
  <c r="M3" i="3"/>
  <c r="P3" i="3" s="1"/>
  <c r="W21" i="4"/>
  <c r="I32" i="5"/>
  <c r="Y10" i="4"/>
  <c r="W14" i="4"/>
  <c r="Y7" i="4"/>
  <c r="W20" i="4"/>
  <c r="E29" i="5"/>
  <c r="J20" i="5"/>
  <c r="J21" i="5"/>
  <c r="E15" i="5"/>
  <c r="J4" i="5"/>
  <c r="D66" i="5"/>
  <c r="I18" i="5"/>
  <c r="E45" i="5"/>
  <c r="E47" i="5" s="1"/>
  <c r="D67" i="5"/>
  <c r="I15" i="5"/>
  <c r="I29" i="5"/>
  <c r="I67" i="5"/>
  <c r="I37" i="5"/>
  <c r="I50" i="5" s="1"/>
  <c r="J34" i="5"/>
  <c r="J36" i="5"/>
  <c r="I61" i="5"/>
  <c r="K4" i="3" l="1"/>
  <c r="F3" i="3"/>
  <c r="G3" i="3"/>
  <c r="U3" i="3"/>
  <c r="W27" i="4"/>
  <c r="AA7" i="4"/>
  <c r="E48" i="5"/>
  <c r="I48" i="5" s="1"/>
  <c r="I49" i="5" s="1"/>
  <c r="D68" i="5"/>
  <c r="J39" i="5"/>
  <c r="J61" i="5"/>
  <c r="J68" i="5" s="1"/>
  <c r="E62" i="5"/>
  <c r="I62" i="5"/>
  <c r="I66" i="5"/>
  <c r="I68" i="5" s="1"/>
  <c r="G8" i="3" l="1"/>
  <c r="M4" i="3"/>
  <c r="P4" i="3" s="1"/>
  <c r="K8" i="3"/>
  <c r="M8" i="3" s="1"/>
  <c r="D44" i="5"/>
  <c r="J43" i="5"/>
  <c r="E49" i="5"/>
  <c r="E30" i="5"/>
  <c r="U4" i="3" l="1"/>
  <c r="P8" i="3"/>
  <c r="E31" i="5"/>
  <c r="J30" i="5"/>
  <c r="I30" i="5"/>
  <c r="D28" i="5"/>
  <c r="U8" i="3" l="1"/>
  <c r="I31" i="5"/>
  <c r="E16" i="5" l="1"/>
  <c r="J17" i="5" l="1"/>
  <c r="I16" i="5"/>
  <c r="D13" i="5"/>
  <c r="E17" i="5"/>
  <c r="I17" i="5" l="1"/>
  <c r="E59" i="5" l="1"/>
  <c r="E63" i="5" l="1"/>
  <c r="E64" i="5" s="1"/>
  <c r="I59" i="5"/>
  <c r="E60" i="5"/>
  <c r="D56" i="5"/>
  <c r="I63" i="5" l="1"/>
  <c r="I64" i="5" s="1"/>
  <c r="I60" i="5"/>
</calcChain>
</file>

<file path=xl/sharedStrings.xml><?xml version="1.0" encoding="utf-8"?>
<sst xmlns="http://schemas.openxmlformats.org/spreadsheetml/2006/main" count="259" uniqueCount="106">
  <si>
    <t>Tanggal</t>
  </si>
  <si>
    <t>Penjualan</t>
  </si>
  <si>
    <t>Penyusutan</t>
  </si>
  <si>
    <t xml:space="preserve"> </t>
  </si>
  <si>
    <t>Keterangan</t>
  </si>
  <si>
    <t>Masuk ke Toko</t>
  </si>
  <si>
    <t>Hasil</t>
  </si>
  <si>
    <t>Total Real                 ( Kg )</t>
  </si>
  <si>
    <t>Stock Akhir  by Sistem</t>
  </si>
  <si>
    <t>Stock Akhir Real (Kg)</t>
  </si>
  <si>
    <t>D.sapi p. rdang</t>
  </si>
  <si>
    <t>D.sapi pot. rdang</t>
  </si>
  <si>
    <t>D premium lokal</t>
  </si>
  <si>
    <t>D Premium lokal</t>
  </si>
  <si>
    <t>Stock Awal    (Pagi)</t>
  </si>
  <si>
    <t>BAHAN PRODUKSI</t>
  </si>
  <si>
    <t>ADJ IN</t>
  </si>
  <si>
    <t>ADJ OUT</t>
  </si>
  <si>
    <t>Giling 500 gr (in kg)</t>
  </si>
  <si>
    <t>Rawon Curah</t>
  </si>
  <si>
    <t>SELISIH</t>
  </si>
  <si>
    <t>KG</t>
  </si>
  <si>
    <t>=</t>
  </si>
  <si>
    <t>FORM PROSES PRODUKSI</t>
  </si>
  <si>
    <t>Nomor</t>
  </si>
  <si>
    <t>TOTAL</t>
  </si>
  <si>
    <t>Bahan</t>
  </si>
  <si>
    <t xml:space="preserve">HASIL PRODUKSI RENDANG FRESH </t>
  </si>
  <si>
    <t>DAGING PREMIUM</t>
  </si>
  <si>
    <t>BERSIH DAGING RENDANG FRESH</t>
  </si>
  <si>
    <t>Total Bahan</t>
  </si>
  <si>
    <t>Total D. Sapi pot Rendang</t>
  </si>
  <si>
    <t>Tot D Premium lokal</t>
  </si>
  <si>
    <t>Total Rawon</t>
  </si>
  <si>
    <t>SUSUT</t>
  </si>
  <si>
    <t>DAGING PRESH</t>
  </si>
  <si>
    <t>RAWON FRESH</t>
  </si>
  <si>
    <t>BAHAN</t>
  </si>
  <si>
    <t>:</t>
  </si>
  <si>
    <t>x</t>
  </si>
  <si>
    <t>TALLY</t>
  </si>
  <si>
    <t>NETTO</t>
  </si>
  <si>
    <t>HASIL DAGING FRESH</t>
  </si>
  <si>
    <t>MODAL DG  FRESH - SUSUT JUAL</t>
  </si>
  <si>
    <t>SUSUT PROSES</t>
  </si>
  <si>
    <t>SUSUT JUAL</t>
  </si>
  <si>
    <t>TOTAL SUSUT</t>
  </si>
  <si>
    <t>SELISIH BAHAN DAN HASIL</t>
  </si>
  <si>
    <t>Daging  lokal</t>
  </si>
  <si>
    <t>X</t>
  </si>
  <si>
    <t>HASIL</t>
  </si>
  <si>
    <t>Daging fresh lokal</t>
  </si>
  <si>
    <t>MODAL DAGING PREM</t>
  </si>
  <si>
    <t>HASIL 1</t>
  </si>
  <si>
    <t>HASIL 2</t>
  </si>
  <si>
    <t>HASIL RAWON FRESH</t>
  </si>
  <si>
    <t>MODAL RAWON FRESH -SUSUT JUAL</t>
  </si>
  <si>
    <t>TOTAL SUSUT PRODUKSI</t>
  </si>
  <si>
    <t>TOTAL SUSUT JUAL</t>
  </si>
  <si>
    <t>+</t>
  </si>
  <si>
    <t>TOTAL BAHAN</t>
  </si>
  <si>
    <t>TOTAL HASIL</t>
  </si>
  <si>
    <t>FRIBOY</t>
  </si>
  <si>
    <t>RAWON BEKU</t>
  </si>
  <si>
    <t>DAGING RAWON BEKU</t>
  </si>
  <si>
    <t>Bahan :</t>
  </si>
  <si>
    <t>Hasil 1 :</t>
  </si>
  <si>
    <t>Susut :</t>
  </si>
  <si>
    <t>Hari                    :</t>
  </si>
  <si>
    <t>Tanggal              :</t>
  </si>
  <si>
    <t>NOTE :</t>
  </si>
  <si>
    <t>ITEM DAGING SAPI POT RENDANG TERJUAL KE DG PREM LOKAL :</t>
  </si>
  <si>
    <t>ITEM DAGING PREM LOKAL TERJUAL KE DAGING SAPI POT RENDANG :</t>
  </si>
  <si>
    <t>L Dewasa</t>
  </si>
  <si>
    <t>D.r. fresh member</t>
  </si>
  <si>
    <t>ITEM DAGING SAPI POT RENDANG TERJUAL KE DG FRESH MEMBER :</t>
  </si>
  <si>
    <t>D.s. pot. rdang</t>
  </si>
  <si>
    <t>HQ 41/44/45 FQ 65</t>
  </si>
  <si>
    <t>Daging Premium 2</t>
  </si>
  <si>
    <t xml:space="preserve">TOTAL </t>
  </si>
  <si>
    <t>Urat Triming</t>
  </si>
  <si>
    <t>Total Sankle</t>
  </si>
  <si>
    <t>Total Urat triming</t>
  </si>
  <si>
    <t>TOTAL BERSIH</t>
  </si>
  <si>
    <t>MASIH AKTIF DAN RUTIN BERBELANJA DI TDN CIKUT</t>
  </si>
  <si>
    <t>Daging Fresh ekonomis</t>
  </si>
  <si>
    <t>FQ 60 / SHANK</t>
  </si>
  <si>
    <t xml:space="preserve">Total   </t>
  </si>
  <si>
    <t>DAGING FRESH</t>
  </si>
  <si>
    <t>FQ 60 /SHANK</t>
  </si>
  <si>
    <t>D fresh ekonomis</t>
  </si>
  <si>
    <t>MODAL DAGING FRESH EKONIMIS-SUSUT JUAL</t>
  </si>
  <si>
    <t>HQ 41/42/44/45</t>
  </si>
  <si>
    <t>DG Prem 2</t>
  </si>
  <si>
    <t>Daging Rendang Shankle</t>
  </si>
  <si>
    <t>FQ 106/105/18/16/</t>
  </si>
  <si>
    <t xml:space="preserve"> LAPORAN DAGING DAN RAWON FRESH TDN ….......</t>
  </si>
  <si>
    <t>FQ 105/106/18/19</t>
  </si>
  <si>
    <t>PROSES TDN CIKARANG UTARA</t>
  </si>
  <si>
    <t>DG RNDG BEKU CURAH</t>
  </si>
  <si>
    <t>RENDANG BEKU CURAH</t>
  </si>
  <si>
    <t>DAGING HUSUS</t>
  </si>
  <si>
    <t>RAWON FRESH 2</t>
  </si>
  <si>
    <t>DG RNDG BEKU 1kg</t>
  </si>
  <si>
    <t>MINGGU</t>
  </si>
  <si>
    <t>LAPORAN STOCK DAGING TDN CIKARANG UTARA TGL 02 AGUSTUS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</si>
</sst>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#,##0.000"/>
    <numFmt numFmtId="165" formatCode="_(* #,##0_);_(* \(#,##0\);_(* &quot;-&quot;??_);_(@_)"/>
    <numFmt numFmtId="166" formatCode="_(* #,##0.000_);_(* \(#,##0.000\);_(* &quot;-&quot;??_);_(@_)"/>
    <numFmt numFmtId="167" formatCode="0.000"/>
    <numFmt numFmtId="168" formatCode="[$-F800]dddd\,\ mmmm\ dd\,\ yyyy"/>
    <numFmt numFmtId="169" formatCode="_(* #,##0.0_);_(* \(#,##0.0\);_(* &quot;-&quot;??_);_(@_)"/>
    <numFmt numFmtId="170" formatCode="_(* #,##0.0000_);_(* \(#,##0.0000\);_(* &quot;-&quot;??_);_(@_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3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name val="Calibri"/>
      <family val="2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3" tint="-0.249977111117893"/>
      <name val="Calibri"/>
      <family val="2"/>
      <scheme val="minor"/>
    </font>
    <font>
      <sz val="12"/>
      <color rgb="FFFF0000"/>
      <name val="Calibri"/>
      <family val="2"/>
      <scheme val="minor"/>
    </font>
    <font>
      <b/>
      <u/>
      <sz val="12"/>
      <name val="Calibri"/>
      <family val="2"/>
      <scheme val="minor"/>
    </font>
    <font>
      <sz val="12"/>
      <name val="Calibri"/>
      <family val="2"/>
      <scheme val="minor"/>
    </font>
    <font>
      <u/>
      <sz val="12"/>
      <name val="Calibri"/>
      <family val="2"/>
      <scheme val="minor"/>
    </font>
    <font>
      <b/>
      <u/>
      <sz val="24"/>
      <name val="Calibri"/>
      <family val="2"/>
      <scheme val="minor"/>
    </font>
    <font>
      <sz val="8"/>
      <name val="Calibri"/>
      <family val="2"/>
      <scheme val="minor"/>
    </font>
    <font>
      <sz val="9"/>
      <name val="Arial"/>
      <family val="2"/>
    </font>
    <font>
      <sz val="11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4482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5" fillId="0" borderId="0"/>
  </cellStyleXfs>
  <cellXfs count="416">
    <xf numFmtId="0" fontId="0" fillId="0" borderId="0" xfId="0"/>
    <xf numFmtId="0" fontId="6" fillId="0" borderId="0" xfId="0" applyFont="1"/>
    <xf numFmtId="0" fontId="5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164" fontId="6" fillId="0" borderId="0" xfId="0" applyNumberFormat="1" applyFont="1"/>
    <xf numFmtId="0" fontId="3" fillId="6" borderId="0" xfId="0" applyFont="1" applyFill="1" applyAlignment="1">
      <alignment horizontal="center" vertical="center"/>
    </xf>
    <xf numFmtId="167" fontId="6" fillId="0" borderId="0" xfId="0" applyNumberFormat="1" applyFont="1"/>
    <xf numFmtId="0" fontId="6" fillId="0" borderId="0" xfId="0" applyFont="1" applyAlignment="1">
      <alignment horizontal="center" vertical="center"/>
    </xf>
    <xf numFmtId="14" fontId="16" fillId="0" borderId="0" xfId="0" applyNumberFormat="1" applyFont="1" applyAlignment="1">
      <alignment vertical="center"/>
    </xf>
    <xf numFmtId="4" fontId="3" fillId="0" borderId="0" xfId="0" applyNumberFormat="1" applyFont="1" applyAlignment="1">
      <alignment vertical="center"/>
    </xf>
    <xf numFmtId="0" fontId="3" fillId="0" borderId="0" xfId="0" applyFont="1"/>
    <xf numFmtId="168" fontId="12" fillId="0" borderId="0" xfId="0" applyNumberFormat="1" applyFont="1" applyAlignment="1">
      <alignment horizontal="center" vertical="center"/>
    </xf>
    <xf numFmtId="14" fontId="18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164" fontId="18" fillId="0" borderId="0" xfId="0" applyNumberFormat="1" applyFont="1" applyAlignment="1">
      <alignment vertical="center"/>
    </xf>
    <xf numFmtId="0" fontId="18" fillId="0" borderId="0" xfId="0" applyFont="1" applyAlignment="1">
      <alignment horizontal="center" vertical="center"/>
    </xf>
    <xf numFmtId="4" fontId="18" fillId="0" borderId="0" xfId="0" applyNumberFormat="1" applyFont="1" applyAlignment="1">
      <alignment vertical="center"/>
    </xf>
    <xf numFmtId="0" fontId="9" fillId="0" borderId="0" xfId="0" applyFont="1" applyAlignment="1">
      <alignment horizontal="center"/>
    </xf>
    <xf numFmtId="0" fontId="9" fillId="0" borderId="0" xfId="0" applyFont="1"/>
    <xf numFmtId="168" fontId="3" fillId="0" borderId="0" xfId="0" applyNumberFormat="1" applyFont="1"/>
    <xf numFmtId="4" fontId="19" fillId="0" borderId="0" xfId="0" applyNumberFormat="1" applyFont="1" applyAlignment="1">
      <alignment vertical="center"/>
    </xf>
    <xf numFmtId="0" fontId="20" fillId="0" borderId="0" xfId="0" applyFont="1" applyAlignment="1">
      <alignment vertical="center"/>
    </xf>
    <xf numFmtId="0" fontId="21" fillId="12" borderId="0" xfId="0" applyFont="1" applyFill="1" applyAlignment="1">
      <alignment vertical="center"/>
    </xf>
    <xf numFmtId="0" fontId="21" fillId="0" borderId="0" xfId="0" applyFont="1" applyAlignment="1">
      <alignment vertical="center"/>
    </xf>
    <xf numFmtId="164" fontId="21" fillId="12" borderId="0" xfId="0" applyNumberFormat="1" applyFont="1" applyFill="1" applyAlignment="1">
      <alignment vertical="center"/>
    </xf>
    <xf numFmtId="0" fontId="21" fillId="12" borderId="0" xfId="0" applyFont="1" applyFill="1" applyAlignment="1">
      <alignment horizontal="center" vertical="center"/>
    </xf>
    <xf numFmtId="4" fontId="21" fillId="12" borderId="0" xfId="0" applyNumberFormat="1" applyFont="1" applyFill="1" applyAlignment="1">
      <alignment vertical="center"/>
    </xf>
    <xf numFmtId="4" fontId="21" fillId="12" borderId="0" xfId="0" applyNumberFormat="1" applyFont="1" applyFill="1" applyAlignment="1">
      <alignment horizontal="center" vertical="center"/>
    </xf>
    <xf numFmtId="9" fontId="3" fillId="6" borderId="0" xfId="2" applyFont="1" applyFill="1" applyAlignment="1">
      <alignment horizontal="left" vertical="center"/>
    </xf>
    <xf numFmtId="9" fontId="3" fillId="0" borderId="0" xfId="2" applyFont="1" applyAlignment="1">
      <alignment vertical="center"/>
    </xf>
    <xf numFmtId="4" fontId="3" fillId="6" borderId="0" xfId="0" applyNumberFormat="1" applyFont="1" applyFill="1" applyAlignment="1">
      <alignment horizontal="right" vertical="center"/>
    </xf>
    <xf numFmtId="4" fontId="3" fillId="6" borderId="0" xfId="0" applyNumberFormat="1" applyFont="1" applyFill="1" applyAlignment="1">
      <alignment horizontal="left" vertical="center"/>
    </xf>
    <xf numFmtId="9" fontId="3" fillId="6" borderId="0" xfId="2" applyFont="1" applyFill="1" applyBorder="1" applyAlignment="1">
      <alignment horizontal="left" vertical="center"/>
    </xf>
    <xf numFmtId="9" fontId="19" fillId="0" borderId="0" xfId="2" applyFont="1" applyFill="1" applyBorder="1" applyAlignment="1">
      <alignment horizontal="left" vertical="center"/>
    </xf>
    <xf numFmtId="4" fontId="19" fillId="0" borderId="0" xfId="0" applyNumberFormat="1" applyFont="1" applyAlignment="1">
      <alignment horizontal="left" vertical="center"/>
    </xf>
    <xf numFmtId="0" fontId="21" fillId="6" borderId="0" xfId="0" applyFont="1" applyFill="1" applyAlignment="1">
      <alignment vertical="center"/>
    </xf>
    <xf numFmtId="164" fontId="21" fillId="6" borderId="0" xfId="0" applyNumberFormat="1" applyFont="1" applyFill="1" applyAlignment="1">
      <alignment vertical="center"/>
    </xf>
    <xf numFmtId="0" fontId="21" fillId="6" borderId="0" xfId="0" applyFont="1" applyFill="1" applyAlignment="1">
      <alignment horizontal="center" vertical="center"/>
    </xf>
    <xf numFmtId="4" fontId="21" fillId="6" borderId="0" xfId="0" applyNumberFormat="1" applyFont="1" applyFill="1" applyAlignment="1">
      <alignment vertical="center"/>
    </xf>
    <xf numFmtId="43" fontId="3" fillId="0" borderId="0" xfId="0" applyNumberFormat="1" applyFont="1"/>
    <xf numFmtId="164" fontId="9" fillId="0" borderId="0" xfId="0" applyNumberFormat="1" applyFont="1" applyAlignment="1">
      <alignment vertical="center"/>
    </xf>
    <xf numFmtId="0" fontId="21" fillId="0" borderId="0" xfId="0" applyFont="1" applyAlignment="1">
      <alignment horizontal="center" vertical="center"/>
    </xf>
    <xf numFmtId="4" fontId="21" fillId="0" borderId="0" xfId="0" applyNumberFormat="1" applyFont="1" applyAlignment="1">
      <alignment vertical="center"/>
    </xf>
    <xf numFmtId="4" fontId="21" fillId="0" borderId="0" xfId="0" applyNumberFormat="1" applyFont="1" applyAlignment="1">
      <alignment horizontal="center" vertical="center"/>
    </xf>
    <xf numFmtId="4" fontId="9" fillId="0" borderId="0" xfId="0" applyNumberFormat="1" applyFont="1" applyAlignment="1">
      <alignment vertical="center"/>
    </xf>
    <xf numFmtId="4" fontId="3" fillId="6" borderId="0" xfId="0" applyNumberFormat="1" applyFont="1" applyFill="1" applyAlignment="1">
      <alignment vertical="center"/>
    </xf>
    <xf numFmtId="0" fontId="9" fillId="0" borderId="0" xfId="0" applyFont="1" applyAlignment="1">
      <alignment vertical="center"/>
    </xf>
    <xf numFmtId="164" fontId="21" fillId="0" borderId="0" xfId="0" applyNumberFormat="1" applyFont="1" applyAlignment="1">
      <alignment vertical="center"/>
    </xf>
    <xf numFmtId="0" fontId="3" fillId="6" borderId="0" xfId="0" applyFont="1" applyFill="1" applyAlignment="1">
      <alignment horizontal="right" vertical="center"/>
    </xf>
    <xf numFmtId="0" fontId="19" fillId="0" borderId="0" xfId="0" applyFont="1" applyAlignment="1">
      <alignment horizontal="right" vertical="center"/>
    </xf>
    <xf numFmtId="43" fontId="3" fillId="6" borderId="0" xfId="0" applyNumberFormat="1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" fontId="19" fillId="0" borderId="0" xfId="0" applyNumberFormat="1" applyFont="1" applyAlignment="1">
      <alignment horizontal="right" vertical="center"/>
    </xf>
    <xf numFmtId="0" fontId="21" fillId="0" borderId="0" xfId="0" applyFont="1"/>
    <xf numFmtId="0" fontId="19" fillId="0" borderId="0" xfId="0" applyFont="1"/>
    <xf numFmtId="0" fontId="21" fillId="2" borderId="0" xfId="0" applyFont="1" applyFill="1" applyAlignment="1">
      <alignment vertical="center"/>
    </xf>
    <xf numFmtId="0" fontId="3" fillId="2" borderId="0" xfId="0" applyFont="1" applyFill="1"/>
    <xf numFmtId="43" fontId="9" fillId="2" borderId="0" xfId="1" applyFont="1" applyFill="1" applyBorder="1" applyAlignment="1">
      <alignment vertical="center"/>
    </xf>
    <xf numFmtId="166" fontId="3" fillId="6" borderId="0" xfId="1" applyNumberFormat="1" applyFont="1" applyFill="1" applyAlignment="1">
      <alignment horizontal="right" vertical="center"/>
    </xf>
    <xf numFmtId="166" fontId="3" fillId="6" borderId="0" xfId="1" applyNumberFormat="1" applyFont="1" applyFill="1" applyBorder="1" applyAlignment="1">
      <alignment horizontal="right" vertical="center"/>
    </xf>
    <xf numFmtId="166" fontId="19" fillId="0" borderId="0" xfId="1" applyNumberFormat="1" applyFont="1" applyFill="1" applyBorder="1" applyAlignment="1">
      <alignment horizontal="right" vertical="center"/>
    </xf>
    <xf numFmtId="165" fontId="3" fillId="6" borderId="0" xfId="1" applyNumberFormat="1" applyFont="1" applyFill="1" applyAlignment="1">
      <alignment vertical="center"/>
    </xf>
    <xf numFmtId="165" fontId="3" fillId="6" borderId="0" xfId="1" applyNumberFormat="1" applyFont="1" applyFill="1" applyBorder="1" applyAlignment="1">
      <alignment vertical="center"/>
    </xf>
    <xf numFmtId="165" fontId="19" fillId="0" borderId="0" xfId="1" applyNumberFormat="1" applyFont="1" applyFill="1" applyBorder="1" applyAlignment="1">
      <alignment vertical="center"/>
    </xf>
    <xf numFmtId="43" fontId="19" fillId="0" borderId="0" xfId="0" applyNumberFormat="1" applyFont="1" applyAlignment="1">
      <alignment horizontal="center" vertical="center"/>
    </xf>
    <xf numFmtId="43" fontId="3" fillId="6" borderId="0" xfId="1" applyFont="1" applyFill="1" applyAlignment="1">
      <alignment horizontal="right" vertical="center"/>
    </xf>
    <xf numFmtId="43" fontId="3" fillId="6" borderId="0" xfId="1" applyFont="1" applyFill="1" applyBorder="1" applyAlignment="1">
      <alignment horizontal="right" vertical="center"/>
    </xf>
    <xf numFmtId="43" fontId="19" fillId="0" borderId="0" xfId="1" applyFont="1" applyFill="1" applyBorder="1" applyAlignment="1">
      <alignment horizontal="right" vertical="center"/>
    </xf>
    <xf numFmtId="0" fontId="21" fillId="10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22" fillId="0" borderId="0" xfId="0" applyFont="1" applyAlignment="1">
      <alignment vertical="center"/>
    </xf>
    <xf numFmtId="3" fontId="9" fillId="0" borderId="0" xfId="0" applyNumberFormat="1" applyFont="1" applyAlignment="1">
      <alignment vertical="center"/>
    </xf>
    <xf numFmtId="43" fontId="21" fillId="0" borderId="0" xfId="1" applyFont="1" applyBorder="1" applyAlignment="1">
      <alignment horizontal="center" vertical="top"/>
    </xf>
    <xf numFmtId="43" fontId="9" fillId="0" borderId="0" xfId="1" applyFont="1" applyBorder="1" applyAlignment="1"/>
    <xf numFmtId="0" fontId="9" fillId="6" borderId="0" xfId="0" applyFont="1" applyFill="1" applyAlignment="1">
      <alignment vertical="center"/>
    </xf>
    <xf numFmtId="43" fontId="9" fillId="6" borderId="0" xfId="1" applyFont="1" applyFill="1" applyBorder="1" applyAlignment="1">
      <alignment horizontal="center" vertical="center" wrapText="1"/>
    </xf>
    <xf numFmtId="43" fontId="3" fillId="0" borderId="0" xfId="0" applyNumberFormat="1" applyFont="1" applyAlignment="1">
      <alignment horizontal="center" vertical="center"/>
    </xf>
    <xf numFmtId="4" fontId="21" fillId="6" borderId="17" xfId="0" applyNumberFormat="1" applyFont="1" applyFill="1" applyBorder="1" applyAlignment="1">
      <alignment horizontal="center"/>
    </xf>
    <xf numFmtId="43" fontId="12" fillId="6" borderId="0" xfId="1" applyFont="1" applyFill="1" applyBorder="1" applyAlignment="1">
      <alignment horizontal="center" vertical="center" wrapText="1"/>
    </xf>
    <xf numFmtId="2" fontId="21" fillId="6" borderId="0" xfId="1" applyNumberFormat="1" applyFont="1" applyFill="1" applyBorder="1" applyAlignment="1">
      <alignment horizontal="center" vertical="center" wrapText="1"/>
    </xf>
    <xf numFmtId="166" fontId="9" fillId="6" borderId="0" xfId="1" applyNumberFormat="1" applyFont="1" applyFill="1" applyBorder="1" applyAlignment="1">
      <alignment horizontal="center" vertical="center" wrapText="1"/>
    </xf>
    <xf numFmtId="2" fontId="9" fillId="6" borderId="0" xfId="1" applyNumberFormat="1" applyFont="1" applyFill="1" applyBorder="1" applyAlignment="1">
      <alignment horizontal="center" vertical="center" wrapText="1"/>
    </xf>
    <xf numFmtId="43" fontId="9" fillId="6" borderId="0" xfId="0" applyNumberFormat="1" applyFont="1" applyFill="1" applyAlignment="1">
      <alignment horizontal="center" vertical="center" wrapText="1"/>
    </xf>
    <xf numFmtId="43" fontId="9" fillId="6" borderId="0" xfId="0" applyNumberFormat="1" applyFont="1" applyFill="1" applyAlignment="1">
      <alignment horizontal="center"/>
    </xf>
    <xf numFmtId="2" fontId="9" fillId="6" borderId="0" xfId="0" applyNumberFormat="1" applyFont="1" applyFill="1" applyAlignment="1">
      <alignment horizontal="center" vertical="center" wrapText="1"/>
    </xf>
    <xf numFmtId="164" fontId="9" fillId="6" borderId="0" xfId="0" applyNumberFormat="1" applyFont="1" applyFill="1" applyAlignment="1">
      <alignment horizontal="center" vertical="center" wrapText="1"/>
    </xf>
    <xf numFmtId="164" fontId="9" fillId="6" borderId="12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43" fontId="12" fillId="0" borderId="0" xfId="1" applyFont="1" applyBorder="1" applyAlignment="1">
      <alignment horizontal="center"/>
    </xf>
    <xf numFmtId="0" fontId="12" fillId="0" borderId="0" xfId="0" applyFont="1"/>
    <xf numFmtId="43" fontId="12" fillId="0" borderId="0" xfId="1" applyFont="1" applyBorder="1"/>
    <xf numFmtId="43" fontId="12" fillId="0" borderId="0" xfId="0" applyNumberFormat="1" applyFont="1" applyAlignment="1">
      <alignment horizontal="center"/>
    </xf>
    <xf numFmtId="43" fontId="12" fillId="0" borderId="0" xfId="0" applyNumberFormat="1" applyFont="1"/>
    <xf numFmtId="164" fontId="12" fillId="0" borderId="0" xfId="0" applyNumberFormat="1" applyFont="1"/>
    <xf numFmtId="4" fontId="12" fillId="0" borderId="0" xfId="0" applyNumberFormat="1" applyFont="1"/>
    <xf numFmtId="169" fontId="12" fillId="0" borderId="0" xfId="0" applyNumberFormat="1" applyFont="1" applyAlignment="1">
      <alignment horizontal="center"/>
    </xf>
    <xf numFmtId="169" fontId="12" fillId="0" borderId="0" xfId="0" applyNumberFormat="1" applyFont="1"/>
    <xf numFmtId="164" fontId="17" fillId="0" borderId="0" xfId="0" applyNumberFormat="1" applyFont="1"/>
    <xf numFmtId="0" fontId="17" fillId="0" borderId="0" xfId="0" applyFont="1"/>
    <xf numFmtId="4" fontId="17" fillId="0" borderId="0" xfId="0" applyNumberFormat="1" applyFont="1"/>
    <xf numFmtId="0" fontId="3" fillId="0" borderId="17" xfId="0" applyFont="1" applyBorder="1" applyAlignment="1">
      <alignment horizontal="center"/>
    </xf>
    <xf numFmtId="0" fontId="3" fillId="0" borderId="0" xfId="0" applyFont="1" applyAlignment="1">
      <alignment horizontal="center"/>
    </xf>
    <xf numFmtId="169" fontId="3" fillId="0" borderId="0" xfId="0" applyNumberFormat="1" applyFont="1" applyAlignment="1">
      <alignment horizontal="center"/>
    </xf>
    <xf numFmtId="0" fontId="3" fillId="0" borderId="12" xfId="0" applyFont="1" applyBorder="1"/>
    <xf numFmtId="43" fontId="3" fillId="0" borderId="0" xfId="0" applyNumberFormat="1" applyFont="1" applyAlignment="1">
      <alignment horizontal="center"/>
    </xf>
    <xf numFmtId="0" fontId="3" fillId="0" borderId="21" xfId="0" applyFont="1" applyBorder="1"/>
    <xf numFmtId="0" fontId="3" fillId="0" borderId="19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43" fontId="9" fillId="6" borderId="21" xfId="0" applyNumberFormat="1" applyFont="1" applyFill="1" applyBorder="1" applyAlignment="1">
      <alignment horizontal="center"/>
    </xf>
    <xf numFmtId="169" fontId="3" fillId="0" borderId="21" xfId="0" applyNumberFormat="1" applyFont="1" applyBorder="1" applyAlignment="1">
      <alignment horizontal="center"/>
    </xf>
    <xf numFmtId="0" fontId="3" fillId="0" borderId="18" xfId="0" applyFont="1" applyBorder="1"/>
    <xf numFmtId="4" fontId="3" fillId="0" borderId="0" xfId="0" applyNumberFormat="1" applyFont="1"/>
    <xf numFmtId="0" fontId="11" fillId="0" borderId="4" xfId="0" applyFont="1" applyBorder="1"/>
    <xf numFmtId="0" fontId="10" fillId="0" borderId="4" xfId="0" applyFont="1" applyBorder="1" applyAlignment="1">
      <alignment horizontal="center" vertical="center"/>
    </xf>
    <xf numFmtId="14" fontId="8" fillId="0" borderId="0" xfId="0" applyNumberFormat="1" applyFont="1"/>
    <xf numFmtId="167" fontId="8" fillId="0" borderId="0" xfId="0" applyNumberFormat="1" applyFont="1"/>
    <xf numFmtId="166" fontId="8" fillId="0" borderId="0" xfId="1" applyNumberFormat="1" applyFont="1" applyAlignment="1">
      <alignment horizontal="left"/>
    </xf>
    <xf numFmtId="0" fontId="11" fillId="0" borderId="1" xfId="0" applyFont="1" applyBorder="1"/>
    <xf numFmtId="14" fontId="11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/>
    </xf>
    <xf numFmtId="2" fontId="8" fillId="0" borderId="0" xfId="0" applyNumberFormat="1" applyFont="1" applyAlignment="1">
      <alignment horizontal="left"/>
    </xf>
    <xf numFmtId="167" fontId="8" fillId="0" borderId="0" xfId="0" applyNumberFormat="1" applyFont="1" applyAlignment="1">
      <alignment horizontal="left"/>
    </xf>
    <xf numFmtId="43" fontId="8" fillId="0" borderId="0" xfId="0" applyNumberFormat="1" applyFont="1" applyAlignment="1">
      <alignment horizontal="left"/>
    </xf>
    <xf numFmtId="2" fontId="8" fillId="6" borderId="0" xfId="0" applyNumberFormat="1" applyFont="1" applyFill="1"/>
    <xf numFmtId="0" fontId="8" fillId="4" borderId="1" xfId="0" applyFont="1" applyFill="1" applyBorder="1"/>
    <xf numFmtId="0" fontId="8" fillId="4" borderId="1" xfId="0" applyFont="1" applyFill="1" applyBorder="1" applyAlignment="1">
      <alignment horizontal="center"/>
    </xf>
    <xf numFmtId="166" fontId="8" fillId="4" borderId="1" xfId="1" applyNumberFormat="1" applyFont="1" applyFill="1" applyBorder="1" applyAlignment="1">
      <alignment horizontal="left"/>
    </xf>
    <xf numFmtId="0" fontId="8" fillId="0" borderId="1" xfId="0" applyFont="1" applyBorder="1"/>
    <xf numFmtId="2" fontId="8" fillId="6" borderId="1" xfId="1" applyNumberFormat="1" applyFont="1" applyFill="1" applyBorder="1"/>
    <xf numFmtId="2" fontId="8" fillId="6" borderId="1" xfId="0" applyNumberFormat="1" applyFont="1" applyFill="1" applyBorder="1"/>
    <xf numFmtId="2" fontId="8" fillId="6" borderId="1" xfId="0" applyNumberFormat="1" applyFont="1" applyFill="1" applyBorder="1" applyAlignment="1">
      <alignment horizontal="center"/>
    </xf>
    <xf numFmtId="167" fontId="11" fillId="6" borderId="1" xfId="0" applyNumberFormat="1" applyFont="1" applyFill="1" applyBorder="1"/>
    <xf numFmtId="166" fontId="8" fillId="0" borderId="1" xfId="1" applyNumberFormat="1" applyFont="1" applyBorder="1" applyAlignment="1">
      <alignment horizontal="left"/>
    </xf>
    <xf numFmtId="43" fontId="8" fillId="6" borderId="1" xfId="0" applyNumberFormat="1" applyFont="1" applyFill="1" applyBorder="1" applyAlignment="1">
      <alignment horizontal="center"/>
    </xf>
    <xf numFmtId="166" fontId="8" fillId="6" borderId="1" xfId="1" applyNumberFormat="1" applyFont="1" applyFill="1" applyBorder="1" applyAlignment="1"/>
    <xf numFmtId="166" fontId="8" fillId="6" borderId="1" xfId="0" applyNumberFormat="1" applyFont="1" applyFill="1" applyBorder="1"/>
    <xf numFmtId="2" fontId="8" fillId="6" borderId="1" xfId="1" applyNumberFormat="1" applyFont="1" applyFill="1" applyBorder="1" applyAlignment="1"/>
    <xf numFmtId="167" fontId="8" fillId="6" borderId="1" xfId="0" applyNumberFormat="1" applyFont="1" applyFill="1" applyBorder="1"/>
    <xf numFmtId="167" fontId="8" fillId="0" borderId="1" xfId="0" applyNumberFormat="1" applyFont="1" applyBorder="1"/>
    <xf numFmtId="166" fontId="8" fillId="6" borderId="1" xfId="1" applyNumberFormat="1" applyFont="1" applyFill="1" applyBorder="1"/>
    <xf numFmtId="43" fontId="8" fillId="6" borderId="1" xfId="1" applyFont="1" applyFill="1" applyBorder="1" applyAlignment="1"/>
    <xf numFmtId="166" fontId="8" fillId="6" borderId="1" xfId="0" applyNumberFormat="1" applyFont="1" applyFill="1" applyBorder="1" applyAlignment="1">
      <alignment horizontal="center"/>
    </xf>
    <xf numFmtId="166" fontId="8" fillId="0" borderId="1" xfId="0" applyNumberFormat="1" applyFont="1" applyBorder="1" applyAlignment="1">
      <alignment horizontal="center"/>
    </xf>
    <xf numFmtId="166" fontId="8" fillId="0" borderId="1" xfId="0" applyNumberFormat="1" applyFont="1" applyBorder="1"/>
    <xf numFmtId="0" fontId="11" fillId="2" borderId="5" xfId="0" applyFont="1" applyFill="1" applyBorder="1"/>
    <xf numFmtId="166" fontId="8" fillId="2" borderId="1" xfId="0" applyNumberFormat="1" applyFont="1" applyFill="1" applyBorder="1"/>
    <xf numFmtId="2" fontId="24" fillId="2" borderId="7" xfId="0" applyNumberFormat="1" applyFont="1" applyFill="1" applyBorder="1" applyAlignment="1">
      <alignment horizontal="center"/>
    </xf>
    <xf numFmtId="2" fontId="24" fillId="2" borderId="7" xfId="0" applyNumberFormat="1" applyFont="1" applyFill="1" applyBorder="1"/>
    <xf numFmtId="166" fontId="9" fillId="2" borderId="1" xfId="1" applyNumberFormat="1" applyFont="1" applyFill="1" applyBorder="1" applyAlignment="1">
      <alignment horizontal="left"/>
    </xf>
    <xf numFmtId="2" fontId="8" fillId="0" borderId="0" xfId="0" applyNumberFormat="1" applyFont="1" applyAlignment="1">
      <alignment horizontal="center"/>
    </xf>
    <xf numFmtId="2" fontId="8" fillId="0" borderId="0" xfId="0" applyNumberFormat="1" applyFont="1"/>
    <xf numFmtId="0" fontId="8" fillId="0" borderId="8" xfId="0" applyFont="1" applyBorder="1"/>
    <xf numFmtId="166" fontId="8" fillId="0" borderId="7" xfId="1" applyNumberFormat="1" applyFont="1" applyBorder="1" applyAlignment="1">
      <alignment horizontal="left"/>
    </xf>
    <xf numFmtId="43" fontId="8" fillId="0" borderId="0" xfId="0" applyNumberFormat="1" applyFont="1"/>
    <xf numFmtId="164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43" fontId="4" fillId="5" borderId="1" xfId="0" applyNumberFormat="1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/>
    </xf>
    <xf numFmtId="164" fontId="1" fillId="0" borderId="1" xfId="3" applyNumberFormat="1" applyFont="1" applyFill="1" applyBorder="1" applyAlignment="1">
      <alignment horizontal="center" vertical="center"/>
    </xf>
    <xf numFmtId="16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166" fontId="1" fillId="0" borderId="1" xfId="3" applyNumberFormat="1" applyFont="1" applyFill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164" fontId="6" fillId="0" borderId="0" xfId="0" applyNumberFormat="1" applyFont="1" applyAlignment="1">
      <alignment horizontal="center" vertical="center"/>
    </xf>
    <xf numFmtId="164" fontId="2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2" borderId="1" xfId="3" applyNumberFormat="1" applyFont="1" applyFill="1" applyBorder="1" applyAlignment="1">
      <alignment horizontal="center" vertical="center"/>
    </xf>
    <xf numFmtId="43" fontId="9" fillId="0" borderId="0" xfId="1" applyFont="1" applyFill="1" applyBorder="1" applyAlignment="1">
      <alignment vertical="center"/>
    </xf>
    <xf numFmtId="0" fontId="6" fillId="0" borderId="8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14" fillId="0" borderId="0" xfId="0" applyFont="1"/>
    <xf numFmtId="16" fontId="26" fillId="0" borderId="1" xfId="0" applyNumberFormat="1" applyFont="1" applyBorder="1" applyAlignment="1">
      <alignment horizontal="left" vertical="center"/>
    </xf>
    <xf numFmtId="167" fontId="15" fillId="17" borderId="1" xfId="0" applyNumberFormat="1" applyFont="1" applyFill="1" applyBorder="1" applyAlignment="1">
      <alignment horizontal="center" vertical="center"/>
    </xf>
    <xf numFmtId="166" fontId="1" fillId="17" borderId="1" xfId="1" applyNumberFormat="1" applyFont="1" applyFill="1" applyBorder="1" applyAlignment="1"/>
    <xf numFmtId="0" fontId="2" fillId="2" borderId="1" xfId="0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 wrapText="1"/>
    </xf>
    <xf numFmtId="164" fontId="2" fillId="2" borderId="6" xfId="0" applyNumberFormat="1" applyFont="1" applyFill="1" applyBorder="1" applyAlignment="1">
      <alignment horizontal="center" vertical="center"/>
    </xf>
    <xf numFmtId="164" fontId="2" fillId="2" borderId="6" xfId="0" applyNumberFormat="1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vertical="center"/>
    </xf>
    <xf numFmtId="10" fontId="16" fillId="0" borderId="0" xfId="2" applyNumberFormat="1" applyFont="1" applyFill="1" applyBorder="1" applyAlignment="1">
      <alignment vertical="center"/>
    </xf>
    <xf numFmtId="10" fontId="3" fillId="0" borderId="0" xfId="2" applyNumberFormat="1" applyFont="1" applyFill="1" applyBorder="1" applyAlignment="1">
      <alignment vertical="center"/>
    </xf>
    <xf numFmtId="10" fontId="3" fillId="0" borderId="0" xfId="2" applyNumberFormat="1" applyFont="1" applyBorder="1" applyAlignment="1">
      <alignment vertical="center"/>
    </xf>
    <xf numFmtId="0" fontId="16" fillId="5" borderId="20" xfId="0" applyFont="1" applyFill="1" applyBorder="1" applyAlignment="1">
      <alignment horizontal="center" vertical="center"/>
    </xf>
    <xf numFmtId="4" fontId="9" fillId="6" borderId="15" xfId="0" applyNumberFormat="1" applyFont="1" applyFill="1" applyBorder="1" applyAlignment="1">
      <alignment vertical="center"/>
    </xf>
    <xf numFmtId="43" fontId="9" fillId="6" borderId="15" xfId="0" applyNumberFormat="1" applyFont="1" applyFill="1" applyBorder="1" applyAlignment="1">
      <alignment vertical="center"/>
    </xf>
    <xf numFmtId="9" fontId="3" fillId="6" borderId="0" xfId="2" applyFont="1" applyFill="1" applyBorder="1" applyAlignment="1">
      <alignment horizontal="right" vertical="center"/>
    </xf>
    <xf numFmtId="0" fontId="9" fillId="0" borderId="2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169" fontId="9" fillId="0" borderId="4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10" fontId="3" fillId="6" borderId="0" xfId="2" applyNumberFormat="1" applyFont="1" applyFill="1" applyBorder="1" applyAlignment="1">
      <alignment horizontal="right" vertical="center"/>
    </xf>
    <xf numFmtId="4" fontId="9" fillId="6" borderId="24" xfId="0" applyNumberFormat="1" applyFont="1" applyFill="1" applyBorder="1" applyAlignment="1">
      <alignment horizontal="center" vertical="center"/>
    </xf>
    <xf numFmtId="165" fontId="9" fillId="13" borderId="1" xfId="1" applyNumberFormat="1" applyFont="1" applyFill="1" applyBorder="1" applyAlignment="1">
      <alignment horizontal="center" vertical="center" wrapText="1"/>
    </xf>
    <xf numFmtId="2" fontId="9" fillId="6" borderId="1" xfId="1" applyNumberFormat="1" applyFont="1" applyFill="1" applyBorder="1" applyAlignment="1">
      <alignment horizontal="center" vertical="center" wrapText="1"/>
    </xf>
    <xf numFmtId="43" fontId="9" fillId="12" borderId="1" xfId="0" applyNumberFormat="1" applyFont="1" applyFill="1" applyBorder="1" applyAlignment="1">
      <alignment horizontal="center" vertical="center" wrapText="1"/>
    </xf>
    <xf numFmtId="43" fontId="9" fillId="12" borderId="25" xfId="0" applyNumberFormat="1" applyFont="1" applyFill="1" applyBorder="1" applyAlignment="1">
      <alignment horizontal="center" vertical="center" wrapText="1"/>
    </xf>
    <xf numFmtId="2" fontId="9" fillId="6" borderId="24" xfId="1" applyNumberFormat="1" applyFont="1" applyFill="1" applyBorder="1" applyAlignment="1">
      <alignment horizontal="center" vertical="center" wrapText="1"/>
    </xf>
    <xf numFmtId="43" fontId="9" fillId="14" borderId="1" xfId="1" applyFont="1" applyFill="1" applyBorder="1" applyAlignment="1">
      <alignment horizontal="center" vertical="center" wrapText="1"/>
    </xf>
    <xf numFmtId="43" fontId="9" fillId="14" borderId="25" xfId="1" applyFont="1" applyFill="1" applyBorder="1" applyAlignment="1">
      <alignment horizontal="center" vertical="center" wrapText="1"/>
    </xf>
    <xf numFmtId="2" fontId="9" fillId="6" borderId="24" xfId="0" applyNumberFormat="1" applyFont="1" applyFill="1" applyBorder="1" applyAlignment="1">
      <alignment horizontal="center" vertical="center" wrapText="1"/>
    </xf>
    <xf numFmtId="2" fontId="9" fillId="6" borderId="1" xfId="0" applyNumberFormat="1" applyFont="1" applyFill="1" applyBorder="1" applyAlignment="1">
      <alignment horizontal="center" vertical="center" wrapText="1"/>
    </xf>
    <xf numFmtId="43" fontId="9" fillId="9" borderId="1" xfId="0" applyNumberFormat="1" applyFont="1" applyFill="1" applyBorder="1" applyAlignment="1">
      <alignment horizontal="center" vertical="center" wrapText="1"/>
    </xf>
    <xf numFmtId="43" fontId="9" fillId="13" borderId="1" xfId="1" applyFont="1" applyFill="1" applyBorder="1" applyAlignment="1">
      <alignment horizontal="center" vertical="center" wrapText="1"/>
    </xf>
    <xf numFmtId="10" fontId="3" fillId="6" borderId="0" xfId="2" applyNumberFormat="1" applyFont="1" applyFill="1" applyBorder="1" applyAlignment="1">
      <alignment vertical="center"/>
    </xf>
    <xf numFmtId="10" fontId="3" fillId="6" borderId="0" xfId="2" applyNumberFormat="1" applyFont="1" applyFill="1" applyBorder="1" applyAlignment="1">
      <alignment horizontal="center" vertical="center"/>
    </xf>
    <xf numFmtId="43" fontId="12" fillId="9" borderId="1" xfId="0" applyNumberFormat="1" applyFont="1" applyFill="1" applyBorder="1" applyAlignment="1">
      <alignment horizontal="center" vertical="center" wrapText="1"/>
    </xf>
    <xf numFmtId="43" fontId="12" fillId="14" borderId="1" xfId="1" applyFont="1" applyFill="1" applyBorder="1" applyAlignment="1">
      <alignment horizontal="center" vertical="center" wrapText="1"/>
    </xf>
    <xf numFmtId="43" fontId="12" fillId="14" borderId="25" xfId="1" applyFont="1" applyFill="1" applyBorder="1" applyAlignment="1">
      <alignment horizontal="center" vertical="center" wrapText="1"/>
    </xf>
    <xf numFmtId="10" fontId="3" fillId="0" borderId="0" xfId="2" applyNumberFormat="1" applyFont="1" applyBorder="1"/>
    <xf numFmtId="43" fontId="17" fillId="12" borderId="1" xfId="0" applyNumberFormat="1" applyFont="1" applyFill="1" applyBorder="1" applyAlignment="1">
      <alignment horizontal="center" vertical="center" wrapText="1"/>
    </xf>
    <xf numFmtId="43" fontId="17" fillId="12" borderId="25" xfId="0" applyNumberFormat="1" applyFont="1" applyFill="1" applyBorder="1" applyAlignment="1">
      <alignment horizontal="center" vertical="center" wrapText="1"/>
    </xf>
    <xf numFmtId="9" fontId="3" fillId="6" borderId="0" xfId="2" applyFont="1" applyFill="1" applyAlignment="1">
      <alignment horizontal="right" vertical="center"/>
    </xf>
    <xf numFmtId="4" fontId="9" fillId="2" borderId="9" xfId="0" applyNumberFormat="1" applyFont="1" applyFill="1" applyBorder="1" applyAlignment="1">
      <alignment horizontal="center" vertical="center"/>
    </xf>
    <xf numFmtId="4" fontId="9" fillId="7" borderId="10" xfId="0" applyNumberFormat="1" applyFont="1" applyFill="1" applyBorder="1" applyAlignment="1">
      <alignment horizontal="center" vertical="center"/>
    </xf>
    <xf numFmtId="4" fontId="9" fillId="7" borderId="11" xfId="0" applyNumberFormat="1" applyFont="1" applyFill="1" applyBorder="1" applyAlignment="1">
      <alignment horizontal="center" vertical="center"/>
    </xf>
    <xf numFmtId="4" fontId="9" fillId="2" borderId="19" xfId="0" applyNumberFormat="1" applyFont="1" applyFill="1" applyBorder="1" applyAlignment="1">
      <alignment horizontal="center" vertical="center"/>
    </xf>
    <xf numFmtId="4" fontId="9" fillId="16" borderId="10" xfId="0" applyNumberFormat="1" applyFont="1" applyFill="1" applyBorder="1" applyAlignment="1">
      <alignment horizontal="center" vertical="center"/>
    </xf>
    <xf numFmtId="4" fontId="9" fillId="2" borderId="10" xfId="0" applyNumberFormat="1" applyFont="1" applyFill="1" applyBorder="1" applyAlignment="1">
      <alignment horizontal="center" vertical="center"/>
    </xf>
    <xf numFmtId="4" fontId="21" fillId="6" borderId="13" xfId="0" applyNumberFormat="1" applyFont="1" applyFill="1" applyBorder="1" applyAlignment="1">
      <alignment horizontal="center"/>
    </xf>
    <xf numFmtId="43" fontId="9" fillId="6" borderId="16" xfId="1" applyFont="1" applyFill="1" applyBorder="1" applyAlignment="1">
      <alignment horizontal="center" vertical="center" wrapText="1"/>
    </xf>
    <xf numFmtId="43" fontId="12" fillId="6" borderId="16" xfId="1" applyFont="1" applyFill="1" applyBorder="1" applyAlignment="1">
      <alignment horizontal="center" vertical="center" wrapText="1"/>
    </xf>
    <xf numFmtId="2" fontId="21" fillId="6" borderId="16" xfId="1" applyNumberFormat="1" applyFont="1" applyFill="1" applyBorder="1" applyAlignment="1">
      <alignment horizontal="center" vertical="center" wrapText="1"/>
    </xf>
    <xf numFmtId="166" fontId="9" fillId="6" borderId="16" xfId="1" applyNumberFormat="1" applyFont="1" applyFill="1" applyBorder="1" applyAlignment="1">
      <alignment horizontal="center" vertical="center" wrapText="1"/>
    </xf>
    <xf numFmtId="2" fontId="9" fillId="6" borderId="16" xfId="1" applyNumberFormat="1" applyFont="1" applyFill="1" applyBorder="1" applyAlignment="1">
      <alignment horizontal="center" vertical="center" wrapText="1"/>
    </xf>
    <xf numFmtId="43" fontId="9" fillId="6" borderId="16" xfId="0" applyNumberFormat="1" applyFont="1" applyFill="1" applyBorder="1" applyAlignment="1">
      <alignment horizontal="center" vertical="center" wrapText="1"/>
    </xf>
    <xf numFmtId="43" fontId="9" fillId="6" borderId="14" xfId="0" applyNumberFormat="1" applyFont="1" applyFill="1" applyBorder="1" applyAlignment="1">
      <alignment horizontal="center" vertical="center" wrapText="1"/>
    </xf>
    <xf numFmtId="4" fontId="9" fillId="6" borderId="12" xfId="0" applyNumberFormat="1" applyFont="1" applyFill="1" applyBorder="1" applyAlignment="1">
      <alignment vertical="center"/>
    </xf>
    <xf numFmtId="2" fontId="9" fillId="6" borderId="13" xfId="1" applyNumberFormat="1" applyFont="1" applyFill="1" applyBorder="1" applyAlignment="1">
      <alignment horizontal="center" vertical="center" wrapText="1"/>
    </xf>
    <xf numFmtId="43" fontId="9" fillId="6" borderId="14" xfId="1" applyFont="1" applyFill="1" applyBorder="1" applyAlignment="1">
      <alignment horizontal="center" vertical="center" wrapText="1"/>
    </xf>
    <xf numFmtId="2" fontId="21" fillId="6" borderId="13" xfId="0" applyNumberFormat="1" applyFont="1" applyFill="1" applyBorder="1" applyAlignment="1">
      <alignment horizontal="center" vertical="center" wrapText="1"/>
    </xf>
    <xf numFmtId="2" fontId="9" fillId="6" borderId="16" xfId="0" applyNumberFormat="1" applyFont="1" applyFill="1" applyBorder="1" applyAlignment="1">
      <alignment horizontal="center" vertical="center" wrapText="1"/>
    </xf>
    <xf numFmtId="43" fontId="12" fillId="6" borderId="14" xfId="1" applyFont="1" applyFill="1" applyBorder="1" applyAlignment="1">
      <alignment horizontal="center" vertical="center" wrapText="1"/>
    </xf>
    <xf numFmtId="43" fontId="9" fillId="6" borderId="13" xfId="1" applyFont="1" applyFill="1" applyBorder="1" applyAlignment="1">
      <alignment horizontal="center" vertical="center" wrapText="1"/>
    </xf>
    <xf numFmtId="164" fontId="9" fillId="6" borderId="16" xfId="0" applyNumberFormat="1" applyFont="1" applyFill="1" applyBorder="1" applyAlignment="1">
      <alignment horizontal="center" vertical="center" wrapText="1"/>
    </xf>
    <xf numFmtId="164" fontId="9" fillId="6" borderId="14" xfId="0" applyNumberFormat="1" applyFont="1" applyFill="1" applyBorder="1" applyAlignment="1">
      <alignment horizontal="center" vertical="center" wrapText="1"/>
    </xf>
    <xf numFmtId="43" fontId="9" fillId="6" borderId="12" xfId="0" applyNumberFormat="1" applyFont="1" applyFill="1" applyBorder="1" applyAlignment="1">
      <alignment horizontal="center" vertical="center" wrapText="1"/>
    </xf>
    <xf numFmtId="2" fontId="9" fillId="6" borderId="17" xfId="1" applyNumberFormat="1" applyFont="1" applyFill="1" applyBorder="1" applyAlignment="1">
      <alignment horizontal="center" vertical="center" wrapText="1"/>
    </xf>
    <xf numFmtId="43" fontId="9" fillId="6" borderId="12" xfId="1" applyFont="1" applyFill="1" applyBorder="1" applyAlignment="1">
      <alignment horizontal="center" vertical="center" wrapText="1"/>
    </xf>
    <xf numFmtId="2" fontId="21" fillId="6" borderId="17" xfId="0" applyNumberFormat="1" applyFont="1" applyFill="1" applyBorder="1" applyAlignment="1">
      <alignment horizontal="center" vertical="center" wrapText="1"/>
    </xf>
    <xf numFmtId="43" fontId="9" fillId="6" borderId="17" xfId="1" applyFont="1" applyFill="1" applyBorder="1" applyAlignment="1">
      <alignment horizontal="center" vertical="center" wrapText="1"/>
    </xf>
    <xf numFmtId="43" fontId="12" fillId="0" borderId="12" xfId="1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2" fontId="9" fillId="6" borderId="17" xfId="0" applyNumberFormat="1" applyFont="1" applyFill="1" applyBorder="1" applyAlignment="1">
      <alignment horizontal="center" vertical="center" wrapText="1"/>
    </xf>
    <xf numFmtId="43" fontId="12" fillId="0" borderId="12" xfId="0" applyNumberFormat="1" applyFont="1" applyBorder="1" applyAlignment="1">
      <alignment horizontal="center"/>
    </xf>
    <xf numFmtId="169" fontId="12" fillId="0" borderId="12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7" xfId="0" applyFont="1" applyBorder="1"/>
    <xf numFmtId="4" fontId="3" fillId="0" borderId="12" xfId="0" applyNumberFormat="1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/>
    <xf numFmtId="4" fontId="3" fillId="0" borderId="0" xfId="0" applyNumberFormat="1" applyFont="1" applyAlignment="1">
      <alignment horizontal="center"/>
    </xf>
    <xf numFmtId="4" fontId="9" fillId="6" borderId="0" xfId="0" applyNumberFormat="1" applyFont="1" applyFill="1" applyAlignment="1">
      <alignment vertical="center"/>
    </xf>
    <xf numFmtId="43" fontId="9" fillId="6" borderId="0" xfId="0" applyNumberFormat="1" applyFont="1" applyFill="1" applyAlignment="1">
      <alignment vertical="center"/>
    </xf>
    <xf numFmtId="4" fontId="1" fillId="0" borderId="0" xfId="0" applyNumberFormat="1" applyFont="1" applyAlignment="1">
      <alignment horizontal="center"/>
    </xf>
    <xf numFmtId="10" fontId="3" fillId="0" borderId="0" xfId="2" applyNumberFormat="1" applyFont="1" applyBorder="1" applyAlignment="1">
      <alignment horizontal="center" vertical="center"/>
    </xf>
    <xf numFmtId="43" fontId="9" fillId="6" borderId="8" xfId="0" applyNumberFormat="1" applyFont="1" applyFill="1" applyBorder="1" applyAlignment="1">
      <alignment vertical="center"/>
    </xf>
    <xf numFmtId="10" fontId="3" fillId="6" borderId="0" xfId="2" applyNumberFormat="1" applyFont="1" applyFill="1" applyBorder="1" applyAlignment="1">
      <alignment horizontal="left" vertical="center"/>
    </xf>
    <xf numFmtId="10" fontId="12" fillId="0" borderId="0" xfId="2" applyNumberFormat="1" applyFont="1" applyBorder="1"/>
    <xf numFmtId="10" fontId="3" fillId="0" borderId="0" xfId="2" applyNumberFormat="1" applyFont="1"/>
    <xf numFmtId="170" fontId="8" fillId="6" borderId="1" xfId="0" applyNumberFormat="1" applyFont="1" applyFill="1" applyBorder="1"/>
    <xf numFmtId="43" fontId="8" fillId="6" borderId="1" xfId="1" applyFont="1" applyFill="1" applyBorder="1" applyAlignment="1">
      <alignment horizontal="center" vertical="center" wrapText="1"/>
    </xf>
    <xf numFmtId="167" fontId="8" fillId="0" borderId="6" xfId="0" applyNumberFormat="1" applyFont="1" applyBorder="1"/>
    <xf numFmtId="0" fontId="8" fillId="0" borderId="5" xfId="0" applyFont="1" applyBorder="1"/>
    <xf numFmtId="167" fontId="8" fillId="0" borderId="7" xfId="0" applyNumberFormat="1" applyFont="1" applyBorder="1"/>
    <xf numFmtId="166" fontId="8" fillId="0" borderId="0" xfId="0" applyNumberFormat="1" applyFont="1"/>
    <xf numFmtId="2" fontId="8" fillId="6" borderId="1" xfId="1" applyNumberFormat="1" applyFont="1" applyFill="1" applyBorder="1" applyAlignment="1">
      <alignment vertical="top" wrapText="1"/>
    </xf>
    <xf numFmtId="43" fontId="6" fillId="0" borderId="0" xfId="0" applyNumberFormat="1" applyFont="1"/>
    <xf numFmtId="0" fontId="9" fillId="0" borderId="26" xfId="0" applyFont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164" fontId="9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43" fontId="12" fillId="0" borderId="17" xfId="0" applyNumberFormat="1" applyFont="1" applyBorder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14" fontId="9" fillId="0" borderId="0" xfId="0" applyNumberFormat="1" applyFont="1" applyAlignment="1">
      <alignment horizontal="center" vertical="center" wrapText="1"/>
    </xf>
    <xf numFmtId="168" fontId="16" fillId="5" borderId="21" xfId="0" applyNumberFormat="1" applyFont="1" applyFill="1" applyBorder="1" applyAlignment="1">
      <alignment horizontal="center" vertical="center" wrapText="1"/>
    </xf>
    <xf numFmtId="168" fontId="16" fillId="5" borderId="18" xfId="0" applyNumberFormat="1" applyFont="1" applyFill="1" applyBorder="1" applyAlignment="1">
      <alignment horizontal="center" vertical="center" wrapText="1"/>
    </xf>
    <xf numFmtId="43" fontId="12" fillId="12" borderId="25" xfId="0" applyNumberFormat="1" applyFont="1" applyFill="1" applyBorder="1" applyAlignment="1">
      <alignment horizontal="center" vertical="center" wrapText="1"/>
    </xf>
    <xf numFmtId="16" fontId="0" fillId="0" borderId="1" xfId="0" applyNumberFormat="1" applyBorder="1" applyAlignment="1">
      <alignment vertical="center"/>
    </xf>
    <xf numFmtId="10" fontId="3" fillId="0" borderId="0" xfId="2" applyNumberFormat="1" applyFont="1" applyFill="1" applyBorder="1" applyAlignment="1">
      <alignment horizontal="right" vertical="center"/>
    </xf>
    <xf numFmtId="4" fontId="3" fillId="0" borderId="0" xfId="0" applyNumberFormat="1" applyFont="1" applyAlignment="1">
      <alignment horizontal="right" vertical="center"/>
    </xf>
    <xf numFmtId="4" fontId="21" fillId="0" borderId="0" xfId="0" applyNumberFormat="1" applyFont="1" applyAlignment="1">
      <alignment horizontal="center"/>
    </xf>
    <xf numFmtId="43" fontId="9" fillId="0" borderId="0" xfId="1" applyFont="1" applyFill="1" applyBorder="1" applyAlignment="1"/>
    <xf numFmtId="10" fontId="3" fillId="0" borderId="0" xfId="2" applyNumberFormat="1" applyFont="1" applyFill="1" applyBorder="1" applyAlignment="1">
      <alignment horizontal="center" vertical="center"/>
    </xf>
    <xf numFmtId="43" fontId="9" fillId="0" borderId="0" xfId="0" applyNumberFormat="1" applyFont="1" applyAlignment="1">
      <alignment vertical="center"/>
    </xf>
    <xf numFmtId="43" fontId="9" fillId="0" borderId="0" xfId="1" applyFont="1" applyFill="1" applyBorder="1" applyAlignment="1">
      <alignment horizontal="center" vertical="center" wrapText="1"/>
    </xf>
    <xf numFmtId="10" fontId="3" fillId="0" borderId="0" xfId="2" applyNumberFormat="1" applyFont="1" applyFill="1" applyBorder="1" applyAlignment="1">
      <alignment horizontal="left" vertical="center"/>
    </xf>
    <xf numFmtId="166" fontId="9" fillId="0" borderId="0" xfId="1" applyNumberFormat="1" applyFont="1" applyFill="1" applyBorder="1" applyAlignment="1">
      <alignment horizontal="center" vertical="center" wrapText="1"/>
    </xf>
    <xf numFmtId="43" fontId="9" fillId="0" borderId="0" xfId="0" applyNumberFormat="1" applyFont="1" applyAlignment="1">
      <alignment horizont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43" fontId="9" fillId="6" borderId="17" xfId="0" applyNumberFormat="1" applyFont="1" applyFill="1" applyBorder="1" applyAlignment="1">
      <alignment vertical="center"/>
    </xf>
    <xf numFmtId="43" fontId="9" fillId="0" borderId="19" xfId="0" applyNumberFormat="1" applyFont="1" applyBorder="1" applyAlignment="1">
      <alignment horizontal="center" vertical="center"/>
    </xf>
    <xf numFmtId="43" fontId="9" fillId="0" borderId="21" xfId="0" applyNumberFormat="1" applyFont="1" applyBorder="1" applyAlignment="1">
      <alignment horizontal="center" vertical="center"/>
    </xf>
    <xf numFmtId="43" fontId="9" fillId="0" borderId="18" xfId="0" applyNumberFormat="1" applyFont="1" applyBorder="1" applyAlignment="1">
      <alignment horizontal="center" vertical="center"/>
    </xf>
    <xf numFmtId="43" fontId="9" fillId="0" borderId="0" xfId="1" applyFont="1" applyBorder="1" applyAlignment="1">
      <alignment vertical="center"/>
    </xf>
    <xf numFmtId="167" fontId="6" fillId="0" borderId="0" xfId="0" applyNumberFormat="1" applyFont="1" applyAlignment="1">
      <alignment horizontal="center" vertical="center"/>
    </xf>
    <xf numFmtId="166" fontId="9" fillId="0" borderId="0" xfId="1" applyNumberFormat="1" applyFont="1" applyFill="1" applyBorder="1" applyAlignment="1">
      <alignment horizontal="center" vertical="center"/>
    </xf>
    <xf numFmtId="166" fontId="9" fillId="0" borderId="0" xfId="1" applyNumberFormat="1" applyFont="1" applyFill="1" applyBorder="1" applyAlignment="1">
      <alignment horizontal="center"/>
    </xf>
    <xf numFmtId="166" fontId="12" fillId="0" borderId="0" xfId="1" applyNumberFormat="1" applyFont="1" applyBorder="1" applyAlignment="1">
      <alignment horizontal="center"/>
    </xf>
    <xf numFmtId="166" fontId="3" fillId="0" borderId="0" xfId="1" applyNumberFormat="1" applyFont="1" applyBorder="1" applyAlignment="1">
      <alignment horizontal="center"/>
    </xf>
    <xf numFmtId="166" fontId="3" fillId="0" borderId="21" xfId="1" applyNumberFormat="1" applyFont="1" applyBorder="1" applyAlignment="1">
      <alignment horizontal="center"/>
    </xf>
    <xf numFmtId="166" fontId="3" fillId="0" borderId="0" xfId="1" applyNumberFormat="1" applyFont="1" applyFill="1" applyBorder="1" applyAlignment="1">
      <alignment horizontal="center"/>
    </xf>
    <xf numFmtId="166" fontId="3" fillId="0" borderId="0" xfId="1" applyNumberFormat="1" applyFont="1" applyAlignment="1">
      <alignment horizontal="center"/>
    </xf>
    <xf numFmtId="166" fontId="3" fillId="0" borderId="0" xfId="1" applyNumberFormat="1" applyFont="1" applyFill="1" applyAlignment="1">
      <alignment horizontal="center"/>
    </xf>
    <xf numFmtId="166" fontId="3" fillId="0" borderId="0" xfId="1" applyNumberFormat="1" applyFont="1"/>
    <xf numFmtId="166" fontId="9" fillId="0" borderId="22" xfId="1" applyNumberFormat="1" applyFont="1" applyFill="1" applyBorder="1" applyAlignment="1">
      <alignment horizontal="center" vertical="center" wrapText="1"/>
    </xf>
    <xf numFmtId="166" fontId="9" fillId="6" borderId="13" xfId="1" applyNumberFormat="1" applyFont="1" applyFill="1" applyBorder="1" applyAlignment="1">
      <alignment horizontal="center" vertical="center" wrapText="1"/>
    </xf>
    <xf numFmtId="166" fontId="9" fillId="6" borderId="17" xfId="1" applyNumberFormat="1" applyFont="1" applyFill="1" applyBorder="1" applyAlignment="1">
      <alignment horizontal="center" vertical="center" wrapText="1"/>
    </xf>
    <xf numFmtId="166" fontId="12" fillId="0" borderId="17" xfId="1" applyNumberFormat="1" applyFont="1" applyBorder="1" applyAlignment="1">
      <alignment horizontal="center"/>
    </xf>
    <xf numFmtId="166" fontId="12" fillId="0" borderId="17" xfId="1" applyNumberFormat="1" applyFont="1" applyBorder="1" applyAlignment="1">
      <alignment horizontal="center" vertical="center"/>
    </xf>
    <xf numFmtId="166" fontId="3" fillId="0" borderId="17" xfId="1" applyNumberFormat="1" applyFont="1" applyBorder="1" applyAlignment="1">
      <alignment horizontal="center"/>
    </xf>
    <xf numFmtId="166" fontId="3" fillId="0" borderId="19" xfId="1" applyNumberFormat="1" applyFont="1" applyBorder="1" applyAlignment="1">
      <alignment horizontal="center"/>
    </xf>
    <xf numFmtId="43" fontId="9" fillId="0" borderId="4" xfId="1" applyFont="1" applyFill="1" applyBorder="1" applyAlignment="1">
      <alignment horizontal="center" vertical="center" wrapText="1"/>
    </xf>
    <xf numFmtId="2" fontId="9" fillId="2" borderId="9" xfId="1" applyNumberFormat="1" applyFont="1" applyFill="1" applyBorder="1" applyAlignment="1">
      <alignment horizontal="center" vertical="center"/>
    </xf>
    <xf numFmtId="2" fontId="9" fillId="2" borderId="9" xfId="0" applyNumberFormat="1" applyFont="1" applyFill="1" applyBorder="1" applyAlignment="1">
      <alignment horizontal="center" vertical="center"/>
    </xf>
    <xf numFmtId="0" fontId="0" fillId="0" borderId="1" xfId="0" applyBorder="1"/>
    <xf numFmtId="164" fontId="0" fillId="17" borderId="1" xfId="0" applyNumberFormat="1" applyFill="1" applyBorder="1" applyAlignment="1">
      <alignment horizontal="center" vertical="center"/>
    </xf>
    <xf numFmtId="43" fontId="9" fillId="19" borderId="1" xfId="1" applyFont="1" applyFill="1" applyBorder="1" applyAlignment="1">
      <alignment horizontal="center" vertical="center" wrapText="1"/>
    </xf>
    <xf numFmtId="43" fontId="12" fillId="19" borderId="1" xfId="1" applyFont="1" applyFill="1" applyBorder="1" applyAlignment="1">
      <alignment horizontal="center" vertical="center" wrapText="1"/>
    </xf>
    <xf numFmtId="164" fontId="1" fillId="6" borderId="1" xfId="3" applyNumberFormat="1" applyFont="1" applyFill="1" applyBorder="1" applyAlignment="1">
      <alignment horizontal="center" vertical="center"/>
    </xf>
    <xf numFmtId="2" fontId="9" fillId="6" borderId="32" xfId="1" applyNumberFormat="1" applyFont="1" applyFill="1" applyBorder="1" applyAlignment="1">
      <alignment horizontal="center" vertical="center" wrapText="1"/>
    </xf>
    <xf numFmtId="2" fontId="9" fillId="6" borderId="33" xfId="1" applyNumberFormat="1" applyFont="1" applyFill="1" applyBorder="1" applyAlignment="1">
      <alignment horizontal="center" vertical="center" wrapText="1"/>
    </xf>
    <xf numFmtId="0" fontId="12" fillId="0" borderId="33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4" fontId="9" fillId="20" borderId="21" xfId="0" applyNumberFormat="1" applyFont="1" applyFill="1" applyBorder="1" applyAlignment="1">
      <alignment horizontal="center" vertical="center"/>
    </xf>
    <xf numFmtId="43" fontId="9" fillId="21" borderId="1" xfId="0" applyNumberFormat="1" applyFont="1" applyFill="1" applyBorder="1" applyAlignment="1">
      <alignment horizontal="center" vertical="center" wrapText="1"/>
    </xf>
    <xf numFmtId="43" fontId="12" fillId="21" borderId="1" xfId="0" applyNumberFormat="1" applyFont="1" applyFill="1" applyBorder="1" applyAlignment="1">
      <alignment horizontal="center" vertical="center" wrapText="1"/>
    </xf>
    <xf numFmtId="43" fontId="9" fillId="21" borderId="25" xfId="0" applyNumberFormat="1" applyFont="1" applyFill="1" applyBorder="1" applyAlignment="1">
      <alignment horizontal="center" vertical="center" wrapText="1"/>
    </xf>
    <xf numFmtId="43" fontId="9" fillId="21" borderId="1" xfId="1" applyFont="1" applyFill="1" applyBorder="1" applyAlignment="1">
      <alignment horizontal="center" vertical="center" wrapText="1"/>
    </xf>
    <xf numFmtId="43" fontId="9" fillId="21" borderId="25" xfId="1" applyFont="1" applyFill="1" applyBorder="1" applyAlignment="1">
      <alignment horizontal="center" vertical="center" wrapText="1"/>
    </xf>
    <xf numFmtId="43" fontId="12" fillId="21" borderId="25" xfId="1" applyFont="1" applyFill="1" applyBorder="1" applyAlignment="1">
      <alignment horizontal="center" vertical="center" wrapText="1"/>
    </xf>
    <xf numFmtId="43" fontId="12" fillId="21" borderId="1" xfId="1" applyFont="1" applyFill="1" applyBorder="1" applyAlignment="1">
      <alignment horizontal="center" vertical="center" wrapText="1"/>
    </xf>
    <xf numFmtId="4" fontId="9" fillId="20" borderId="10" xfId="0" applyNumberFormat="1" applyFont="1" applyFill="1" applyBorder="1" applyAlignment="1">
      <alignment horizontal="center" vertical="center"/>
    </xf>
    <xf numFmtId="4" fontId="9" fillId="20" borderId="11" xfId="0" applyNumberFormat="1" applyFont="1" applyFill="1" applyBorder="1" applyAlignment="1">
      <alignment horizontal="center" vertical="center"/>
    </xf>
    <xf numFmtId="43" fontId="9" fillId="20" borderId="15" xfId="0" applyNumberFormat="1" applyFont="1" applyFill="1" applyBorder="1" applyAlignment="1">
      <alignment vertical="center"/>
    </xf>
    <xf numFmtId="4" fontId="9" fillId="22" borderId="10" xfId="0" applyNumberFormat="1" applyFont="1" applyFill="1" applyBorder="1" applyAlignment="1">
      <alignment horizontal="center" vertical="center"/>
    </xf>
    <xf numFmtId="4" fontId="9" fillId="22" borderId="11" xfId="0" applyNumberFormat="1" applyFont="1" applyFill="1" applyBorder="1" applyAlignment="1">
      <alignment horizontal="center" vertical="center"/>
    </xf>
    <xf numFmtId="2" fontId="9" fillId="22" borderId="9" xfId="1" applyNumberFormat="1" applyFont="1" applyFill="1" applyBorder="1" applyAlignment="1">
      <alignment horizontal="center" vertical="center"/>
    </xf>
    <xf numFmtId="4" fontId="9" fillId="23" borderId="1" xfId="0" applyNumberFormat="1" applyFont="1" applyFill="1" applyBorder="1" applyAlignment="1">
      <alignment horizontal="center" vertical="center" wrapText="1"/>
    </xf>
    <xf numFmtId="4" fontId="9" fillId="23" borderId="25" xfId="0" applyNumberFormat="1" applyFont="1" applyFill="1" applyBorder="1" applyAlignment="1">
      <alignment horizontal="center" vertical="center" wrapText="1"/>
    </xf>
    <xf numFmtId="4" fontId="9" fillId="18" borderId="10" xfId="0" applyNumberFormat="1" applyFont="1" applyFill="1" applyBorder="1" applyAlignment="1">
      <alignment horizontal="center" vertical="center"/>
    </xf>
    <xf numFmtId="4" fontId="9" fillId="18" borderId="11" xfId="0" applyNumberFormat="1" applyFont="1" applyFill="1" applyBorder="1" applyAlignment="1">
      <alignment horizontal="center" vertical="center"/>
    </xf>
    <xf numFmtId="0" fontId="21" fillId="4" borderId="0" xfId="0" applyFont="1" applyFill="1" applyAlignment="1">
      <alignment vertical="center"/>
    </xf>
    <xf numFmtId="0" fontId="21" fillId="4" borderId="0" xfId="0" applyFont="1" applyFill="1" applyAlignment="1">
      <alignment horizontal="center" vertical="center"/>
    </xf>
    <xf numFmtId="4" fontId="21" fillId="4" borderId="0" xfId="0" applyNumberFormat="1" applyFont="1" applyFill="1" applyAlignment="1">
      <alignment vertical="center"/>
    </xf>
    <xf numFmtId="0" fontId="21" fillId="19" borderId="0" xfId="0" applyFont="1" applyFill="1" applyAlignment="1">
      <alignment vertical="center"/>
    </xf>
    <xf numFmtId="164" fontId="21" fillId="19" borderId="0" xfId="0" applyNumberFormat="1" applyFont="1" applyFill="1" applyAlignment="1">
      <alignment vertical="center"/>
    </xf>
    <xf numFmtId="0" fontId="21" fillId="19" borderId="0" xfId="0" applyFont="1" applyFill="1" applyAlignment="1">
      <alignment horizontal="center" vertical="center"/>
    </xf>
    <xf numFmtId="4" fontId="21" fillId="19" borderId="0" xfId="0" applyNumberFormat="1" applyFont="1" applyFill="1" applyAlignment="1">
      <alignment vertical="center"/>
    </xf>
    <xf numFmtId="0" fontId="21" fillId="23" borderId="0" xfId="0" applyFont="1" applyFill="1" applyAlignment="1">
      <alignment vertical="center"/>
    </xf>
    <xf numFmtId="43" fontId="21" fillId="23" borderId="0" xfId="1" applyFont="1" applyFill="1" applyBorder="1" applyAlignment="1">
      <alignment vertical="center"/>
    </xf>
    <xf numFmtId="0" fontId="21" fillId="23" borderId="0" xfId="0" applyFont="1" applyFill="1" applyAlignment="1">
      <alignment horizontal="center" vertical="center"/>
    </xf>
    <xf numFmtId="43" fontId="21" fillId="23" borderId="0" xfId="1" applyFont="1" applyFill="1" applyBorder="1" applyAlignment="1">
      <alignment horizontal="center" vertical="top"/>
    </xf>
    <xf numFmtId="43" fontId="9" fillId="23" borderId="0" xfId="1" applyFont="1" applyFill="1" applyBorder="1" applyAlignment="1"/>
    <xf numFmtId="4" fontId="21" fillId="23" borderId="0" xfId="0" applyNumberFormat="1" applyFont="1" applyFill="1" applyAlignment="1">
      <alignment horizontal="center"/>
    </xf>
    <xf numFmtId="0" fontId="21" fillId="24" borderId="0" xfId="0" applyFont="1" applyFill="1" applyAlignment="1">
      <alignment vertical="center"/>
    </xf>
    <xf numFmtId="164" fontId="21" fillId="24" borderId="0" xfId="0" applyNumberFormat="1" applyFont="1" applyFill="1" applyAlignment="1">
      <alignment vertical="center"/>
    </xf>
    <xf numFmtId="0" fontId="21" fillId="24" borderId="0" xfId="0" applyFont="1" applyFill="1" applyAlignment="1">
      <alignment horizontal="center" vertical="center"/>
    </xf>
    <xf numFmtId="4" fontId="21" fillId="24" borderId="0" xfId="0" applyNumberFormat="1" applyFont="1" applyFill="1" applyAlignment="1">
      <alignment vertical="center"/>
    </xf>
    <xf numFmtId="4" fontId="21" fillId="24" borderId="0" xfId="0" applyNumberFormat="1" applyFont="1" applyFill="1" applyAlignment="1">
      <alignment horizontal="center" vertical="center"/>
    </xf>
    <xf numFmtId="10" fontId="3" fillId="3" borderId="0" xfId="2" applyNumberFormat="1" applyFont="1" applyFill="1" applyBorder="1" applyAlignment="1">
      <alignment vertical="center"/>
    </xf>
    <xf numFmtId="10" fontId="3" fillId="6" borderId="0" xfId="2" applyNumberFormat="1" applyFont="1" applyFill="1" applyAlignment="1">
      <alignment horizontal="right" vertical="center"/>
    </xf>
    <xf numFmtId="167" fontId="15" fillId="11" borderId="1" xfId="0" applyNumberFormat="1" applyFont="1" applyFill="1" applyBorder="1" applyAlignment="1">
      <alignment horizontal="center" vertical="center"/>
    </xf>
    <xf numFmtId="0" fontId="11" fillId="0" borderId="7" xfId="0" applyFont="1" applyBorder="1" applyAlignment="1">
      <alignment horizontal="right"/>
    </xf>
    <xf numFmtId="0" fontId="11" fillId="0" borderId="6" xfId="0" applyFont="1" applyBorder="1" applyAlignment="1">
      <alignment horizontal="right"/>
    </xf>
    <xf numFmtId="0" fontId="8" fillId="0" borderId="0" xfId="0" applyFont="1"/>
    <xf numFmtId="0" fontId="11" fillId="2" borderId="7" xfId="0" applyFont="1" applyFill="1" applyBorder="1" applyAlignment="1">
      <alignment horizontal="center"/>
    </xf>
    <xf numFmtId="43" fontId="21" fillId="15" borderId="0" xfId="0" applyNumberFormat="1" applyFont="1" applyFill="1" applyAlignment="1">
      <alignment vertical="center"/>
    </xf>
    <xf numFmtId="14" fontId="16" fillId="18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168" fontId="9" fillId="0" borderId="9" xfId="0" applyNumberFormat="1" applyFont="1" applyBorder="1" applyAlignment="1">
      <alignment horizontal="center" vertical="center" wrapText="1"/>
    </xf>
    <xf numFmtId="168" fontId="9" fillId="0" borderId="10" xfId="0" applyNumberFormat="1" applyFont="1" applyBorder="1" applyAlignment="1">
      <alignment horizontal="center" vertical="center" wrapText="1"/>
    </xf>
    <xf numFmtId="168" fontId="9" fillId="0" borderId="11" xfId="0" applyNumberFormat="1" applyFont="1" applyBorder="1" applyAlignment="1">
      <alignment horizontal="center" vertical="center" wrapText="1"/>
    </xf>
    <xf numFmtId="43" fontId="16" fillId="5" borderId="1" xfId="0" applyNumberFormat="1" applyFont="1" applyFill="1" applyBorder="1" applyAlignment="1">
      <alignment horizontal="center" vertical="center"/>
    </xf>
    <xf numFmtId="168" fontId="16" fillId="5" borderId="1" xfId="0" applyNumberFormat="1" applyFont="1" applyFill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164" fontId="9" fillId="0" borderId="19" xfId="0" applyNumberFormat="1" applyFont="1" applyBorder="1" applyAlignment="1">
      <alignment horizontal="center" vertical="center"/>
    </xf>
    <xf numFmtId="164" fontId="9" fillId="0" borderId="21" xfId="0" applyNumberFormat="1" applyFont="1" applyBorder="1" applyAlignment="1">
      <alignment horizontal="center" vertical="center"/>
    </xf>
    <xf numFmtId="164" fontId="9" fillId="0" borderId="18" xfId="0" applyNumberFormat="1" applyFont="1" applyBorder="1" applyAlignment="1">
      <alignment horizontal="center" vertical="center"/>
    </xf>
    <xf numFmtId="43" fontId="9" fillId="0" borderId="19" xfId="0" applyNumberFormat="1" applyFont="1" applyBorder="1" applyAlignment="1">
      <alignment horizontal="center" vertical="center"/>
    </xf>
    <xf numFmtId="43" fontId="9" fillId="0" borderId="21" xfId="0" applyNumberFormat="1" applyFont="1" applyBorder="1" applyAlignment="1">
      <alignment horizontal="center" vertical="center"/>
    </xf>
    <xf numFmtId="43" fontId="9" fillId="0" borderId="18" xfId="0" applyNumberFormat="1" applyFont="1" applyBorder="1" applyAlignment="1">
      <alignment horizontal="center" vertical="center"/>
    </xf>
    <xf numFmtId="43" fontId="9" fillId="0" borderId="19" xfId="1" applyFont="1" applyFill="1" applyBorder="1" applyAlignment="1">
      <alignment horizontal="center" vertical="center" wrapText="1"/>
    </xf>
    <xf numFmtId="43" fontId="9" fillId="0" borderId="21" xfId="1" applyFont="1" applyFill="1" applyBorder="1" applyAlignment="1">
      <alignment horizontal="center" vertical="center" wrapText="1"/>
    </xf>
    <xf numFmtId="43" fontId="9" fillId="0" borderId="18" xfId="1" applyFont="1" applyFill="1" applyBorder="1" applyAlignment="1">
      <alignment horizontal="center" vertical="center" wrapText="1"/>
    </xf>
    <xf numFmtId="168" fontId="16" fillId="8" borderId="19" xfId="0" applyNumberFormat="1" applyFont="1" applyFill="1" applyBorder="1" applyAlignment="1">
      <alignment horizontal="center" vertical="center" wrapText="1"/>
    </xf>
    <xf numFmtId="168" fontId="16" fillId="8" borderId="21" xfId="0" applyNumberFormat="1" applyFont="1" applyFill="1" applyBorder="1" applyAlignment="1">
      <alignment horizontal="center" vertical="center" wrapText="1"/>
    </xf>
    <xf numFmtId="168" fontId="16" fillId="8" borderId="18" xfId="0" applyNumberFormat="1" applyFont="1" applyFill="1" applyBorder="1" applyAlignment="1">
      <alignment horizontal="center" vertical="center" wrapText="1"/>
    </xf>
    <xf numFmtId="0" fontId="23" fillId="3" borderId="9" xfId="0" applyFont="1" applyFill="1" applyBorder="1" applyAlignment="1">
      <alignment horizontal="center"/>
    </xf>
    <xf numFmtId="0" fontId="23" fillId="3" borderId="10" xfId="0" applyFont="1" applyFill="1" applyBorder="1" applyAlignment="1">
      <alignment horizontal="center"/>
    </xf>
    <xf numFmtId="0" fontId="23" fillId="3" borderId="11" xfId="0" applyFont="1" applyFill="1" applyBorder="1" applyAlignment="1">
      <alignment horizontal="center"/>
    </xf>
    <xf numFmtId="0" fontId="11" fillId="0" borderId="5" xfId="0" applyFont="1" applyBorder="1" applyAlignment="1">
      <alignment horizontal="right"/>
    </xf>
    <xf numFmtId="0" fontId="11" fillId="0" borderId="7" xfId="0" applyFont="1" applyBorder="1" applyAlignment="1">
      <alignment horizontal="right"/>
    </xf>
    <xf numFmtId="0" fontId="11" fillId="0" borderId="6" xfId="0" applyFont="1" applyBorder="1" applyAlignment="1">
      <alignment horizontal="right"/>
    </xf>
    <xf numFmtId="0" fontId="8" fillId="0" borderId="0" xfId="0" applyFont="1"/>
    <xf numFmtId="0" fontId="11" fillId="2" borderId="7" xfId="0" applyFont="1" applyFill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164" fontId="1" fillId="0" borderId="2" xfId="3" applyNumberFormat="1" applyFont="1" applyFill="1" applyBorder="1" applyAlignment="1">
      <alignment horizontal="center" vertical="center" wrapText="1"/>
    </xf>
    <xf numFmtId="164" fontId="1" fillId="0" borderId="3" xfId="3" applyNumberFormat="1" applyFont="1" applyFill="1" applyBorder="1" applyAlignment="1">
      <alignment horizontal="center" vertical="center" wrapText="1"/>
    </xf>
    <xf numFmtId="164" fontId="1" fillId="0" borderId="4" xfId="3" applyNumberFormat="1" applyFont="1" applyFill="1" applyBorder="1" applyAlignment="1">
      <alignment horizontal="center" vertical="center" wrapText="1"/>
    </xf>
    <xf numFmtId="164" fontId="1" fillId="0" borderId="2" xfId="3" applyNumberFormat="1" applyFont="1" applyFill="1" applyBorder="1" applyAlignment="1">
      <alignment horizontal="center" vertical="center"/>
    </xf>
    <xf numFmtId="164" fontId="1" fillId="0" borderId="3" xfId="3" applyNumberFormat="1" applyFont="1" applyFill="1" applyBorder="1" applyAlignment="1">
      <alignment horizontal="center" vertical="center"/>
    </xf>
    <xf numFmtId="164" fontId="1" fillId="0" borderId="4" xfId="3" applyNumberFormat="1" applyFont="1" applyFill="1" applyBorder="1" applyAlignment="1">
      <alignment horizontal="center" vertical="center"/>
    </xf>
  </cellXfs>
  <cellStyles count="5">
    <cellStyle name="Comma" xfId="1" builtinId="3"/>
    <cellStyle name="Comma 2" xfId="3"/>
    <cellStyle name="Normal" xfId="0" builtinId="0"/>
    <cellStyle name="Normal 2" xfId="4"/>
    <cellStyle name="Percent" xfId="2" builtinId="5"/>
  </cellStyles>
  <dxfs count="0"/>
  <tableStyles count="0" defaultTableStyle="TableStyleMedium2" defaultPivotStyle="PivotStyleLight16"/>
  <colors>
    <mruColors>
      <color rgb="FFD448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AW1335"/>
  <sheetViews>
    <sheetView topLeftCell="F1" zoomScale="70" zoomScaleNormal="70" workbookViewId="0">
      <selection activeCell="F1" sqref="A1:XFD1048576"/>
    </sheetView>
  </sheetViews>
  <sheetFormatPr defaultColWidth="9" defaultRowHeight="15.75" x14ac:dyDescent="0.25"/>
  <cols>
    <col min="1" max="1" width="3.7109375" style="10" customWidth="1"/>
    <col min="2" max="2" width="34.7109375" style="10" customWidth="1"/>
    <col min="3" max="3" width="32.140625" style="10" bestFit="1" customWidth="1"/>
    <col min="4" max="4" width="38.85546875" style="10" customWidth="1"/>
    <col min="5" max="5" width="11.7109375" style="10" customWidth="1"/>
    <col min="6" max="6" width="2.28515625" style="10" customWidth="1"/>
    <col min="7" max="7" width="12.42578125" style="10" customWidth="1"/>
    <col min="8" max="8" width="2.28515625" style="10" customWidth="1"/>
    <col min="9" max="9" width="16.85546875" style="10" bestFit="1" customWidth="1"/>
    <col min="10" max="10" width="10.140625" style="267" customWidth="1"/>
    <col min="11" max="11" width="1.85546875" style="10" customWidth="1"/>
    <col min="12" max="12" width="10.28515625" style="10" customWidth="1"/>
    <col min="13" max="13" width="4.140625" style="10" customWidth="1"/>
    <col min="14" max="14" width="2.140625" style="10" customWidth="1"/>
    <col min="15" max="15" width="8.7109375" style="103" hidden="1" customWidth="1"/>
    <col min="16" max="16" width="8.42578125" style="103" hidden="1" customWidth="1"/>
    <col min="17" max="17" width="8.140625" style="103" hidden="1" customWidth="1"/>
    <col min="18" max="18" width="14.42578125" style="103" bestFit="1" customWidth="1"/>
    <col min="19" max="19" width="9.5703125" style="103" bestFit="1" customWidth="1"/>
    <col min="20" max="20" width="10.7109375" style="103" customWidth="1"/>
    <col min="21" max="21" width="7.28515625" style="103" bestFit="1" customWidth="1"/>
    <col min="22" max="22" width="10" style="103" customWidth="1"/>
    <col min="23" max="23" width="8.140625" style="103" bestFit="1" customWidth="1"/>
    <col min="24" max="24" width="7.28515625" style="103" customWidth="1"/>
    <col min="25" max="25" width="8.5703125" style="103" customWidth="1"/>
    <col min="26" max="26" width="7.7109375" style="103" customWidth="1"/>
    <col min="27" max="27" width="5.7109375" style="103" customWidth="1"/>
    <col min="28" max="28" width="8.140625" style="103" bestFit="1" customWidth="1"/>
    <col min="29" max="30" width="10" style="103" customWidth="1"/>
    <col min="31" max="31" width="9.7109375" style="311" customWidth="1"/>
    <col min="32" max="32" width="10" style="311" bestFit="1" customWidth="1"/>
    <col min="33" max="33" width="10" style="103" bestFit="1" customWidth="1"/>
    <col min="34" max="34" width="2.140625" style="85" customWidth="1"/>
    <col min="35" max="35" width="7.28515625" style="103" bestFit="1" customWidth="1"/>
    <col min="36" max="36" width="8.85546875" style="104" bestFit="1" customWidth="1"/>
    <col min="37" max="37" width="9.140625" style="104" customWidth="1"/>
    <col min="38" max="38" width="7.5703125" style="10" hidden="1" customWidth="1"/>
    <col min="39" max="39" width="7.85546875" style="10" hidden="1" customWidth="1"/>
    <col min="40" max="40" width="7.7109375" style="10" hidden="1" customWidth="1"/>
    <col min="41" max="41" width="7.7109375" style="10" bestFit="1" customWidth="1"/>
    <col min="42" max="43" width="7.5703125" style="10" bestFit="1" customWidth="1"/>
    <col min="44" max="44" width="1.28515625" style="10" customWidth="1"/>
    <col min="45" max="45" width="8.7109375" style="10" bestFit="1" customWidth="1"/>
    <col min="46" max="47" width="10" style="10" customWidth="1"/>
    <col min="48" max="16384" width="9" style="10"/>
  </cols>
  <sheetData>
    <row r="1" spans="1:49" x14ac:dyDescent="0.25">
      <c r="A1" s="8"/>
      <c r="B1" s="8"/>
      <c r="C1" s="377" t="s">
        <v>96</v>
      </c>
      <c r="D1" s="377"/>
      <c r="E1" s="377"/>
      <c r="F1" s="377"/>
      <c r="G1" s="377"/>
      <c r="H1" s="8"/>
      <c r="I1" s="8"/>
      <c r="J1" s="186"/>
      <c r="K1" s="9"/>
      <c r="N1" s="378"/>
      <c r="O1" s="378"/>
      <c r="P1" s="378"/>
      <c r="Q1" s="378"/>
      <c r="R1" s="378"/>
      <c r="S1" s="378" t="s">
        <v>98</v>
      </c>
      <c r="T1" s="378"/>
      <c r="U1" s="378"/>
      <c r="V1" s="378"/>
      <c r="W1" s="378"/>
      <c r="X1" s="52"/>
      <c r="Y1" s="52"/>
      <c r="Z1" s="52"/>
      <c r="AA1" s="52"/>
      <c r="AB1" s="52"/>
      <c r="AC1" s="52"/>
      <c r="AD1" s="52"/>
      <c r="AE1" s="305"/>
      <c r="AF1" s="305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</row>
    <row r="2" spans="1:49" x14ac:dyDescent="0.25">
      <c r="B2" s="11">
        <v>46236</v>
      </c>
      <c r="C2" s="12"/>
      <c r="D2" s="13"/>
      <c r="E2" s="14"/>
      <c r="F2" s="15"/>
      <c r="G2" s="16"/>
      <c r="H2" s="15"/>
      <c r="I2" s="16"/>
      <c r="J2" s="187"/>
      <c r="K2" s="9"/>
      <c r="L2" s="9"/>
      <c r="M2" s="9"/>
      <c r="N2" s="281"/>
      <c r="O2" s="281"/>
      <c r="P2" s="281"/>
      <c r="Q2" s="281"/>
      <c r="R2" s="282"/>
      <c r="S2" s="282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306"/>
      <c r="AF2" s="306"/>
      <c r="AG2" s="17"/>
      <c r="AH2" s="17"/>
      <c r="AI2" s="17"/>
      <c r="AJ2" s="17"/>
      <c r="AK2" s="17"/>
      <c r="AL2" s="18"/>
      <c r="AM2" s="18"/>
      <c r="AN2" s="18"/>
      <c r="AO2" s="18"/>
      <c r="AP2" s="18"/>
      <c r="AQ2" s="18"/>
      <c r="AR2" s="18"/>
      <c r="AS2" s="18"/>
      <c r="AT2" s="18"/>
      <c r="AU2" s="18"/>
    </row>
    <row r="3" spans="1:49" ht="16.5" customHeight="1" thickBot="1" x14ac:dyDescent="0.3">
      <c r="B3" s="19"/>
      <c r="C3" s="12"/>
      <c r="D3" s="13"/>
      <c r="E3" s="14"/>
      <c r="F3" s="15"/>
      <c r="G3" s="16"/>
      <c r="H3" s="15"/>
      <c r="I3" s="16"/>
      <c r="J3" s="188"/>
      <c r="K3" s="9"/>
      <c r="L3" s="9"/>
      <c r="M3" s="9"/>
      <c r="N3" s="20"/>
      <c r="O3" s="189" t="s">
        <v>3</v>
      </c>
      <c r="P3" s="383" t="s">
        <v>35</v>
      </c>
      <c r="Q3" s="383"/>
      <c r="R3" s="383"/>
      <c r="S3" s="383"/>
      <c r="T3" s="383"/>
      <c r="U3" s="383"/>
      <c r="V3" s="383"/>
      <c r="W3" s="383"/>
      <c r="X3" s="283"/>
      <c r="Y3" s="283"/>
      <c r="Z3" s="284"/>
      <c r="AA3" s="190">
        <f>SUM(AA6:AA56)</f>
        <v>0</v>
      </c>
      <c r="AB3" s="396" t="s">
        <v>28</v>
      </c>
      <c r="AC3" s="397"/>
      <c r="AD3" s="398"/>
      <c r="AE3" s="396" t="s">
        <v>28</v>
      </c>
      <c r="AF3" s="397"/>
      <c r="AG3" s="398"/>
      <c r="AH3" s="299"/>
      <c r="AI3" s="382" t="s">
        <v>36</v>
      </c>
      <c r="AJ3" s="382"/>
      <c r="AK3" s="382"/>
      <c r="AL3" s="382"/>
      <c r="AM3" s="382"/>
      <c r="AN3" s="382"/>
      <c r="AO3" s="382"/>
      <c r="AP3" s="382"/>
      <c r="AQ3" s="382"/>
      <c r="AR3" s="261"/>
      <c r="AS3" s="382" t="s">
        <v>88</v>
      </c>
      <c r="AT3" s="382"/>
      <c r="AU3" s="382"/>
    </row>
    <row r="4" spans="1:49" ht="16.5" customHeight="1" thickBot="1" x14ac:dyDescent="0.3">
      <c r="B4" s="21" t="s">
        <v>37</v>
      </c>
      <c r="C4" s="22" t="s">
        <v>77</v>
      </c>
      <c r="D4" s="23" t="s">
        <v>38</v>
      </c>
      <c r="E4" s="24">
        <f>S31</f>
        <v>120</v>
      </c>
      <c r="F4" s="25" t="s">
        <v>39</v>
      </c>
      <c r="G4" s="26">
        <v>102000</v>
      </c>
      <c r="H4" s="27" t="s">
        <v>22</v>
      </c>
      <c r="I4" s="26">
        <f>E4*G4</f>
        <v>12240000</v>
      </c>
      <c r="J4" s="192">
        <f>E4/E7</f>
        <v>1</v>
      </c>
      <c r="K4" s="28"/>
      <c r="L4" s="29">
        <v>0.2</v>
      </c>
      <c r="M4" s="9"/>
      <c r="N4" s="20"/>
      <c r="O4" s="276"/>
      <c r="P4" s="297"/>
      <c r="Q4" s="298"/>
      <c r="R4" s="384" t="s">
        <v>92</v>
      </c>
      <c r="S4" s="385"/>
      <c r="T4" s="386"/>
      <c r="U4" s="379" t="s">
        <v>103</v>
      </c>
      <c r="V4" s="380"/>
      <c r="W4" s="381"/>
      <c r="X4" s="379" t="s">
        <v>101</v>
      </c>
      <c r="Y4" s="380"/>
      <c r="Z4" s="381"/>
      <c r="AA4" s="190"/>
      <c r="AB4" s="379" t="s">
        <v>93</v>
      </c>
      <c r="AC4" s="380"/>
      <c r="AD4" s="381"/>
      <c r="AE4" s="379" t="s">
        <v>62</v>
      </c>
      <c r="AF4" s="380"/>
      <c r="AG4" s="381"/>
      <c r="AH4" s="191"/>
      <c r="AI4" s="390" t="s">
        <v>95</v>
      </c>
      <c r="AJ4" s="391"/>
      <c r="AK4" s="392"/>
      <c r="AL4" s="300" t="s">
        <v>63</v>
      </c>
      <c r="AM4" s="301"/>
      <c r="AN4" s="302"/>
      <c r="AO4" s="393" t="s">
        <v>102</v>
      </c>
      <c r="AP4" s="394"/>
      <c r="AQ4" s="395"/>
      <c r="AR4" s="191"/>
      <c r="AS4" s="387" t="s">
        <v>89</v>
      </c>
      <c r="AT4" s="388"/>
      <c r="AU4" s="389"/>
    </row>
    <row r="5" spans="1:49" x14ac:dyDescent="0.25">
      <c r="B5" s="23"/>
      <c r="C5" s="35" t="s">
        <v>99</v>
      </c>
      <c r="D5" s="23"/>
      <c r="E5" s="24">
        <f>V31</f>
        <v>0</v>
      </c>
      <c r="F5" s="25" t="s">
        <v>39</v>
      </c>
      <c r="G5" s="26">
        <v>96000</v>
      </c>
      <c r="H5" s="27" t="s">
        <v>22</v>
      </c>
      <c r="I5" s="26">
        <f t="shared" ref="I5:I6" si="0">E5*G5</f>
        <v>0</v>
      </c>
      <c r="J5" s="192">
        <f>E5/E7</f>
        <v>0</v>
      </c>
      <c r="K5" s="31"/>
      <c r="L5" s="29">
        <v>0.7</v>
      </c>
      <c r="M5" s="32"/>
      <c r="N5" s="33"/>
      <c r="O5" s="193" t="s">
        <v>34</v>
      </c>
      <c r="P5" s="194" t="s">
        <v>40</v>
      </c>
      <c r="Q5" s="194" t="s">
        <v>41</v>
      </c>
      <c r="R5" s="194" t="s">
        <v>34</v>
      </c>
      <c r="S5" s="194" t="s">
        <v>40</v>
      </c>
      <c r="T5" s="194" t="s">
        <v>41</v>
      </c>
      <c r="U5" s="194" t="s">
        <v>34</v>
      </c>
      <c r="V5" s="194" t="s">
        <v>40</v>
      </c>
      <c r="W5" s="194" t="s">
        <v>41</v>
      </c>
      <c r="X5" s="194" t="s">
        <v>34</v>
      </c>
      <c r="Y5" s="194" t="s">
        <v>40</v>
      </c>
      <c r="Z5" s="195" t="s">
        <v>41</v>
      </c>
      <c r="AA5" s="190"/>
      <c r="AB5" s="196" t="s">
        <v>34</v>
      </c>
      <c r="AC5" s="194" t="s">
        <v>40</v>
      </c>
      <c r="AD5" s="195" t="s">
        <v>41</v>
      </c>
      <c r="AE5" s="314" t="s">
        <v>34</v>
      </c>
      <c r="AF5" s="321" t="s">
        <v>40</v>
      </c>
      <c r="AG5" s="195" t="s">
        <v>41</v>
      </c>
      <c r="AH5" s="191"/>
      <c r="AI5" s="193" t="s">
        <v>34</v>
      </c>
      <c r="AJ5" s="197" t="s">
        <v>40</v>
      </c>
      <c r="AK5" s="197" t="s">
        <v>41</v>
      </c>
      <c r="AL5" s="198" t="s">
        <v>34</v>
      </c>
      <c r="AM5" s="194" t="s">
        <v>40</v>
      </c>
      <c r="AN5" s="194" t="s">
        <v>41</v>
      </c>
      <c r="AO5" s="198" t="s">
        <v>34</v>
      </c>
      <c r="AP5" s="194" t="s">
        <v>40</v>
      </c>
      <c r="AQ5" s="195" t="s">
        <v>41</v>
      </c>
      <c r="AR5" s="191"/>
      <c r="AS5" s="193" t="s">
        <v>34</v>
      </c>
      <c r="AT5" s="194" t="s">
        <v>40</v>
      </c>
      <c r="AU5" s="195" t="s">
        <v>41</v>
      </c>
    </row>
    <row r="6" spans="1:49" x14ac:dyDescent="0.25">
      <c r="B6" s="23"/>
      <c r="C6" s="35" t="s">
        <v>101</v>
      </c>
      <c r="D6" s="23"/>
      <c r="E6" s="24">
        <f>Y31</f>
        <v>0</v>
      </c>
      <c r="F6" s="25" t="s">
        <v>39</v>
      </c>
      <c r="G6" s="26">
        <v>96000</v>
      </c>
      <c r="H6" s="27" t="s">
        <v>22</v>
      </c>
      <c r="I6" s="26">
        <f t="shared" si="0"/>
        <v>0</v>
      </c>
      <c r="J6" s="192"/>
      <c r="K6" s="31"/>
      <c r="L6" s="29"/>
      <c r="M6" s="32"/>
      <c r="N6" s="34"/>
      <c r="O6" s="200">
        <f>P6-Q6</f>
        <v>0</v>
      </c>
      <c r="P6" s="201"/>
      <c r="Q6" s="201"/>
      <c r="R6" s="202">
        <f t="shared" ref="R6:R18" si="1">S6-T6</f>
        <v>0.29999999999999716</v>
      </c>
      <c r="S6" s="326">
        <v>40</v>
      </c>
      <c r="T6" s="326">
        <v>39.700000000000003</v>
      </c>
      <c r="U6" s="202">
        <f>V6-W6</f>
        <v>0</v>
      </c>
      <c r="V6" s="326"/>
      <c r="W6" s="326"/>
      <c r="X6" s="202">
        <f>Y6-Z6</f>
        <v>0</v>
      </c>
      <c r="Y6" s="203"/>
      <c r="Z6" s="204"/>
      <c r="AA6" s="190"/>
      <c r="AB6" s="205">
        <f>AC6-AD6</f>
        <v>0</v>
      </c>
      <c r="AC6" s="206"/>
      <c r="AD6" s="207"/>
      <c r="AE6" s="205">
        <f t="shared" ref="AE6:AE30" si="2">AF6-AG6</f>
        <v>0.21000000000000085</v>
      </c>
      <c r="AF6" s="206">
        <v>23.21</v>
      </c>
      <c r="AG6" s="207">
        <v>23</v>
      </c>
      <c r="AH6" s="191"/>
      <c r="AI6" s="208">
        <f>AJ6-AK6</f>
        <v>0</v>
      </c>
      <c r="AJ6" s="334"/>
      <c r="AK6" s="334"/>
      <c r="AL6" s="209">
        <f t="shared" ref="AL6:AL18" si="3">AM6-AN6</f>
        <v>0</v>
      </c>
      <c r="AM6" s="210"/>
      <c r="AN6" s="210"/>
      <c r="AO6" s="209">
        <f>AP6-AQ6</f>
        <v>0.19999999999999929</v>
      </c>
      <c r="AP6" s="334">
        <v>25</v>
      </c>
      <c r="AQ6" s="336">
        <v>24.8</v>
      </c>
      <c r="AR6" s="191"/>
      <c r="AS6" s="208">
        <f>AT6-AU6</f>
        <v>0.35000000000000142</v>
      </c>
      <c r="AT6" s="347">
        <v>50.2</v>
      </c>
      <c r="AU6" s="348">
        <v>49.85</v>
      </c>
    </row>
    <row r="7" spans="1:49" x14ac:dyDescent="0.25">
      <c r="C7" s="23"/>
      <c r="D7" s="35" t="s">
        <v>25</v>
      </c>
      <c r="E7" s="40">
        <f>SUM(E4:E6)</f>
        <v>120</v>
      </c>
      <c r="F7" s="41"/>
      <c r="G7" s="42"/>
      <c r="H7" s="43"/>
      <c r="I7" s="44">
        <f>SUM(I4:I6)</f>
        <v>12240000</v>
      </c>
      <c r="J7" s="212"/>
      <c r="K7" s="45"/>
      <c r="L7" s="28"/>
      <c r="M7" s="31"/>
      <c r="N7" s="34"/>
      <c r="O7" s="200">
        <f t="shared" ref="O7:O23" si="4">P7-Q7</f>
        <v>0</v>
      </c>
      <c r="P7" s="211"/>
      <c r="Q7" s="211"/>
      <c r="R7" s="202">
        <f>S7-T7</f>
        <v>0.10000000000000142</v>
      </c>
      <c r="S7" s="326">
        <v>20</v>
      </c>
      <c r="T7" s="326">
        <v>19.899999999999999</v>
      </c>
      <c r="U7" s="202">
        <f t="shared" ref="U7:U30" si="5">V7-W7</f>
        <v>0</v>
      </c>
      <c r="V7" s="326"/>
      <c r="W7" s="326"/>
      <c r="X7" s="202">
        <f>Y7-Z7</f>
        <v>0</v>
      </c>
      <c r="Y7" s="203"/>
      <c r="Z7" s="285"/>
      <c r="AA7" s="190"/>
      <c r="AB7" s="205">
        <f t="shared" ref="AB7:AB30" si="6">AC7-AD7</f>
        <v>0</v>
      </c>
      <c r="AC7" s="206"/>
      <c r="AD7" s="207"/>
      <c r="AE7" s="205">
        <f t="shared" si="2"/>
        <v>0</v>
      </c>
      <c r="AF7" s="206"/>
      <c r="AG7" s="207"/>
      <c r="AH7" s="191"/>
      <c r="AI7" s="208">
        <f>AJ7-AK7</f>
        <v>0</v>
      </c>
      <c r="AJ7" s="334"/>
      <c r="AK7" s="334"/>
      <c r="AL7" s="209">
        <f t="shared" si="3"/>
        <v>0</v>
      </c>
      <c r="AM7" s="210"/>
      <c r="AN7" s="210"/>
      <c r="AO7" s="209">
        <f>AP7-AQ7</f>
        <v>0</v>
      </c>
      <c r="AP7" s="337"/>
      <c r="AQ7" s="338"/>
      <c r="AR7" s="191"/>
      <c r="AS7" s="208">
        <f>AT7-AU7</f>
        <v>0.60000000000000142</v>
      </c>
      <c r="AT7" s="347">
        <v>50</v>
      </c>
      <c r="AU7" s="348">
        <v>49.4</v>
      </c>
      <c r="AW7" s="39"/>
    </row>
    <row r="8" spans="1:49" x14ac:dyDescent="0.25">
      <c r="B8" s="46" t="s">
        <v>42</v>
      </c>
      <c r="C8" s="354" t="str">
        <f>C4</f>
        <v>HQ 41/44/45 FQ 65</v>
      </c>
      <c r="D8" s="23" t="s">
        <v>38</v>
      </c>
      <c r="E8" s="355">
        <f>T31</f>
        <v>119.05000000000001</v>
      </c>
      <c r="F8" s="356" t="s">
        <v>39</v>
      </c>
      <c r="G8" s="357">
        <f>G4</f>
        <v>102000</v>
      </c>
      <c r="H8" s="356" t="s">
        <v>22</v>
      </c>
      <c r="I8" s="357">
        <f>E8*G8</f>
        <v>12143100.000000002</v>
      </c>
      <c r="J8" s="199"/>
      <c r="K8" s="48"/>
      <c r="L8" s="45"/>
      <c r="M8" s="31"/>
      <c r="N8" s="33"/>
      <c r="O8" s="200">
        <f t="shared" si="4"/>
        <v>0</v>
      </c>
      <c r="P8" s="211"/>
      <c r="Q8" s="211"/>
      <c r="R8" s="202">
        <f t="shared" si="1"/>
        <v>0.14999999999999858</v>
      </c>
      <c r="S8" s="326">
        <v>20</v>
      </c>
      <c r="T8" s="326">
        <v>19.850000000000001</v>
      </c>
      <c r="U8" s="202">
        <f t="shared" si="5"/>
        <v>0</v>
      </c>
      <c r="V8" s="326"/>
      <c r="W8" s="326"/>
      <c r="X8" s="202">
        <f t="shared" ref="X8:X18" si="7">Y8-Z8</f>
        <v>0</v>
      </c>
      <c r="Y8" s="203"/>
      <c r="Z8" s="204"/>
      <c r="AA8" s="190"/>
      <c r="AB8" s="205">
        <f t="shared" si="6"/>
        <v>0</v>
      </c>
      <c r="AC8" s="206"/>
      <c r="AD8" s="207"/>
      <c r="AE8" s="205">
        <f t="shared" si="2"/>
        <v>0</v>
      </c>
      <c r="AF8" s="206"/>
      <c r="AG8" s="207"/>
      <c r="AH8" s="191"/>
      <c r="AI8" s="208">
        <f>AJ8-AK8</f>
        <v>0</v>
      </c>
      <c r="AJ8" s="334"/>
      <c r="AK8" s="334"/>
      <c r="AL8" s="209">
        <f t="shared" si="3"/>
        <v>0</v>
      </c>
      <c r="AM8" s="210"/>
      <c r="AN8" s="210"/>
      <c r="AO8" s="209">
        <f t="shared" ref="AO8:AO30" si="8">AP8-AQ8</f>
        <v>0</v>
      </c>
      <c r="AP8" s="337"/>
      <c r="AQ8" s="338"/>
      <c r="AR8" s="191"/>
      <c r="AS8" s="208">
        <f t="shared" ref="AS8:AS30" si="9">AT8-AU8</f>
        <v>0.44000000000000128</v>
      </c>
      <c r="AT8" s="347">
        <v>25.19</v>
      </c>
      <c r="AU8" s="348">
        <v>24.75</v>
      </c>
    </row>
    <row r="9" spans="1:49" x14ac:dyDescent="0.25">
      <c r="B9" s="23"/>
      <c r="C9" s="35" t="s">
        <v>100</v>
      </c>
      <c r="D9" s="23" t="s">
        <v>38</v>
      </c>
      <c r="E9" s="355">
        <f>W31</f>
        <v>0</v>
      </c>
      <c r="F9" s="356" t="s">
        <v>39</v>
      </c>
      <c r="G9" s="357">
        <v>102550</v>
      </c>
      <c r="H9" s="356" t="s">
        <v>22</v>
      </c>
      <c r="I9" s="357">
        <f>E9*G9</f>
        <v>0</v>
      </c>
      <c r="J9" s="213"/>
      <c r="K9" s="5"/>
      <c r="L9" s="48"/>
      <c r="M9" s="32"/>
      <c r="N9" s="20"/>
      <c r="O9" s="200">
        <f t="shared" si="4"/>
        <v>0</v>
      </c>
      <c r="P9" s="211"/>
      <c r="Q9" s="211"/>
      <c r="R9" s="202">
        <f t="shared" si="1"/>
        <v>0.39999999999999858</v>
      </c>
      <c r="S9" s="326">
        <v>40</v>
      </c>
      <c r="T9" s="326">
        <v>39.6</v>
      </c>
      <c r="U9" s="202">
        <f t="shared" si="5"/>
        <v>0</v>
      </c>
      <c r="V9" s="326"/>
      <c r="W9" s="326"/>
      <c r="X9" s="202">
        <f t="shared" si="7"/>
        <v>0</v>
      </c>
      <c r="Y9" s="203"/>
      <c r="Z9" s="204"/>
      <c r="AA9" s="190"/>
      <c r="AB9" s="205">
        <f t="shared" si="6"/>
        <v>0</v>
      </c>
      <c r="AC9" s="206"/>
      <c r="AD9" s="207"/>
      <c r="AE9" s="205">
        <f t="shared" si="2"/>
        <v>0</v>
      </c>
      <c r="AF9" s="206"/>
      <c r="AG9" s="207"/>
      <c r="AH9" s="191"/>
      <c r="AI9" s="208">
        <f>AJ9-AK9</f>
        <v>0</v>
      </c>
      <c r="AJ9" s="334"/>
      <c r="AK9" s="334"/>
      <c r="AL9" s="209">
        <f t="shared" si="3"/>
        <v>0</v>
      </c>
      <c r="AM9" s="210"/>
      <c r="AN9" s="210"/>
      <c r="AO9" s="209">
        <f t="shared" si="8"/>
        <v>0</v>
      </c>
      <c r="AP9" s="337"/>
      <c r="AQ9" s="338"/>
      <c r="AR9" s="191"/>
      <c r="AS9" s="208">
        <f t="shared" si="9"/>
        <v>0</v>
      </c>
      <c r="AT9" s="347"/>
      <c r="AU9" s="348"/>
    </row>
    <row r="10" spans="1:49" x14ac:dyDescent="0.25">
      <c r="B10" s="23"/>
      <c r="C10" s="35" t="s">
        <v>101</v>
      </c>
      <c r="D10" s="23"/>
      <c r="E10" s="24">
        <f>Z31</f>
        <v>0</v>
      </c>
      <c r="F10" s="25" t="s">
        <v>39</v>
      </c>
      <c r="G10" s="26">
        <v>96000</v>
      </c>
      <c r="H10" s="27" t="s">
        <v>22</v>
      </c>
      <c r="I10" s="26">
        <f t="shared" ref="I10" si="10">E10*G10</f>
        <v>0</v>
      </c>
      <c r="J10" s="213"/>
      <c r="K10" s="5"/>
      <c r="L10" s="48"/>
      <c r="M10" s="32"/>
      <c r="N10" s="49"/>
      <c r="O10" s="200">
        <f t="shared" si="4"/>
        <v>0</v>
      </c>
      <c r="P10" s="211"/>
      <c r="Q10" s="211"/>
      <c r="R10" s="202">
        <f t="shared" si="1"/>
        <v>0</v>
      </c>
      <c r="S10" s="326"/>
      <c r="T10" s="326"/>
      <c r="U10" s="202">
        <f t="shared" si="5"/>
        <v>0</v>
      </c>
      <c r="V10" s="326"/>
      <c r="W10" s="326"/>
      <c r="X10" s="202">
        <f t="shared" si="7"/>
        <v>0</v>
      </c>
      <c r="Y10" s="203"/>
      <c r="Z10" s="204"/>
      <c r="AA10" s="190"/>
      <c r="AB10" s="205">
        <f t="shared" si="6"/>
        <v>0</v>
      </c>
      <c r="AC10" s="206"/>
      <c r="AD10" s="207"/>
      <c r="AE10" s="205">
        <f t="shared" si="2"/>
        <v>0</v>
      </c>
      <c r="AF10" s="206"/>
      <c r="AG10" s="207"/>
      <c r="AH10" s="191"/>
      <c r="AI10" s="208">
        <f>AJ10-AK10</f>
        <v>0</v>
      </c>
      <c r="AJ10" s="334"/>
      <c r="AK10" s="334"/>
      <c r="AL10" s="209">
        <f t="shared" si="3"/>
        <v>0</v>
      </c>
      <c r="AM10" s="210"/>
      <c r="AN10" s="210"/>
      <c r="AO10" s="209">
        <f t="shared" si="8"/>
        <v>0</v>
      </c>
      <c r="AP10" s="337"/>
      <c r="AQ10" s="338"/>
      <c r="AR10" s="191"/>
      <c r="AS10" s="208">
        <f t="shared" si="9"/>
        <v>0</v>
      </c>
      <c r="AT10" s="347"/>
      <c r="AU10" s="348"/>
    </row>
    <row r="11" spans="1:49" x14ac:dyDescent="0.25">
      <c r="B11" s="23"/>
      <c r="C11" s="23"/>
      <c r="D11" s="35" t="s">
        <v>25</v>
      </c>
      <c r="E11" s="40">
        <f>SUM(E8:E10)</f>
        <v>119.05000000000001</v>
      </c>
      <c r="F11" s="52"/>
      <c r="G11" s="44"/>
      <c r="H11" s="52"/>
      <c r="I11" s="44">
        <f>SUM(I8:I10)</f>
        <v>12143100.000000002</v>
      </c>
      <c r="J11" s="217"/>
      <c r="L11" s="30"/>
      <c r="M11" s="5"/>
      <c r="N11" s="51"/>
      <c r="O11" s="200">
        <f t="shared" si="4"/>
        <v>0</v>
      </c>
      <c r="P11" s="211"/>
      <c r="Q11" s="211"/>
      <c r="R11" s="202">
        <f t="shared" si="1"/>
        <v>0</v>
      </c>
      <c r="S11" s="326"/>
      <c r="T11" s="326"/>
      <c r="U11" s="202">
        <f>V11-W11</f>
        <v>0</v>
      </c>
      <c r="V11" s="326"/>
      <c r="W11" s="326"/>
      <c r="X11" s="202">
        <f t="shared" si="7"/>
        <v>0</v>
      </c>
      <c r="Y11" s="203"/>
      <c r="Z11" s="204"/>
      <c r="AA11" s="190"/>
      <c r="AB11" s="205">
        <f t="shared" si="6"/>
        <v>0</v>
      </c>
      <c r="AC11" s="206"/>
      <c r="AD11" s="207"/>
      <c r="AE11" s="205">
        <f t="shared" si="2"/>
        <v>0</v>
      </c>
      <c r="AF11" s="206"/>
      <c r="AG11" s="207"/>
      <c r="AH11" s="191"/>
      <c r="AI11" s="208">
        <f t="shared" ref="AI11:AI18" si="11">AJ11-AK11</f>
        <v>0</v>
      </c>
      <c r="AJ11" s="334"/>
      <c r="AK11" s="334"/>
      <c r="AL11" s="209">
        <f t="shared" si="3"/>
        <v>0</v>
      </c>
      <c r="AM11" s="210"/>
      <c r="AN11" s="210"/>
      <c r="AO11" s="209">
        <f t="shared" si="8"/>
        <v>0</v>
      </c>
      <c r="AP11" s="337"/>
      <c r="AQ11" s="338"/>
      <c r="AR11" s="191"/>
      <c r="AS11" s="208">
        <f t="shared" si="9"/>
        <v>0</v>
      </c>
      <c r="AT11" s="347"/>
      <c r="AU11" s="348"/>
    </row>
    <row r="12" spans="1:49" x14ac:dyDescent="0.25">
      <c r="B12" s="23"/>
      <c r="C12" s="23"/>
      <c r="D12" s="35"/>
      <c r="E12" s="40"/>
      <c r="F12" s="52"/>
      <c r="G12" s="44"/>
      <c r="H12" s="52"/>
      <c r="I12" s="44"/>
      <c r="J12" s="217"/>
      <c r="K12" s="30"/>
      <c r="M12" s="5"/>
      <c r="N12" s="51"/>
      <c r="O12" s="200">
        <f t="shared" si="4"/>
        <v>0</v>
      </c>
      <c r="P12" s="211"/>
      <c r="Q12" s="211"/>
      <c r="R12" s="202">
        <f t="shared" si="1"/>
        <v>0</v>
      </c>
      <c r="S12" s="326"/>
      <c r="T12" s="326"/>
      <c r="U12" s="202">
        <f t="shared" si="5"/>
        <v>0</v>
      </c>
      <c r="V12" s="326"/>
      <c r="W12" s="326"/>
      <c r="X12" s="202">
        <f t="shared" si="7"/>
        <v>0</v>
      </c>
      <c r="Y12" s="203"/>
      <c r="Z12" s="204"/>
      <c r="AA12" s="190"/>
      <c r="AB12" s="205">
        <f t="shared" si="6"/>
        <v>0</v>
      </c>
      <c r="AC12" s="206"/>
      <c r="AD12" s="207"/>
      <c r="AE12" s="205">
        <f t="shared" si="2"/>
        <v>0</v>
      </c>
      <c r="AF12" s="206"/>
      <c r="AG12" s="207"/>
      <c r="AH12" s="191"/>
      <c r="AI12" s="208">
        <f t="shared" si="11"/>
        <v>0</v>
      </c>
      <c r="AJ12" s="334"/>
      <c r="AK12" s="334"/>
      <c r="AL12" s="209">
        <f t="shared" si="3"/>
        <v>0</v>
      </c>
      <c r="AM12" s="210"/>
      <c r="AN12" s="210"/>
      <c r="AO12" s="209">
        <f t="shared" si="8"/>
        <v>0</v>
      </c>
      <c r="AP12" s="337"/>
      <c r="AQ12" s="338"/>
      <c r="AR12" s="191"/>
      <c r="AS12" s="208">
        <f t="shared" si="9"/>
        <v>0</v>
      </c>
      <c r="AT12" s="347"/>
      <c r="AU12" s="348"/>
    </row>
    <row r="13" spans="1:49" x14ac:dyDescent="0.25">
      <c r="B13" s="56" t="s">
        <v>43</v>
      </c>
      <c r="C13" s="57"/>
      <c r="D13" s="58">
        <f>I7/(E11+E16)</f>
        <v>104229.64584060697</v>
      </c>
      <c r="E13" s="47"/>
      <c r="F13" s="41"/>
      <c r="G13" s="42"/>
      <c r="H13" s="41"/>
      <c r="I13" s="42"/>
      <c r="J13" s="199"/>
      <c r="K13" s="30"/>
      <c r="L13" s="30"/>
      <c r="M13" s="30"/>
      <c r="N13" s="53"/>
      <c r="O13" s="200">
        <f t="shared" si="4"/>
        <v>0</v>
      </c>
      <c r="P13" s="211"/>
      <c r="Q13" s="211"/>
      <c r="R13" s="202">
        <f t="shared" si="1"/>
        <v>0</v>
      </c>
      <c r="S13" s="326"/>
      <c r="T13" s="326"/>
      <c r="U13" s="202">
        <f>V13-W13</f>
        <v>0</v>
      </c>
      <c r="V13" s="326"/>
      <c r="W13" s="326"/>
      <c r="X13" s="202">
        <f t="shared" si="7"/>
        <v>0</v>
      </c>
      <c r="Y13" s="203"/>
      <c r="Z13" s="204"/>
      <c r="AA13" s="190"/>
      <c r="AB13" s="205">
        <f t="shared" si="6"/>
        <v>0</v>
      </c>
      <c r="AC13" s="206"/>
      <c r="AD13" s="207"/>
      <c r="AE13" s="205">
        <f t="shared" si="2"/>
        <v>0</v>
      </c>
      <c r="AF13" s="206"/>
      <c r="AG13" s="207"/>
      <c r="AH13" s="191"/>
      <c r="AI13" s="208">
        <f t="shared" si="11"/>
        <v>0</v>
      </c>
      <c r="AJ13" s="334"/>
      <c r="AK13" s="334"/>
      <c r="AL13" s="209">
        <f t="shared" si="3"/>
        <v>0</v>
      </c>
      <c r="AM13" s="210"/>
      <c r="AN13" s="210"/>
      <c r="AO13" s="209">
        <f t="shared" si="8"/>
        <v>0</v>
      </c>
      <c r="AP13" s="337"/>
      <c r="AQ13" s="338"/>
      <c r="AR13" s="191"/>
      <c r="AS13" s="208">
        <f t="shared" si="9"/>
        <v>0</v>
      </c>
      <c r="AT13" s="347"/>
      <c r="AU13" s="348"/>
      <c r="AW13" s="54"/>
    </row>
    <row r="14" spans="1:49" x14ac:dyDescent="0.25">
      <c r="B14" s="23"/>
      <c r="D14" s="173"/>
      <c r="E14" s="47"/>
      <c r="F14" s="41"/>
      <c r="G14" s="42"/>
      <c r="H14" s="41"/>
      <c r="I14" s="42"/>
      <c r="J14" s="287"/>
      <c r="K14" s="288"/>
      <c r="L14" s="288"/>
      <c r="N14" s="55"/>
      <c r="O14" s="200">
        <f t="shared" si="4"/>
        <v>0</v>
      </c>
      <c r="P14" s="211"/>
      <c r="Q14" s="211"/>
      <c r="R14" s="202">
        <f t="shared" si="1"/>
        <v>0</v>
      </c>
      <c r="S14" s="326"/>
      <c r="T14" s="326"/>
      <c r="U14" s="202">
        <f t="shared" si="5"/>
        <v>0</v>
      </c>
      <c r="V14" s="326"/>
      <c r="W14" s="326"/>
      <c r="X14" s="202">
        <f t="shared" si="7"/>
        <v>0</v>
      </c>
      <c r="Y14" s="203"/>
      <c r="Z14" s="204"/>
      <c r="AA14" s="190"/>
      <c r="AB14" s="205">
        <f t="shared" si="6"/>
        <v>0</v>
      </c>
      <c r="AC14" s="206"/>
      <c r="AD14" s="207"/>
      <c r="AE14" s="205">
        <f t="shared" si="2"/>
        <v>0</v>
      </c>
      <c r="AF14" s="206"/>
      <c r="AG14" s="207"/>
      <c r="AH14" s="191"/>
      <c r="AI14" s="208">
        <f t="shared" si="11"/>
        <v>0</v>
      </c>
      <c r="AJ14" s="334"/>
      <c r="AK14" s="334"/>
      <c r="AL14" s="209">
        <f t="shared" si="3"/>
        <v>0</v>
      </c>
      <c r="AM14" s="210"/>
      <c r="AN14" s="210"/>
      <c r="AO14" s="209">
        <f t="shared" si="8"/>
        <v>0</v>
      </c>
      <c r="AP14" s="337"/>
      <c r="AQ14" s="338"/>
      <c r="AR14" s="191"/>
      <c r="AS14" s="208">
        <f t="shared" si="9"/>
        <v>0</v>
      </c>
      <c r="AT14" s="347"/>
      <c r="AU14" s="348"/>
    </row>
    <row r="15" spans="1:49" x14ac:dyDescent="0.25">
      <c r="B15" s="23"/>
      <c r="C15" s="23"/>
      <c r="D15" s="23" t="s">
        <v>44</v>
      </c>
      <c r="E15" s="40">
        <f>E11-E7</f>
        <v>-0.94999999999998863</v>
      </c>
      <c r="F15" s="41"/>
      <c r="G15" s="42"/>
      <c r="H15" s="41" t="s">
        <v>38</v>
      </c>
      <c r="I15" s="44">
        <f>I11-I7</f>
        <v>-96899.999999998137</v>
      </c>
      <c r="J15" s="199"/>
      <c r="K15" s="30"/>
      <c r="L15" s="30"/>
      <c r="M15" s="30"/>
      <c r="N15" s="53"/>
      <c r="O15" s="200">
        <f t="shared" si="4"/>
        <v>0</v>
      </c>
      <c r="P15" s="211"/>
      <c r="Q15" s="211"/>
      <c r="R15" s="202">
        <f t="shared" si="1"/>
        <v>0</v>
      </c>
      <c r="S15" s="326"/>
      <c r="T15" s="326"/>
      <c r="U15" s="202">
        <f t="shared" si="5"/>
        <v>0</v>
      </c>
      <c r="V15" s="326"/>
      <c r="W15" s="326"/>
      <c r="X15" s="202">
        <f t="shared" si="7"/>
        <v>0</v>
      </c>
      <c r="Y15" s="203"/>
      <c r="Z15" s="204"/>
      <c r="AA15" s="190"/>
      <c r="AB15" s="205">
        <f t="shared" si="6"/>
        <v>0</v>
      </c>
      <c r="AC15" s="215"/>
      <c r="AD15" s="216"/>
      <c r="AE15" s="205">
        <f t="shared" si="2"/>
        <v>0</v>
      </c>
      <c r="AF15" s="206"/>
      <c r="AG15" s="207"/>
      <c r="AH15" s="191"/>
      <c r="AI15" s="208">
        <f t="shared" si="11"/>
        <v>0</v>
      </c>
      <c r="AJ15" s="334"/>
      <c r="AK15" s="334"/>
      <c r="AL15" s="209">
        <f t="shared" si="3"/>
        <v>0</v>
      </c>
      <c r="AM15" s="210"/>
      <c r="AN15" s="214"/>
      <c r="AO15" s="209">
        <f t="shared" si="8"/>
        <v>0</v>
      </c>
      <c r="AP15" s="337"/>
      <c r="AQ15" s="338"/>
      <c r="AR15" s="191"/>
      <c r="AS15" s="208">
        <f t="shared" si="9"/>
        <v>0</v>
      </c>
      <c r="AT15" s="347"/>
      <c r="AU15" s="348"/>
    </row>
    <row r="16" spans="1:49" x14ac:dyDescent="0.25">
      <c r="B16" s="23"/>
      <c r="C16" s="23"/>
      <c r="D16" s="23" t="s">
        <v>45</v>
      </c>
      <c r="E16" s="40">
        <f>-'SALES DAGING'!U4</f>
        <v>-1.6169999999999902</v>
      </c>
      <c r="F16" s="41"/>
      <c r="G16" s="42"/>
      <c r="H16" s="41" t="s">
        <v>38</v>
      </c>
      <c r="I16" s="44">
        <f>E16*98000</f>
        <v>-158465.99999999904</v>
      </c>
      <c r="J16" s="199"/>
      <c r="K16" s="30"/>
      <c r="L16" s="30"/>
      <c r="M16" s="30"/>
      <c r="N16" s="53"/>
      <c r="O16" s="200">
        <f t="shared" si="4"/>
        <v>0</v>
      </c>
      <c r="P16" s="211"/>
      <c r="Q16" s="211"/>
      <c r="R16" s="202">
        <f t="shared" si="1"/>
        <v>0</v>
      </c>
      <c r="S16" s="326"/>
      <c r="T16" s="326"/>
      <c r="U16" s="202">
        <f t="shared" si="5"/>
        <v>0</v>
      </c>
      <c r="V16" s="326"/>
      <c r="W16" s="326"/>
      <c r="X16" s="202">
        <f t="shared" si="7"/>
        <v>0</v>
      </c>
      <c r="Y16" s="203"/>
      <c r="Z16" s="204"/>
      <c r="AA16" s="190"/>
      <c r="AB16" s="205">
        <f t="shared" si="6"/>
        <v>0</v>
      </c>
      <c r="AC16" s="206"/>
      <c r="AD16" s="207"/>
      <c r="AE16" s="205">
        <f t="shared" si="2"/>
        <v>0</v>
      </c>
      <c r="AF16" s="206"/>
      <c r="AG16" s="207"/>
      <c r="AH16" s="191"/>
      <c r="AI16" s="208">
        <f t="shared" si="11"/>
        <v>0</v>
      </c>
      <c r="AJ16" s="334"/>
      <c r="AK16" s="334"/>
      <c r="AL16" s="209">
        <f t="shared" si="3"/>
        <v>0</v>
      </c>
      <c r="AM16" s="210"/>
      <c r="AN16" s="210"/>
      <c r="AO16" s="209">
        <f t="shared" si="8"/>
        <v>0</v>
      </c>
      <c r="AP16" s="337"/>
      <c r="AQ16" s="339"/>
      <c r="AR16" s="191"/>
      <c r="AS16" s="208">
        <f t="shared" si="9"/>
        <v>0</v>
      </c>
      <c r="AT16" s="347"/>
      <c r="AU16" s="348"/>
    </row>
    <row r="17" spans="2:47" x14ac:dyDescent="0.25">
      <c r="B17" s="23"/>
      <c r="C17" s="23"/>
      <c r="D17" s="23" t="s">
        <v>46</v>
      </c>
      <c r="E17" s="40">
        <f>SUM(E15:E16)</f>
        <v>-2.5669999999999789</v>
      </c>
      <c r="F17" s="41"/>
      <c r="G17" s="42"/>
      <c r="H17" s="41"/>
      <c r="I17" s="44">
        <f>SUM(I15:I16)</f>
        <v>-255365.99999999718</v>
      </c>
      <c r="J17" s="213">
        <f>((E7-(E11+E16))/E7)</f>
        <v>2.139166666666649E-2</v>
      </c>
      <c r="K17" s="30"/>
      <c r="L17" s="30"/>
      <c r="M17" s="30"/>
      <c r="N17" s="53"/>
      <c r="O17" s="200">
        <f t="shared" si="4"/>
        <v>0</v>
      </c>
      <c r="P17" s="211"/>
      <c r="Q17" s="211"/>
      <c r="R17" s="202">
        <f t="shared" si="1"/>
        <v>0</v>
      </c>
      <c r="S17" s="326"/>
      <c r="T17" s="326"/>
      <c r="U17" s="202">
        <f t="shared" si="5"/>
        <v>0</v>
      </c>
      <c r="V17" s="326"/>
      <c r="W17" s="326"/>
      <c r="X17" s="202">
        <f t="shared" si="7"/>
        <v>0</v>
      </c>
      <c r="Y17" s="218"/>
      <c r="Z17" s="219"/>
      <c r="AA17" s="190"/>
      <c r="AB17" s="205">
        <f t="shared" si="6"/>
        <v>0</v>
      </c>
      <c r="AC17" s="206"/>
      <c r="AD17" s="207"/>
      <c r="AE17" s="205">
        <f t="shared" si="2"/>
        <v>0</v>
      </c>
      <c r="AF17" s="206"/>
      <c r="AG17" s="207"/>
      <c r="AH17" s="191"/>
      <c r="AI17" s="208">
        <f t="shared" si="11"/>
        <v>0</v>
      </c>
      <c r="AJ17" s="334"/>
      <c r="AK17" s="335"/>
      <c r="AL17" s="209">
        <f t="shared" si="3"/>
        <v>0</v>
      </c>
      <c r="AM17" s="210"/>
      <c r="AN17" s="210"/>
      <c r="AO17" s="209">
        <f t="shared" si="8"/>
        <v>0</v>
      </c>
      <c r="AP17" s="340"/>
      <c r="AQ17" s="339"/>
      <c r="AR17" s="191"/>
      <c r="AS17" s="208">
        <f t="shared" si="9"/>
        <v>0</v>
      </c>
      <c r="AT17" s="347"/>
      <c r="AU17" s="348"/>
    </row>
    <row r="18" spans="2:47" x14ac:dyDescent="0.25">
      <c r="B18" s="23"/>
      <c r="C18" s="23"/>
      <c r="D18" s="277" t="s">
        <v>47</v>
      </c>
      <c r="E18" s="277"/>
      <c r="F18" s="277"/>
      <c r="G18" s="42"/>
      <c r="H18" s="41"/>
      <c r="I18" s="42">
        <f>I11-I7</f>
        <v>-96899.999999998137</v>
      </c>
      <c r="J18" s="199"/>
      <c r="K18" s="30"/>
      <c r="L18" s="59">
        <v>110</v>
      </c>
      <c r="M18" s="30"/>
      <c r="N18" s="53"/>
      <c r="O18" s="200">
        <f t="shared" si="4"/>
        <v>0</v>
      </c>
      <c r="P18" s="211"/>
      <c r="Q18" s="211"/>
      <c r="R18" s="202">
        <f t="shared" si="1"/>
        <v>0</v>
      </c>
      <c r="S18" s="326"/>
      <c r="T18" s="326"/>
      <c r="U18" s="202">
        <f t="shared" si="5"/>
        <v>0</v>
      </c>
      <c r="V18" s="326"/>
      <c r="W18" s="326"/>
      <c r="X18" s="202">
        <f t="shared" si="7"/>
        <v>0</v>
      </c>
      <c r="Y18" s="218"/>
      <c r="Z18" s="219"/>
      <c r="AA18" s="190"/>
      <c r="AB18" s="205">
        <f t="shared" si="6"/>
        <v>0</v>
      </c>
      <c r="AC18" s="206"/>
      <c r="AD18" s="207"/>
      <c r="AE18" s="205">
        <f t="shared" si="2"/>
        <v>0</v>
      </c>
      <c r="AF18" s="206"/>
      <c r="AG18" s="207"/>
      <c r="AH18" s="191"/>
      <c r="AI18" s="208">
        <f t="shared" si="11"/>
        <v>0</v>
      </c>
      <c r="AJ18" s="334"/>
      <c r="AK18" s="335"/>
      <c r="AL18" s="209">
        <f t="shared" si="3"/>
        <v>0</v>
      </c>
      <c r="AM18" s="210"/>
      <c r="AN18" s="210"/>
      <c r="AO18" s="209">
        <f t="shared" si="8"/>
        <v>0</v>
      </c>
      <c r="AP18" s="340"/>
      <c r="AQ18" s="339"/>
      <c r="AR18" s="191"/>
      <c r="AS18" s="208">
        <f t="shared" si="9"/>
        <v>0</v>
      </c>
      <c r="AT18" s="347"/>
      <c r="AU18" s="348"/>
    </row>
    <row r="19" spans="2:47" x14ac:dyDescent="0.25">
      <c r="B19" s="23"/>
      <c r="C19" s="23"/>
      <c r="D19" s="277"/>
      <c r="E19" s="277"/>
      <c r="F19" s="277"/>
      <c r="G19" s="42"/>
      <c r="H19" s="41"/>
      <c r="I19" s="42"/>
      <c r="J19" s="199"/>
      <c r="K19" s="62"/>
      <c r="L19" s="30"/>
      <c r="M19" s="60"/>
      <c r="N19" s="61"/>
      <c r="O19" s="200">
        <f t="shared" si="4"/>
        <v>0</v>
      </c>
      <c r="P19" s="211"/>
      <c r="Q19" s="211"/>
      <c r="R19" s="202">
        <f>S19-T19</f>
        <v>0</v>
      </c>
      <c r="S19" s="326"/>
      <c r="T19" s="326"/>
      <c r="U19" s="202">
        <f t="shared" ref="U19:U24" si="12">V19-W19</f>
        <v>0</v>
      </c>
      <c r="V19" s="326"/>
      <c r="W19" s="326"/>
      <c r="X19" s="202">
        <f t="shared" ref="X19:X30" si="13">Y19-Z19</f>
        <v>0</v>
      </c>
      <c r="Y19" s="218"/>
      <c r="Z19" s="219"/>
      <c r="AA19" s="190"/>
      <c r="AB19" s="205">
        <f t="shared" ref="AB19:AB24" si="14">AC19-AD19</f>
        <v>0</v>
      </c>
      <c r="AC19" s="206"/>
      <c r="AD19" s="207"/>
      <c r="AE19" s="205">
        <f t="shared" ref="AE19:AE24" si="15">AF19-AG19</f>
        <v>0</v>
      </c>
      <c r="AF19" s="206"/>
      <c r="AG19" s="207"/>
      <c r="AH19" s="191"/>
      <c r="AI19" s="208">
        <f t="shared" ref="AI19:AI24" si="16">AJ19-AK19</f>
        <v>0</v>
      </c>
      <c r="AJ19" s="334"/>
      <c r="AK19" s="335"/>
      <c r="AL19" s="209">
        <f t="shared" ref="AL19:AL24" si="17">AM19-AN19</f>
        <v>0</v>
      </c>
      <c r="AM19" s="210"/>
      <c r="AN19" s="210"/>
      <c r="AO19" s="209">
        <f t="shared" ref="AO19:AO24" si="18">AP19-AQ19</f>
        <v>0</v>
      </c>
      <c r="AP19" s="340"/>
      <c r="AQ19" s="339"/>
      <c r="AR19" s="191"/>
      <c r="AS19" s="208">
        <f t="shared" ref="AS19:AS24" si="19">AT19-AU19</f>
        <v>0</v>
      </c>
      <c r="AT19" s="347"/>
      <c r="AU19" s="348"/>
    </row>
    <row r="20" spans="2:47" x14ac:dyDescent="0.25">
      <c r="B20" s="46" t="s">
        <v>37</v>
      </c>
      <c r="C20" s="364" t="s">
        <v>78</v>
      </c>
      <c r="D20" s="364" t="s">
        <v>38</v>
      </c>
      <c r="E20" s="365">
        <f>AC31</f>
        <v>0</v>
      </c>
      <c r="F20" s="366" t="s">
        <v>49</v>
      </c>
      <c r="G20" s="367">
        <v>103000</v>
      </c>
      <c r="H20" s="368" t="s">
        <v>22</v>
      </c>
      <c r="I20" s="367">
        <f>E20*G20</f>
        <v>0</v>
      </c>
      <c r="J20" s="192">
        <f>E20/E22</f>
        <v>0</v>
      </c>
      <c r="K20" s="62"/>
      <c r="L20" s="220">
        <v>0.7</v>
      </c>
      <c r="M20" s="30"/>
      <c r="N20" s="53"/>
      <c r="O20" s="200">
        <f t="shared" si="4"/>
        <v>0</v>
      </c>
      <c r="P20" s="211"/>
      <c r="Q20" s="211"/>
      <c r="R20" s="202">
        <f>S20-T20</f>
        <v>0</v>
      </c>
      <c r="S20" s="326"/>
      <c r="T20" s="326"/>
      <c r="U20" s="202">
        <f t="shared" si="12"/>
        <v>0</v>
      </c>
      <c r="V20" s="326"/>
      <c r="W20" s="326"/>
      <c r="X20" s="202">
        <f t="shared" si="13"/>
        <v>0</v>
      </c>
      <c r="Y20" s="218"/>
      <c r="Z20" s="219"/>
      <c r="AA20" s="190"/>
      <c r="AB20" s="205">
        <f t="shared" si="14"/>
        <v>0</v>
      </c>
      <c r="AC20" s="206"/>
      <c r="AD20" s="207"/>
      <c r="AE20" s="205">
        <f t="shared" si="15"/>
        <v>0</v>
      </c>
      <c r="AF20" s="206"/>
      <c r="AG20" s="207"/>
      <c r="AH20" s="191"/>
      <c r="AI20" s="208">
        <f t="shared" si="16"/>
        <v>0</v>
      </c>
      <c r="AJ20" s="334"/>
      <c r="AK20" s="335"/>
      <c r="AL20" s="209">
        <f t="shared" si="17"/>
        <v>0</v>
      </c>
      <c r="AM20" s="210"/>
      <c r="AN20" s="210"/>
      <c r="AO20" s="209">
        <f t="shared" si="18"/>
        <v>0</v>
      </c>
      <c r="AP20" s="340"/>
      <c r="AQ20" s="339"/>
      <c r="AR20" s="191"/>
      <c r="AS20" s="208">
        <f t="shared" si="19"/>
        <v>0</v>
      </c>
      <c r="AT20" s="347"/>
      <c r="AU20" s="348"/>
    </row>
    <row r="21" spans="2:47" x14ac:dyDescent="0.25">
      <c r="B21" s="46"/>
      <c r="C21" s="35" t="s">
        <v>48</v>
      </c>
      <c r="D21" s="23" t="s">
        <v>38</v>
      </c>
      <c r="E21" s="47">
        <v>71.484999999999999</v>
      </c>
      <c r="F21" s="41" t="s">
        <v>39</v>
      </c>
      <c r="G21" s="42">
        <v>127000</v>
      </c>
      <c r="H21" s="41" t="s">
        <v>22</v>
      </c>
      <c r="I21" s="42">
        <f>E21*G21</f>
        <v>9078595</v>
      </c>
      <c r="J21" s="192">
        <f>E21/E22</f>
        <v>1</v>
      </c>
      <c r="K21" s="50"/>
      <c r="L21" s="220">
        <v>0.3</v>
      </c>
      <c r="M21" s="48"/>
      <c r="N21" s="49"/>
      <c r="O21" s="200">
        <f t="shared" si="4"/>
        <v>0</v>
      </c>
      <c r="P21" s="211"/>
      <c r="Q21" s="211"/>
      <c r="R21" s="202">
        <f>S21-T21</f>
        <v>0</v>
      </c>
      <c r="S21" s="326"/>
      <c r="T21" s="326"/>
      <c r="U21" s="202">
        <f t="shared" si="12"/>
        <v>0</v>
      </c>
      <c r="V21" s="326"/>
      <c r="W21" s="326"/>
      <c r="X21" s="202">
        <f t="shared" si="13"/>
        <v>0</v>
      </c>
      <c r="Y21" s="218"/>
      <c r="Z21" s="219"/>
      <c r="AA21" s="190"/>
      <c r="AB21" s="205">
        <f t="shared" si="14"/>
        <v>0</v>
      </c>
      <c r="AC21" s="206"/>
      <c r="AD21" s="207"/>
      <c r="AE21" s="205">
        <f t="shared" si="15"/>
        <v>0</v>
      </c>
      <c r="AF21" s="206"/>
      <c r="AG21" s="207"/>
      <c r="AH21" s="191"/>
      <c r="AI21" s="208">
        <f t="shared" si="16"/>
        <v>0</v>
      </c>
      <c r="AJ21" s="334"/>
      <c r="AK21" s="335"/>
      <c r="AL21" s="209">
        <f t="shared" si="17"/>
        <v>0</v>
      </c>
      <c r="AM21" s="210"/>
      <c r="AN21" s="210"/>
      <c r="AO21" s="209">
        <f t="shared" si="18"/>
        <v>0</v>
      </c>
      <c r="AP21" s="340"/>
      <c r="AQ21" s="339"/>
      <c r="AR21" s="191"/>
      <c r="AS21" s="208">
        <f t="shared" si="19"/>
        <v>0</v>
      </c>
      <c r="AT21" s="347"/>
      <c r="AU21" s="348"/>
    </row>
    <row r="22" spans="2:47" x14ac:dyDescent="0.25">
      <c r="B22" s="23"/>
      <c r="C22" s="23"/>
      <c r="D22" s="173" t="s">
        <v>25</v>
      </c>
      <c r="E22" s="47">
        <f>SUM(E20:E21)</f>
        <v>71.484999999999999</v>
      </c>
      <c r="F22" s="41"/>
      <c r="G22" s="42"/>
      <c r="H22" s="41"/>
      <c r="I22" s="42">
        <f>SUM(I20:I21)</f>
        <v>9078595</v>
      </c>
      <c r="J22" s="199"/>
      <c r="K22" s="48"/>
      <c r="L22" s="50"/>
      <c r="M22" s="63"/>
      <c r="N22" s="64"/>
      <c r="O22" s="200">
        <f t="shared" si="4"/>
        <v>0</v>
      </c>
      <c r="P22" s="211"/>
      <c r="Q22" s="211"/>
      <c r="R22" s="202">
        <f t="shared" ref="R22:R30" si="20">S22-T22</f>
        <v>0</v>
      </c>
      <c r="S22" s="326"/>
      <c r="T22" s="326"/>
      <c r="U22" s="202">
        <f t="shared" si="12"/>
        <v>0</v>
      </c>
      <c r="V22" s="326"/>
      <c r="W22" s="326"/>
      <c r="X22" s="202">
        <f t="shared" si="13"/>
        <v>0</v>
      </c>
      <c r="Y22" s="218"/>
      <c r="Z22" s="219"/>
      <c r="AA22" s="190"/>
      <c r="AB22" s="205">
        <f t="shared" si="14"/>
        <v>0</v>
      </c>
      <c r="AC22" s="206"/>
      <c r="AD22" s="207"/>
      <c r="AE22" s="205">
        <f t="shared" si="15"/>
        <v>0</v>
      </c>
      <c r="AF22" s="206"/>
      <c r="AG22" s="207"/>
      <c r="AH22" s="191"/>
      <c r="AI22" s="208">
        <f t="shared" si="16"/>
        <v>0</v>
      </c>
      <c r="AJ22" s="334"/>
      <c r="AK22" s="335"/>
      <c r="AL22" s="209">
        <f t="shared" si="17"/>
        <v>0</v>
      </c>
      <c r="AM22" s="210"/>
      <c r="AN22" s="210"/>
      <c r="AO22" s="209">
        <f t="shared" si="18"/>
        <v>0</v>
      </c>
      <c r="AP22" s="340"/>
      <c r="AQ22" s="339"/>
      <c r="AR22" s="191"/>
      <c r="AS22" s="208">
        <f t="shared" si="19"/>
        <v>0</v>
      </c>
      <c r="AT22" s="347"/>
      <c r="AU22" s="348"/>
    </row>
    <row r="23" spans="2:47" ht="16.5" thickBot="1" x14ac:dyDescent="0.3">
      <c r="B23" s="23"/>
      <c r="C23" s="23"/>
      <c r="D23" s="277"/>
      <c r="E23" s="277"/>
      <c r="F23" s="277"/>
      <c r="G23" s="42"/>
      <c r="H23" s="41"/>
      <c r="I23" s="42"/>
      <c r="J23" s="199"/>
      <c r="K23" s="48"/>
      <c r="L23" s="48"/>
      <c r="M23" s="50"/>
      <c r="N23" s="65"/>
      <c r="O23" s="200">
        <f t="shared" si="4"/>
        <v>0</v>
      </c>
      <c r="P23" s="211"/>
      <c r="Q23" s="211"/>
      <c r="R23" s="202">
        <f t="shared" si="20"/>
        <v>0</v>
      </c>
      <c r="S23" s="326"/>
      <c r="T23" s="326"/>
      <c r="U23" s="202">
        <f t="shared" si="12"/>
        <v>0</v>
      </c>
      <c r="V23" s="326"/>
      <c r="W23" s="326"/>
      <c r="X23" s="202">
        <f t="shared" si="13"/>
        <v>0</v>
      </c>
      <c r="Y23" s="218"/>
      <c r="Z23" s="219"/>
      <c r="AA23" s="190"/>
      <c r="AB23" s="205">
        <f t="shared" si="14"/>
        <v>0</v>
      </c>
      <c r="AC23" s="206"/>
      <c r="AD23" s="207"/>
      <c r="AE23" s="205">
        <f t="shared" si="15"/>
        <v>0</v>
      </c>
      <c r="AF23" s="206"/>
      <c r="AG23" s="207"/>
      <c r="AH23" s="191"/>
      <c r="AI23" s="208">
        <f t="shared" si="16"/>
        <v>0</v>
      </c>
      <c r="AJ23" s="334"/>
      <c r="AK23" s="335"/>
      <c r="AL23" s="209">
        <f t="shared" si="17"/>
        <v>0</v>
      </c>
      <c r="AM23" s="210"/>
      <c r="AN23" s="210"/>
      <c r="AO23" s="209">
        <f t="shared" si="18"/>
        <v>0</v>
      </c>
      <c r="AP23" s="340"/>
      <c r="AQ23" s="339"/>
      <c r="AR23" s="191"/>
      <c r="AS23" s="208">
        <f t="shared" si="19"/>
        <v>0</v>
      </c>
      <c r="AT23" s="347"/>
      <c r="AU23" s="348"/>
    </row>
    <row r="24" spans="2:47" ht="16.5" thickBot="1" x14ac:dyDescent="0.3">
      <c r="B24" s="46" t="s">
        <v>50</v>
      </c>
      <c r="C24" s="364" t="s">
        <v>78</v>
      </c>
      <c r="D24" s="364" t="s">
        <v>38</v>
      </c>
      <c r="E24" s="365">
        <f>AD31</f>
        <v>0</v>
      </c>
      <c r="F24" s="366" t="s">
        <v>49</v>
      </c>
      <c r="G24" s="367">
        <f>G20</f>
        <v>103000</v>
      </c>
      <c r="H24" s="368" t="s">
        <v>22</v>
      </c>
      <c r="I24" s="367">
        <f>E24*G24</f>
        <v>0</v>
      </c>
      <c r="J24" s="199"/>
      <c r="K24" s="66"/>
      <c r="L24" s="48"/>
      <c r="M24" s="48"/>
      <c r="N24" s="49"/>
      <c r="O24" s="221">
        <f>SUM(O6:O23)</f>
        <v>0</v>
      </c>
      <c r="P24" s="222">
        <f>SUM(P6:P23)</f>
        <v>0</v>
      </c>
      <c r="Q24" s="223">
        <f>SUM(Q6:Q23)</f>
        <v>0</v>
      </c>
      <c r="R24" s="202">
        <f t="shared" si="20"/>
        <v>0</v>
      </c>
      <c r="S24" s="326"/>
      <c r="T24" s="326"/>
      <c r="U24" s="202">
        <f t="shared" si="12"/>
        <v>0</v>
      </c>
      <c r="V24" s="326"/>
      <c r="W24" s="326"/>
      <c r="X24" s="202">
        <f t="shared" si="13"/>
        <v>0</v>
      </c>
      <c r="Y24" s="218"/>
      <c r="Z24" s="219"/>
      <c r="AA24" s="190"/>
      <c r="AB24" s="205">
        <f t="shared" si="14"/>
        <v>0</v>
      </c>
      <c r="AC24" s="206"/>
      <c r="AD24" s="207"/>
      <c r="AE24" s="205">
        <f t="shared" si="15"/>
        <v>0</v>
      </c>
      <c r="AF24" s="206"/>
      <c r="AG24" s="207"/>
      <c r="AH24" s="191"/>
      <c r="AI24" s="208">
        <f t="shared" si="16"/>
        <v>0</v>
      </c>
      <c r="AJ24" s="334"/>
      <c r="AK24" s="335"/>
      <c r="AL24" s="209">
        <f t="shared" si="17"/>
        <v>0</v>
      </c>
      <c r="AM24" s="210"/>
      <c r="AN24" s="210"/>
      <c r="AO24" s="209">
        <f t="shared" si="18"/>
        <v>0</v>
      </c>
      <c r="AP24" s="340"/>
      <c r="AQ24" s="339"/>
      <c r="AR24" s="191"/>
      <c r="AS24" s="208">
        <f t="shared" si="19"/>
        <v>0</v>
      </c>
      <c r="AT24" s="347"/>
      <c r="AU24" s="348"/>
    </row>
    <row r="25" spans="2:47" x14ac:dyDescent="0.25">
      <c r="B25" s="46"/>
      <c r="C25" s="35" t="s">
        <v>51</v>
      </c>
      <c r="D25" s="23" t="s">
        <v>38</v>
      </c>
      <c r="E25" s="47">
        <v>71.484999999999999</v>
      </c>
      <c r="F25" s="41" t="s">
        <v>39</v>
      </c>
      <c r="G25" s="42">
        <f>G21</f>
        <v>127000</v>
      </c>
      <c r="H25" s="41" t="s">
        <v>22</v>
      </c>
      <c r="I25" s="42">
        <f>E25*G25</f>
        <v>9078595</v>
      </c>
      <c r="J25" s="213"/>
      <c r="K25" s="48"/>
      <c r="L25" s="66"/>
      <c r="M25" s="48"/>
      <c r="N25" s="49"/>
      <c r="O25" s="227"/>
      <c r="P25" s="228"/>
      <c r="Q25" s="229"/>
      <c r="R25" s="202">
        <f t="shared" si="20"/>
        <v>0</v>
      </c>
      <c r="S25" s="326"/>
      <c r="T25" s="327"/>
      <c r="U25" s="202">
        <f t="shared" si="5"/>
        <v>0</v>
      </c>
      <c r="V25" s="326"/>
      <c r="W25" s="326"/>
      <c r="X25" s="202">
        <f t="shared" si="13"/>
        <v>0</v>
      </c>
      <c r="Y25" s="203"/>
      <c r="Z25" s="204"/>
      <c r="AA25" s="190"/>
      <c r="AB25" s="205">
        <f t="shared" si="6"/>
        <v>0</v>
      </c>
      <c r="AC25" s="206"/>
      <c r="AD25" s="207"/>
      <c r="AE25" s="205">
        <f t="shared" si="2"/>
        <v>0</v>
      </c>
      <c r="AF25" s="206"/>
      <c r="AG25" s="207"/>
      <c r="AH25" s="191"/>
      <c r="AI25" s="208">
        <f t="shared" ref="AI25:AI30" si="21">AJ25-AK25</f>
        <v>0</v>
      </c>
      <c r="AJ25" s="334"/>
      <c r="AK25" s="335"/>
      <c r="AL25" s="209"/>
      <c r="AM25" s="210"/>
      <c r="AN25" s="210"/>
      <c r="AO25" s="209">
        <f t="shared" si="8"/>
        <v>0</v>
      </c>
      <c r="AP25" s="340"/>
      <c r="AQ25" s="338"/>
      <c r="AR25" s="191"/>
      <c r="AS25" s="208">
        <f t="shared" si="9"/>
        <v>0</v>
      </c>
      <c r="AT25" s="347"/>
      <c r="AU25" s="348"/>
    </row>
    <row r="26" spans="2:47" x14ac:dyDescent="0.25">
      <c r="B26" s="46"/>
      <c r="C26" s="35"/>
      <c r="D26" s="23" t="s">
        <v>79</v>
      </c>
      <c r="E26" s="47">
        <f>SUM(E24:E25)</f>
        <v>71.484999999999999</v>
      </c>
      <c r="F26" s="41"/>
      <c r="G26" s="42"/>
      <c r="H26" s="41"/>
      <c r="I26" s="42">
        <f>SUM(I24:I25)</f>
        <v>9078595</v>
      </c>
      <c r="J26" s="199"/>
      <c r="K26" s="48"/>
      <c r="L26" s="48"/>
      <c r="M26" s="67"/>
      <c r="N26" s="68"/>
      <c r="O26" s="79"/>
      <c r="P26" s="77"/>
      <c r="Q26" s="80"/>
      <c r="R26" s="202">
        <f t="shared" si="20"/>
        <v>0</v>
      </c>
      <c r="S26" s="326"/>
      <c r="T26" s="327"/>
      <c r="U26" s="202">
        <f t="shared" si="5"/>
        <v>0</v>
      </c>
      <c r="V26" s="326"/>
      <c r="W26" s="326"/>
      <c r="X26" s="202">
        <f t="shared" si="13"/>
        <v>0</v>
      </c>
      <c r="Y26" s="203"/>
      <c r="Z26" s="204"/>
      <c r="AA26" s="190"/>
      <c r="AB26" s="205">
        <f t="shared" si="6"/>
        <v>0</v>
      </c>
      <c r="AC26" s="206"/>
      <c r="AD26" s="207"/>
      <c r="AE26" s="205">
        <f t="shared" si="2"/>
        <v>0</v>
      </c>
      <c r="AF26" s="206"/>
      <c r="AG26" s="207"/>
      <c r="AH26" s="191"/>
      <c r="AI26" s="208">
        <f t="shared" si="21"/>
        <v>0</v>
      </c>
      <c r="AJ26" s="334"/>
      <c r="AK26" s="335"/>
      <c r="AL26" s="209"/>
      <c r="AM26" s="210"/>
      <c r="AN26" s="210"/>
      <c r="AO26" s="209">
        <f t="shared" si="8"/>
        <v>0</v>
      </c>
      <c r="AP26" s="340"/>
      <c r="AQ26" s="338"/>
      <c r="AR26" s="191"/>
      <c r="AS26" s="208">
        <f t="shared" si="9"/>
        <v>0</v>
      </c>
      <c r="AT26" s="347"/>
      <c r="AU26" s="348"/>
    </row>
    <row r="27" spans="2:47" x14ac:dyDescent="0.25">
      <c r="B27" s="46"/>
      <c r="C27" s="35"/>
      <c r="D27" s="23"/>
      <c r="E27" s="47"/>
      <c r="F27" s="41"/>
      <c r="G27" s="42"/>
      <c r="H27" s="41"/>
      <c r="I27" s="42"/>
      <c r="J27" s="212"/>
      <c r="K27" s="48"/>
      <c r="L27" s="48"/>
      <c r="M27" s="48"/>
      <c r="N27" s="49"/>
      <c r="O27" s="79"/>
      <c r="P27" s="77"/>
      <c r="Q27" s="80"/>
      <c r="R27" s="202">
        <f t="shared" si="20"/>
        <v>0</v>
      </c>
      <c r="S27" s="326"/>
      <c r="T27" s="327"/>
      <c r="U27" s="202">
        <f t="shared" si="5"/>
        <v>0</v>
      </c>
      <c r="V27" s="326"/>
      <c r="W27" s="326"/>
      <c r="X27" s="202">
        <f t="shared" si="13"/>
        <v>0</v>
      </c>
      <c r="Y27" s="203"/>
      <c r="Z27" s="204"/>
      <c r="AA27" s="190"/>
      <c r="AB27" s="205">
        <f t="shared" si="6"/>
        <v>0</v>
      </c>
      <c r="AC27" s="206"/>
      <c r="AD27" s="207"/>
      <c r="AE27" s="205">
        <f t="shared" si="2"/>
        <v>0</v>
      </c>
      <c r="AF27" s="206"/>
      <c r="AG27" s="207"/>
      <c r="AH27" s="191"/>
      <c r="AI27" s="208">
        <f t="shared" si="21"/>
        <v>0</v>
      </c>
      <c r="AJ27" s="334"/>
      <c r="AK27" s="335"/>
      <c r="AL27" s="209"/>
      <c r="AM27" s="210"/>
      <c r="AN27" s="210"/>
      <c r="AO27" s="209">
        <f t="shared" si="8"/>
        <v>0</v>
      </c>
      <c r="AP27" s="340"/>
      <c r="AQ27" s="338"/>
      <c r="AR27" s="191"/>
      <c r="AS27" s="208">
        <f t="shared" si="9"/>
        <v>0</v>
      </c>
      <c r="AT27" s="347"/>
      <c r="AU27" s="348"/>
    </row>
    <row r="28" spans="2:47" x14ac:dyDescent="0.25">
      <c r="B28" s="56" t="s">
        <v>52</v>
      </c>
      <c r="C28" s="56"/>
      <c r="D28" s="58">
        <f>(I22/(E26+E30))</f>
        <v>127752.37813801644</v>
      </c>
      <c r="E28" s="47"/>
      <c r="F28" s="41"/>
      <c r="G28" s="42"/>
      <c r="H28" s="41"/>
      <c r="I28" s="42"/>
      <c r="J28" s="199"/>
      <c r="K28" s="48"/>
      <c r="L28" s="48"/>
      <c r="M28" s="48"/>
      <c r="N28" s="49"/>
      <c r="O28" s="79"/>
      <c r="P28" s="77"/>
      <c r="Q28" s="77"/>
      <c r="R28" s="202">
        <f t="shared" si="20"/>
        <v>0</v>
      </c>
      <c r="S28" s="326"/>
      <c r="T28" s="327"/>
      <c r="U28" s="202">
        <f t="shared" si="5"/>
        <v>0</v>
      </c>
      <c r="V28" s="326"/>
      <c r="W28" s="326"/>
      <c r="X28" s="202">
        <f t="shared" si="13"/>
        <v>0</v>
      </c>
      <c r="Y28" s="203"/>
      <c r="Z28" s="204"/>
      <c r="AA28" s="190"/>
      <c r="AB28" s="205">
        <f t="shared" si="6"/>
        <v>0</v>
      </c>
      <c r="AC28" s="206"/>
      <c r="AD28" s="207"/>
      <c r="AE28" s="205">
        <f t="shared" si="2"/>
        <v>0</v>
      </c>
      <c r="AF28" s="206"/>
      <c r="AG28" s="207"/>
      <c r="AH28" s="191"/>
      <c r="AI28" s="208">
        <f t="shared" si="21"/>
        <v>0</v>
      </c>
      <c r="AJ28" s="334"/>
      <c r="AK28" s="335"/>
      <c r="AL28" s="209"/>
      <c r="AM28" s="210"/>
      <c r="AN28" s="210"/>
      <c r="AO28" s="209">
        <f t="shared" si="8"/>
        <v>0</v>
      </c>
      <c r="AP28" s="340"/>
      <c r="AQ28" s="338"/>
      <c r="AR28" s="191"/>
      <c r="AS28" s="208">
        <f t="shared" si="9"/>
        <v>0</v>
      </c>
      <c r="AT28" s="347"/>
      <c r="AU28" s="348"/>
    </row>
    <row r="29" spans="2:47" x14ac:dyDescent="0.25">
      <c r="B29" s="23"/>
      <c r="D29" s="23" t="s">
        <v>44</v>
      </c>
      <c r="E29" s="40">
        <f>E26-E22</f>
        <v>0</v>
      </c>
      <c r="F29" s="41"/>
      <c r="G29" s="42"/>
      <c r="H29" s="41" t="s">
        <v>38</v>
      </c>
      <c r="I29" s="44">
        <f>I22-I26</f>
        <v>0</v>
      </c>
      <c r="J29" s="199"/>
      <c r="K29" s="48"/>
      <c r="L29" s="48"/>
      <c r="M29" s="48"/>
      <c r="N29" s="49"/>
      <c r="O29" s="79"/>
      <c r="P29" s="77"/>
      <c r="Q29" s="77"/>
      <c r="R29" s="202">
        <f t="shared" si="20"/>
        <v>0</v>
      </c>
      <c r="S29" s="326"/>
      <c r="T29" s="327"/>
      <c r="U29" s="202">
        <f t="shared" si="5"/>
        <v>0</v>
      </c>
      <c r="V29" s="326"/>
      <c r="W29" s="326"/>
      <c r="X29" s="202">
        <f t="shared" si="13"/>
        <v>0</v>
      </c>
      <c r="Y29" s="203"/>
      <c r="Z29" s="204"/>
      <c r="AA29" s="190"/>
      <c r="AB29" s="205">
        <f t="shared" si="6"/>
        <v>0</v>
      </c>
      <c r="AC29" s="206"/>
      <c r="AD29" s="207"/>
      <c r="AE29" s="205">
        <f t="shared" si="2"/>
        <v>0</v>
      </c>
      <c r="AF29" s="206"/>
      <c r="AG29" s="207"/>
      <c r="AH29" s="191"/>
      <c r="AI29" s="208">
        <f t="shared" si="21"/>
        <v>0</v>
      </c>
      <c r="AJ29" s="334"/>
      <c r="AK29" s="335"/>
      <c r="AL29" s="209"/>
      <c r="AM29" s="210"/>
      <c r="AN29" s="210"/>
      <c r="AO29" s="209">
        <f t="shared" si="8"/>
        <v>0</v>
      </c>
      <c r="AP29" s="340"/>
      <c r="AQ29" s="338"/>
      <c r="AR29" s="191"/>
      <c r="AS29" s="208">
        <f t="shared" si="9"/>
        <v>0</v>
      </c>
      <c r="AT29" s="347"/>
      <c r="AU29" s="348"/>
    </row>
    <row r="30" spans="2:47" ht="16.5" thickBot="1" x14ac:dyDescent="0.3">
      <c r="B30" s="23"/>
      <c r="D30" s="23" t="s">
        <v>45</v>
      </c>
      <c r="E30" s="40">
        <f>-'SALES DAGING'!U5</f>
        <v>-0.42100000000000293</v>
      </c>
      <c r="F30" s="41"/>
      <c r="G30" s="42"/>
      <c r="H30" s="41" t="s">
        <v>38</v>
      </c>
      <c r="I30" s="44">
        <f>E30*100000</f>
        <v>-42100.000000000291</v>
      </c>
      <c r="J30" s="369">
        <f>((E22-(E26+E30))/E22)</f>
        <v>5.8893474155418124E-3</v>
      </c>
      <c r="K30" s="59"/>
      <c r="L30" s="370"/>
      <c r="M30" s="48"/>
      <c r="N30" s="49"/>
      <c r="O30" s="79"/>
      <c r="P30" s="77"/>
      <c r="Q30" s="77"/>
      <c r="R30" s="202">
        <f t="shared" si="20"/>
        <v>0</v>
      </c>
      <c r="S30" s="326"/>
      <c r="T30" s="327"/>
      <c r="U30" s="202">
        <f t="shared" si="5"/>
        <v>0</v>
      </c>
      <c r="V30" s="326"/>
      <c r="W30" s="326"/>
      <c r="X30" s="202">
        <f t="shared" si="13"/>
        <v>0</v>
      </c>
      <c r="Y30" s="203"/>
      <c r="Z30" s="204"/>
      <c r="AA30" s="190"/>
      <c r="AB30" s="205">
        <f t="shared" si="6"/>
        <v>0</v>
      </c>
      <c r="AC30" s="206"/>
      <c r="AD30" s="207"/>
      <c r="AE30" s="205">
        <f t="shared" si="2"/>
        <v>0</v>
      </c>
      <c r="AF30" s="206"/>
      <c r="AG30" s="207"/>
      <c r="AH30" s="191"/>
      <c r="AI30" s="208">
        <f t="shared" si="21"/>
        <v>0</v>
      </c>
      <c r="AJ30" s="334"/>
      <c r="AK30" s="335"/>
      <c r="AL30" s="209"/>
      <c r="AM30" s="210"/>
      <c r="AN30" s="210"/>
      <c r="AO30" s="209">
        <f t="shared" si="8"/>
        <v>0</v>
      </c>
      <c r="AP30" s="340"/>
      <c r="AQ30" s="338"/>
      <c r="AR30" s="191"/>
      <c r="AS30" s="208">
        <f t="shared" si="9"/>
        <v>0</v>
      </c>
      <c r="AT30" s="347"/>
      <c r="AU30" s="348"/>
    </row>
    <row r="31" spans="2:47" ht="16.5" thickBot="1" x14ac:dyDescent="0.3">
      <c r="B31" s="23"/>
      <c r="D31" s="23" t="s">
        <v>46</v>
      </c>
      <c r="E31" s="40">
        <f>SUM(E29:E30)</f>
        <v>-0.42100000000000293</v>
      </c>
      <c r="F31" s="41"/>
      <c r="G31" s="42"/>
      <c r="H31" s="41"/>
      <c r="I31" s="44">
        <f>SUM(I29:I30)</f>
        <v>-42100.000000000291</v>
      </c>
      <c r="J31" s="212"/>
      <c r="K31" s="48"/>
      <c r="L31" s="59"/>
      <c r="M31" s="48"/>
      <c r="N31" s="49"/>
      <c r="O31" s="102"/>
      <c r="R31" s="221">
        <f t="shared" ref="R31:Z31" si="22">SUM(R6:R30)</f>
        <v>0.94999999999999574</v>
      </c>
      <c r="S31" s="222">
        <f t="shared" si="22"/>
        <v>120</v>
      </c>
      <c r="T31" s="223">
        <f t="shared" si="22"/>
        <v>119.05000000000001</v>
      </c>
      <c r="U31" s="221">
        <f t="shared" si="22"/>
        <v>0</v>
      </c>
      <c r="V31" s="222">
        <f t="shared" si="22"/>
        <v>0</v>
      </c>
      <c r="W31" s="223">
        <f t="shared" si="22"/>
        <v>0</v>
      </c>
      <c r="X31" s="221">
        <f t="shared" si="22"/>
        <v>0</v>
      </c>
      <c r="Y31" s="222">
        <f t="shared" si="22"/>
        <v>0</v>
      </c>
      <c r="Z31" s="223">
        <f t="shared" si="22"/>
        <v>0</v>
      </c>
      <c r="AA31" s="190"/>
      <c r="AB31" s="221">
        <f t="shared" ref="AB31:AG31" si="23">SUM(AB6:AB30)</f>
        <v>0</v>
      </c>
      <c r="AC31" s="344">
        <f t="shared" si="23"/>
        <v>0</v>
      </c>
      <c r="AD31" s="345">
        <f t="shared" si="23"/>
        <v>0</v>
      </c>
      <c r="AE31" s="322">
        <f t="shared" si="23"/>
        <v>0.21000000000000085</v>
      </c>
      <c r="AF31" s="346">
        <f t="shared" si="23"/>
        <v>23.21</v>
      </c>
      <c r="AG31" s="345">
        <f t="shared" si="23"/>
        <v>23</v>
      </c>
      <c r="AH31" s="191"/>
      <c r="AI31" s="224">
        <f t="shared" ref="AI31:AQ31" si="24">SUM(AI6:AI30)</f>
        <v>0</v>
      </c>
      <c r="AJ31" s="333">
        <f t="shared" si="24"/>
        <v>0</v>
      </c>
      <c r="AK31" s="333">
        <f t="shared" si="24"/>
        <v>0</v>
      </c>
      <c r="AL31" s="221">
        <f t="shared" si="24"/>
        <v>0</v>
      </c>
      <c r="AM31" s="225">
        <f t="shared" si="24"/>
        <v>0</v>
      </c>
      <c r="AN31" s="225">
        <f t="shared" si="24"/>
        <v>0</v>
      </c>
      <c r="AO31" s="226">
        <f t="shared" si="24"/>
        <v>0.19999999999999929</v>
      </c>
      <c r="AP31" s="341">
        <f t="shared" si="24"/>
        <v>25</v>
      </c>
      <c r="AQ31" s="342">
        <f t="shared" si="24"/>
        <v>24.8</v>
      </c>
      <c r="AR31" s="343"/>
      <c r="AS31" s="323">
        <f>SUM(AS6:AS30)</f>
        <v>1.3900000000000041</v>
      </c>
      <c r="AT31" s="349">
        <f>SUM(AT6:AT30)</f>
        <v>125.39</v>
      </c>
      <c r="AU31" s="350">
        <f>SUM(AU6:AU30)</f>
        <v>124</v>
      </c>
    </row>
    <row r="32" spans="2:47" x14ac:dyDescent="0.25">
      <c r="C32" s="23"/>
      <c r="D32" s="277" t="s">
        <v>47</v>
      </c>
      <c r="E32" s="277"/>
      <c r="F32" s="277"/>
      <c r="G32" s="42"/>
      <c r="H32" s="41"/>
      <c r="I32" s="42">
        <f>I22-I26</f>
        <v>0</v>
      </c>
      <c r="J32" s="212"/>
      <c r="K32" s="48"/>
      <c r="L32" s="59"/>
      <c r="M32" s="60"/>
      <c r="N32" s="61"/>
      <c r="O32" s="102"/>
      <c r="R32" s="329"/>
      <c r="S32" s="228"/>
      <c r="T32" s="228"/>
      <c r="U32" s="230"/>
      <c r="V32" s="231"/>
      <c r="W32" s="231"/>
      <c r="X32" s="232"/>
      <c r="Y32" s="233"/>
      <c r="Z32" s="234"/>
      <c r="AA32" s="235"/>
      <c r="AB32" s="236"/>
      <c r="AC32" s="228"/>
      <c r="AD32" s="237"/>
      <c r="AE32" s="315"/>
      <c r="AF32" s="231"/>
      <c r="AG32" s="237"/>
      <c r="AH32" s="191"/>
      <c r="AI32" s="238"/>
      <c r="AJ32" s="233"/>
      <c r="AK32" s="233"/>
      <c r="AL32" s="239"/>
      <c r="AM32" s="233"/>
      <c r="AN32" s="233"/>
      <c r="AO32" s="239"/>
      <c r="AP32" s="228"/>
      <c r="AQ32" s="240"/>
      <c r="AR32" s="191"/>
      <c r="AS32" s="241"/>
      <c r="AT32" s="242"/>
      <c r="AU32" s="243"/>
    </row>
    <row r="33" spans="2:47" x14ac:dyDescent="0.25">
      <c r="B33" s="23"/>
      <c r="C33" s="35"/>
      <c r="D33" s="35"/>
      <c r="E33" s="36"/>
      <c r="F33" s="37"/>
      <c r="G33" s="38"/>
      <c r="H33" s="37"/>
      <c r="I33" s="38"/>
      <c r="J33" s="213"/>
      <c r="K33" s="70"/>
      <c r="L33" s="48"/>
      <c r="M33" s="60"/>
      <c r="N33" s="61"/>
      <c r="O33" s="102"/>
      <c r="R33" s="330"/>
      <c r="S33" s="77"/>
      <c r="T33" s="77"/>
      <c r="U33" s="81"/>
      <c r="V33" s="82"/>
      <c r="W33" s="82"/>
      <c r="X33" s="83"/>
      <c r="Y33" s="84"/>
      <c r="Z33" s="244"/>
      <c r="AA33" s="235"/>
      <c r="AB33" s="245"/>
      <c r="AC33" s="77"/>
      <c r="AD33" s="246"/>
      <c r="AE33" s="316"/>
      <c r="AF33" s="82"/>
      <c r="AG33" s="246"/>
      <c r="AH33" s="191"/>
      <c r="AI33" s="247"/>
      <c r="AJ33" s="84"/>
      <c r="AK33" s="84"/>
      <c r="AL33" s="86"/>
      <c r="AM33" s="84"/>
      <c r="AN33" s="84"/>
      <c r="AO33" s="86"/>
      <c r="AP33" s="77"/>
      <c r="AQ33" s="246"/>
      <c r="AR33" s="191"/>
      <c r="AS33" s="248"/>
      <c r="AT33" s="87"/>
      <c r="AU33" s="88"/>
    </row>
    <row r="34" spans="2:47" ht="16.5" thickBot="1" x14ac:dyDescent="0.3">
      <c r="B34" s="46" t="s">
        <v>37</v>
      </c>
      <c r="C34" s="351" t="s">
        <v>97</v>
      </c>
      <c r="D34" s="351" t="s">
        <v>38</v>
      </c>
      <c r="E34" s="178">
        <f>AJ31</f>
        <v>0</v>
      </c>
      <c r="F34" s="352" t="s">
        <v>39</v>
      </c>
      <c r="G34" s="353">
        <v>86500</v>
      </c>
      <c r="H34" s="352" t="s">
        <v>22</v>
      </c>
      <c r="I34" s="353">
        <f>E34*G34</f>
        <v>0</v>
      </c>
      <c r="J34" s="213">
        <f>E34/E37</f>
        <v>0</v>
      </c>
      <c r="K34" s="70"/>
      <c r="L34" s="220">
        <v>0.4</v>
      </c>
      <c r="M34" s="48"/>
      <c r="N34" s="49"/>
      <c r="O34" s="108"/>
      <c r="P34" s="109"/>
      <c r="Q34" s="109"/>
      <c r="R34" s="330"/>
      <c r="S34" s="77" t="s">
        <v>65</v>
      </c>
      <c r="T34" s="77">
        <f>S31+V31+Y31+AF31+P24</f>
        <v>143.21</v>
      </c>
      <c r="U34" s="81"/>
      <c r="V34" s="89" t="s">
        <v>37</v>
      </c>
      <c r="W34" s="90">
        <f>AJ31+AM31</f>
        <v>0</v>
      </c>
      <c r="X34" s="83"/>
      <c r="Y34" s="89" t="s">
        <v>37</v>
      </c>
      <c r="Z34" s="249">
        <f>AM31+AP31</f>
        <v>25</v>
      </c>
      <c r="AA34" s="235"/>
      <c r="AB34" s="250"/>
      <c r="AC34" s="89" t="s">
        <v>37</v>
      </c>
      <c r="AD34" s="249">
        <f>AQ31</f>
        <v>24.8</v>
      </c>
      <c r="AE34" s="317"/>
      <c r="AF34" s="307" t="s">
        <v>37</v>
      </c>
      <c r="AG34" s="249">
        <f>AT31</f>
        <v>125.39</v>
      </c>
      <c r="AH34" s="191"/>
      <c r="AI34" s="251"/>
      <c r="AJ34" s="84"/>
      <c r="AK34" s="84"/>
      <c r="AL34" s="91"/>
      <c r="AM34" s="92"/>
      <c r="AN34" s="84"/>
      <c r="AO34" s="86"/>
      <c r="AP34" s="77"/>
      <c r="AQ34" s="246"/>
      <c r="AR34" s="191"/>
      <c r="AS34" s="248"/>
      <c r="AT34" s="87"/>
      <c r="AU34" s="88"/>
    </row>
    <row r="35" spans="2:47" x14ac:dyDescent="0.25">
      <c r="B35" s="46"/>
      <c r="C35" s="69" t="s">
        <v>64</v>
      </c>
      <c r="D35" s="23"/>
      <c r="E35" s="47">
        <f>AM31</f>
        <v>0</v>
      </c>
      <c r="F35" s="41" t="s">
        <v>39</v>
      </c>
      <c r="G35" s="42">
        <v>75883.5</v>
      </c>
      <c r="H35" s="41" t="s">
        <v>22</v>
      </c>
      <c r="I35" s="42">
        <f>E35*G35</f>
        <v>0</v>
      </c>
      <c r="J35" s="199"/>
      <c r="L35" s="70"/>
      <c r="M35" s="70"/>
      <c r="N35" s="51"/>
      <c r="R35" s="330"/>
      <c r="S35" s="77" t="s">
        <v>66</v>
      </c>
      <c r="T35" s="77">
        <f>T31+W31+Z31+AG31+Q24</f>
        <v>142.05000000000001</v>
      </c>
      <c r="U35" s="81"/>
      <c r="V35" s="89" t="s">
        <v>53</v>
      </c>
      <c r="W35" s="93">
        <f>AK31</f>
        <v>0</v>
      </c>
      <c r="X35" s="83"/>
      <c r="Y35" s="89" t="s">
        <v>53</v>
      </c>
      <c r="Z35" s="252">
        <f>AN31</f>
        <v>0</v>
      </c>
      <c r="AA35" s="235"/>
      <c r="AB35" s="280">
        <f>W35+W36</f>
        <v>0</v>
      </c>
      <c r="AC35" s="89" t="s">
        <v>53</v>
      </c>
      <c r="AD35" s="252">
        <f>AR31</f>
        <v>0</v>
      </c>
      <c r="AE35" s="318">
        <f>Z35+Z36</f>
        <v>24.8</v>
      </c>
      <c r="AF35" s="307" t="s">
        <v>53</v>
      </c>
      <c r="AG35" s="252">
        <f>AU31</f>
        <v>124</v>
      </c>
      <c r="AH35" s="191"/>
      <c r="AI35" s="251"/>
      <c r="AJ35" s="84"/>
      <c r="AK35" s="84"/>
      <c r="AL35" s="91"/>
      <c r="AM35" s="94"/>
      <c r="AN35" s="84"/>
      <c r="AO35" s="86"/>
      <c r="AP35" s="77"/>
      <c r="AQ35" s="246"/>
      <c r="AR35" s="191"/>
      <c r="AS35" s="248"/>
      <c r="AT35" s="87"/>
      <c r="AU35" s="88"/>
    </row>
    <row r="36" spans="2:47" x14ac:dyDescent="0.25">
      <c r="B36" s="23"/>
      <c r="C36" s="376" t="str">
        <f>AO4</f>
        <v>RAWON FRESH 2</v>
      </c>
      <c r="D36" s="23" t="s">
        <v>38</v>
      </c>
      <c r="E36" s="47">
        <f>AP31</f>
        <v>25</v>
      </c>
      <c r="F36" s="41" t="s">
        <v>39</v>
      </c>
      <c r="G36" s="42">
        <v>84954</v>
      </c>
      <c r="H36" s="41" t="s">
        <v>22</v>
      </c>
      <c r="I36" s="42">
        <f>E36*G36</f>
        <v>2123850</v>
      </c>
      <c r="J36" s="199">
        <f>E36/E37</f>
        <v>1</v>
      </c>
      <c r="L36" s="220">
        <v>0.6</v>
      </c>
      <c r="M36" s="70"/>
      <c r="N36" s="51"/>
      <c r="R36" s="330"/>
      <c r="S36" s="77" t="s">
        <v>67</v>
      </c>
      <c r="T36" s="82">
        <f>R31+U31+X31+AE31</f>
        <v>1.1599999999999966</v>
      </c>
      <c r="U36" s="81"/>
      <c r="V36" s="89" t="s">
        <v>54</v>
      </c>
      <c r="W36" s="93">
        <f>AN31</f>
        <v>0</v>
      </c>
      <c r="X36" s="83"/>
      <c r="Y36" s="89" t="s">
        <v>54</v>
      </c>
      <c r="Z36" s="252">
        <f>AQ31</f>
        <v>24.8</v>
      </c>
      <c r="AA36" s="235"/>
      <c r="AB36" s="280"/>
      <c r="AC36" s="89" t="s">
        <v>34</v>
      </c>
      <c r="AD36" s="253">
        <f>AP31</f>
        <v>25</v>
      </c>
      <c r="AE36" s="318"/>
      <c r="AF36" s="307" t="s">
        <v>34</v>
      </c>
      <c r="AG36" s="253">
        <f>AS31</f>
        <v>1.3900000000000041</v>
      </c>
      <c r="AH36" s="191"/>
      <c r="AI36" s="251"/>
      <c r="AJ36" s="84"/>
      <c r="AK36" s="84"/>
      <c r="AL36" s="91"/>
      <c r="AM36" s="98"/>
      <c r="AN36" s="84"/>
      <c r="AO36" s="86"/>
      <c r="AP36" s="77"/>
      <c r="AQ36" s="246"/>
      <c r="AR36" s="191"/>
      <c r="AS36" s="248"/>
      <c r="AT36" s="87"/>
      <c r="AU36" s="88"/>
    </row>
    <row r="37" spans="2:47" x14ac:dyDescent="0.25">
      <c r="B37" s="23"/>
      <c r="C37" s="23"/>
      <c r="D37" s="35" t="s">
        <v>25</v>
      </c>
      <c r="E37" s="40">
        <f>SUM(E34:E36)</f>
        <v>25</v>
      </c>
      <c r="F37" s="41"/>
      <c r="G37" s="42"/>
      <c r="H37" s="41"/>
      <c r="I37" s="44">
        <f>SUM(I34:I36)</f>
        <v>2123850</v>
      </c>
      <c r="J37" s="199"/>
      <c r="N37" s="55"/>
      <c r="R37" s="330"/>
      <c r="S37" s="77"/>
      <c r="T37" s="77"/>
      <c r="U37" s="81"/>
      <c r="V37" s="89" t="s">
        <v>34</v>
      </c>
      <c r="W37" s="90">
        <f>AI31+AL31+AO31</f>
        <v>0.19999999999999929</v>
      </c>
      <c r="X37" s="83"/>
      <c r="Y37" s="89" t="s">
        <v>34</v>
      </c>
      <c r="Z37" s="249">
        <f>AI31+AL31+AO31</f>
        <v>0.19999999999999929</v>
      </c>
      <c r="AA37" s="235"/>
      <c r="AB37" s="250"/>
      <c r="AC37" s="97"/>
      <c r="AD37" s="246"/>
      <c r="AE37" s="317"/>
      <c r="AF37" s="307"/>
      <c r="AG37" s="246"/>
      <c r="AH37" s="191"/>
      <c r="AI37" s="251"/>
      <c r="AJ37" s="84"/>
      <c r="AK37" s="84"/>
      <c r="AL37" s="91"/>
      <c r="AM37" s="91"/>
      <c r="AN37" s="84"/>
      <c r="AO37" s="86"/>
      <c r="AP37" s="77"/>
      <c r="AQ37" s="246"/>
      <c r="AR37" s="191"/>
      <c r="AS37" s="248"/>
      <c r="AT37" s="87"/>
      <c r="AU37" s="88"/>
    </row>
    <row r="38" spans="2:47" x14ac:dyDescent="0.25">
      <c r="B38" s="23"/>
      <c r="C38" s="23"/>
      <c r="D38" s="23"/>
      <c r="E38" s="47"/>
      <c r="F38" s="41"/>
      <c r="G38" s="42"/>
      <c r="H38" s="41"/>
      <c r="I38" s="42"/>
      <c r="J38" s="199"/>
      <c r="K38" s="30"/>
      <c r="N38" s="55"/>
      <c r="R38" s="331"/>
      <c r="Z38" s="254"/>
      <c r="AA38" s="235"/>
      <c r="AB38" s="102"/>
      <c r="AD38" s="254"/>
      <c r="AE38" s="319"/>
      <c r="AF38" s="308"/>
      <c r="AG38" s="254"/>
      <c r="AH38" s="191"/>
      <c r="AI38" s="102"/>
      <c r="AQ38" s="105"/>
      <c r="AR38" s="191"/>
      <c r="AS38" s="255"/>
      <c r="AU38" s="105"/>
    </row>
    <row r="39" spans="2:47" x14ac:dyDescent="0.25">
      <c r="B39" s="46" t="s">
        <v>55</v>
      </c>
      <c r="C39" s="351" t="str">
        <f>C34</f>
        <v>FQ 105/106/18/19</v>
      </c>
      <c r="D39" s="351" t="s">
        <v>38</v>
      </c>
      <c r="E39" s="178">
        <f>AK31</f>
        <v>0</v>
      </c>
      <c r="F39" s="352" t="s">
        <v>39</v>
      </c>
      <c r="G39" s="353">
        <f>G34</f>
        <v>86500</v>
      </c>
      <c r="H39" s="352" t="s">
        <v>22</v>
      </c>
      <c r="I39" s="353">
        <f>E39*G39</f>
        <v>0</v>
      </c>
      <c r="J39" s="199">
        <f>(E37-E45)/E37</f>
        <v>7.9999999999999724E-3</v>
      </c>
      <c r="K39" s="30"/>
      <c r="L39" s="30"/>
      <c r="N39" s="55"/>
      <c r="R39" s="331"/>
      <c r="Z39" s="254"/>
      <c r="AA39" s="235"/>
      <c r="AB39" s="102"/>
      <c r="AD39" s="254"/>
      <c r="AE39" s="319"/>
      <c r="AF39" s="308"/>
      <c r="AG39" s="254"/>
      <c r="AH39" s="191"/>
      <c r="AI39" s="102"/>
      <c r="AQ39" s="105"/>
      <c r="AR39" s="191"/>
      <c r="AS39" s="255"/>
      <c r="AU39" s="105"/>
    </row>
    <row r="40" spans="2:47" x14ac:dyDescent="0.25">
      <c r="B40" s="46"/>
      <c r="C40" s="69" t="str">
        <f>C35</f>
        <v>DAGING RAWON BEKU</v>
      </c>
      <c r="D40" s="23"/>
      <c r="E40" s="47">
        <f>AN31</f>
        <v>0</v>
      </c>
      <c r="F40" s="41" t="s">
        <v>39</v>
      </c>
      <c r="G40" s="42">
        <v>75883.5</v>
      </c>
      <c r="H40" s="41" t="s">
        <v>22</v>
      </c>
      <c r="I40" s="42">
        <f>E40*G40</f>
        <v>0</v>
      </c>
      <c r="J40" s="199"/>
      <c r="K40" s="30"/>
      <c r="L40" s="30"/>
      <c r="M40" s="30"/>
      <c r="N40" s="53"/>
      <c r="R40" s="331"/>
      <c r="U40" s="106"/>
      <c r="Z40" s="256"/>
      <c r="AA40" s="235"/>
      <c r="AB40" s="102"/>
      <c r="AD40" s="254"/>
      <c r="AE40" s="319"/>
      <c r="AF40" s="308"/>
      <c r="AG40" s="254"/>
      <c r="AH40" s="191"/>
      <c r="AI40" s="102"/>
      <c r="AQ40" s="105"/>
      <c r="AR40" s="191"/>
      <c r="AS40" s="255"/>
      <c r="AU40" s="105"/>
    </row>
    <row r="41" spans="2:47" ht="16.5" thickBot="1" x14ac:dyDescent="0.3">
      <c r="B41" s="23"/>
      <c r="C41" s="69" t="str">
        <f>C36</f>
        <v>RAWON FRESH 2</v>
      </c>
      <c r="D41" s="23" t="s">
        <v>38</v>
      </c>
      <c r="E41" s="47">
        <f>AQ31</f>
        <v>24.8</v>
      </c>
      <c r="F41" s="41" t="s">
        <v>39</v>
      </c>
      <c r="G41" s="42">
        <f>G36</f>
        <v>84954</v>
      </c>
      <c r="H41" s="41" t="s">
        <v>22</v>
      </c>
      <c r="I41" s="42">
        <f>E41*G41</f>
        <v>2106859.2000000002</v>
      </c>
      <c r="J41" s="199"/>
      <c r="K41" s="30"/>
      <c r="L41" s="30"/>
      <c r="M41" s="30"/>
      <c r="N41" s="53"/>
      <c r="R41" s="332"/>
      <c r="S41" s="109"/>
      <c r="T41" s="109"/>
      <c r="U41" s="109"/>
      <c r="V41" s="109"/>
      <c r="W41" s="109"/>
      <c r="X41" s="109"/>
      <c r="Y41" s="109"/>
      <c r="Z41" s="257"/>
      <c r="AA41" s="235"/>
      <c r="AB41" s="108"/>
      <c r="AC41" s="109"/>
      <c r="AD41" s="257"/>
      <c r="AE41" s="320"/>
      <c r="AF41" s="309"/>
      <c r="AG41" s="257"/>
      <c r="AH41" s="191"/>
      <c r="AI41" s="108"/>
      <c r="AJ41" s="111"/>
      <c r="AK41" s="111"/>
      <c r="AL41" s="107"/>
      <c r="AM41" s="107"/>
      <c r="AN41" s="107"/>
      <c r="AO41" s="107"/>
      <c r="AP41" s="107"/>
      <c r="AQ41" s="112"/>
      <c r="AR41" s="191"/>
      <c r="AS41" s="258"/>
      <c r="AT41" s="107"/>
      <c r="AU41" s="112"/>
    </row>
    <row r="42" spans="2:47" x14ac:dyDescent="0.25">
      <c r="B42" s="23"/>
      <c r="C42" s="23"/>
      <c r="D42" s="35" t="s">
        <v>25</v>
      </c>
      <c r="E42" s="40">
        <f>SUM(E39:E41)</f>
        <v>24.8</v>
      </c>
      <c r="F42" s="41"/>
      <c r="G42" s="42"/>
      <c r="H42" s="41"/>
      <c r="I42" s="44">
        <f>SUM(I39:I41)</f>
        <v>2106859.2000000002</v>
      </c>
      <c r="J42" s="199"/>
      <c r="K42" s="30"/>
      <c r="L42" s="30"/>
      <c r="M42" s="30"/>
      <c r="N42" s="53"/>
      <c r="R42" s="259"/>
      <c r="S42" s="259"/>
      <c r="AA42" s="260"/>
      <c r="AE42" s="308"/>
      <c r="AF42" s="308"/>
      <c r="AH42" s="261"/>
      <c r="AR42" s="261"/>
    </row>
    <row r="43" spans="2:47" x14ac:dyDescent="0.25">
      <c r="B43" s="23"/>
      <c r="C43" s="23"/>
      <c r="D43" s="35"/>
      <c r="E43" s="47"/>
      <c r="F43" s="41"/>
      <c r="G43" s="42"/>
      <c r="H43" s="41"/>
      <c r="I43" s="44"/>
      <c r="J43" s="199">
        <f>((E37-(E45+E48))/E37)</f>
        <v>2.8760000000000049E-2</v>
      </c>
      <c r="K43" s="50"/>
      <c r="L43" s="50"/>
      <c r="M43" s="30"/>
      <c r="N43" s="53"/>
      <c r="R43" s="259"/>
      <c r="S43" s="259"/>
      <c r="T43" s="262"/>
      <c r="U43" s="262"/>
      <c r="AA43" s="260"/>
      <c r="AB43" s="106"/>
      <c r="AE43" s="308"/>
      <c r="AF43" s="308"/>
      <c r="AH43" s="261"/>
      <c r="AR43" s="261"/>
    </row>
    <row r="44" spans="2:47" x14ac:dyDescent="0.25">
      <c r="B44" s="71" t="s">
        <v>56</v>
      </c>
      <c r="C44" s="56"/>
      <c r="D44" s="58">
        <f>(I34+I36+I35)/(E42+E48)</f>
        <v>87469.626456900456</v>
      </c>
      <c r="E44" s="278"/>
      <c r="F44" s="278"/>
      <c r="G44" s="278"/>
      <c r="H44" s="41"/>
      <c r="I44" s="44"/>
      <c r="J44" s="199"/>
      <c r="K44" s="50"/>
      <c r="L44" s="50"/>
      <c r="M44" s="50"/>
      <c r="N44" s="65"/>
      <c r="R44" s="259"/>
      <c r="S44" s="259"/>
      <c r="T44" s="262"/>
      <c r="U44" s="262"/>
      <c r="AA44" s="260"/>
      <c r="AB44" s="106"/>
      <c r="AE44" s="308"/>
      <c r="AF44" s="308"/>
      <c r="AH44" s="261"/>
      <c r="AR44" s="261"/>
    </row>
    <row r="45" spans="2:47" x14ac:dyDescent="0.25">
      <c r="B45" s="72"/>
      <c r="C45" s="23"/>
      <c r="D45" s="23" t="s">
        <v>25</v>
      </c>
      <c r="E45" s="40">
        <f>E42</f>
        <v>24.8</v>
      </c>
      <c r="F45" s="41"/>
      <c r="G45" s="42"/>
      <c r="H45" s="41"/>
      <c r="I45" s="44">
        <f>I42</f>
        <v>2106859.2000000002</v>
      </c>
      <c r="J45" s="263"/>
      <c r="L45" s="50"/>
      <c r="M45" s="50"/>
      <c r="N45" s="65"/>
      <c r="T45" s="326"/>
      <c r="U45" s="326"/>
      <c r="AA45" s="260"/>
      <c r="AE45" s="308"/>
      <c r="AF45" s="308"/>
      <c r="AH45" s="261"/>
      <c r="AR45" s="261"/>
    </row>
    <row r="46" spans="2:47" x14ac:dyDescent="0.25">
      <c r="B46" s="72"/>
      <c r="C46" s="23"/>
      <c r="D46" s="23"/>
      <c r="E46" s="40"/>
      <c r="F46" s="41"/>
      <c r="G46" s="42"/>
      <c r="H46" s="41"/>
      <c r="I46" s="44"/>
      <c r="J46" s="217"/>
      <c r="L46" s="50"/>
      <c r="M46" s="50"/>
      <c r="N46" s="65"/>
      <c r="AA46" s="260"/>
      <c r="AE46" s="308"/>
      <c r="AF46" s="308"/>
      <c r="AH46" s="261"/>
      <c r="AR46" s="261"/>
    </row>
    <row r="47" spans="2:47" x14ac:dyDescent="0.25">
      <c r="B47" s="72"/>
      <c r="C47" s="23"/>
      <c r="D47" s="23" t="s">
        <v>44</v>
      </c>
      <c r="E47" s="40">
        <f>E45-E37</f>
        <v>-0.19999999999999929</v>
      </c>
      <c r="F47" s="41"/>
      <c r="G47" s="42"/>
      <c r="H47" s="41" t="s">
        <v>38</v>
      </c>
      <c r="I47" s="44">
        <f>((AI31*-81000)+(AL31*-72000)+(AO31*-71000))</f>
        <v>-14199.999999999949</v>
      </c>
      <c r="J47" s="199"/>
      <c r="L47" s="50"/>
      <c r="M47" s="50"/>
      <c r="N47" s="65"/>
      <c r="AA47" s="260"/>
      <c r="AE47" s="308"/>
      <c r="AF47" s="308"/>
      <c r="AH47" s="261"/>
      <c r="AR47" s="261"/>
    </row>
    <row r="48" spans="2:47" x14ac:dyDescent="0.25">
      <c r="B48" s="72"/>
      <c r="C48" s="23"/>
      <c r="D48" s="23" t="s">
        <v>45</v>
      </c>
      <c r="E48" s="40">
        <f>-'SALES DAGING'!U7</f>
        <v>-0.51900000000000057</v>
      </c>
      <c r="F48" s="41"/>
      <c r="G48" s="42"/>
      <c r="H48" s="41" t="s">
        <v>38</v>
      </c>
      <c r="I48" s="44">
        <f>E48*81000</f>
        <v>-42039.000000000044</v>
      </c>
      <c r="J48" s="199"/>
      <c r="L48" s="50"/>
      <c r="M48" s="50"/>
      <c r="N48" s="65"/>
      <c r="AA48" s="260"/>
      <c r="AE48" s="308"/>
      <c r="AF48" s="308"/>
      <c r="AH48" s="261"/>
      <c r="AR48" s="261"/>
    </row>
    <row r="49" spans="2:44" x14ac:dyDescent="0.25">
      <c r="B49" s="72"/>
      <c r="C49" s="23"/>
      <c r="D49" s="23" t="s">
        <v>46</v>
      </c>
      <c r="E49" s="40">
        <f>SUM(E47:E48)</f>
        <v>-0.71899999999999986</v>
      </c>
      <c r="F49" s="41"/>
      <c r="G49" s="42"/>
      <c r="H49" s="41"/>
      <c r="I49" s="44">
        <f>SUM(I47:I48)</f>
        <v>-56238.999999999993</v>
      </c>
      <c r="J49" s="199"/>
      <c r="L49" s="50"/>
      <c r="M49" s="50"/>
      <c r="N49" s="65"/>
      <c r="AA49" s="260"/>
      <c r="AE49" s="308"/>
      <c r="AF49" s="308"/>
      <c r="AH49" s="261"/>
      <c r="AR49" s="261"/>
    </row>
    <row r="50" spans="2:44" x14ac:dyDescent="0.25">
      <c r="B50" s="23"/>
      <c r="C50" s="23"/>
      <c r="D50" s="279" t="s">
        <v>47</v>
      </c>
      <c r="E50" s="279"/>
      <c r="F50" s="279"/>
      <c r="G50" s="42"/>
      <c r="H50" s="41"/>
      <c r="I50" s="42">
        <f>I45-I37</f>
        <v>-16990.799999999814</v>
      </c>
      <c r="J50" s="199"/>
      <c r="L50" s="50"/>
      <c r="M50" s="50"/>
      <c r="N50" s="65"/>
      <c r="AA50" s="260"/>
      <c r="AE50" s="308"/>
      <c r="AF50" s="308"/>
      <c r="AH50" s="261"/>
      <c r="AR50" s="261"/>
    </row>
    <row r="51" spans="2:44" x14ac:dyDescent="0.25">
      <c r="B51" s="46" t="s">
        <v>37</v>
      </c>
      <c r="C51" s="358" t="s">
        <v>86</v>
      </c>
      <c r="D51" s="358" t="s">
        <v>38</v>
      </c>
      <c r="E51" s="359">
        <f>AT31</f>
        <v>125.39</v>
      </c>
      <c r="F51" s="360" t="s">
        <v>49</v>
      </c>
      <c r="G51" s="361">
        <v>85200</v>
      </c>
      <c r="H51" s="360" t="s">
        <v>22</v>
      </c>
      <c r="I51" s="362">
        <f>E51*G51</f>
        <v>10683228</v>
      </c>
      <c r="J51" s="199"/>
      <c r="L51" s="50"/>
      <c r="M51" s="50"/>
      <c r="N51" s="65"/>
      <c r="AA51" s="260"/>
      <c r="AE51" s="308"/>
      <c r="AF51" s="308"/>
      <c r="AH51" s="261"/>
      <c r="AR51" s="261"/>
    </row>
    <row r="52" spans="2:44" x14ac:dyDescent="0.25">
      <c r="B52" s="46"/>
      <c r="C52" s="23"/>
      <c r="D52" s="23" t="s">
        <v>87</v>
      </c>
      <c r="E52" s="303">
        <f>E51</f>
        <v>125.39</v>
      </c>
      <c r="F52" s="41"/>
      <c r="G52" s="74"/>
      <c r="H52" s="41"/>
      <c r="I52" s="75"/>
      <c r="J52" s="199"/>
      <c r="L52" s="50"/>
      <c r="M52" s="50"/>
      <c r="N52" s="65"/>
      <c r="AA52" s="260"/>
      <c r="AE52" s="308"/>
      <c r="AF52" s="308"/>
      <c r="AH52" s="261"/>
      <c r="AR52" s="261"/>
    </row>
    <row r="53" spans="2:44" x14ac:dyDescent="0.25">
      <c r="B53" s="46" t="s">
        <v>50</v>
      </c>
      <c r="C53" s="358" t="s">
        <v>86</v>
      </c>
      <c r="D53" s="358"/>
      <c r="E53" s="359">
        <f>AU31</f>
        <v>124</v>
      </c>
      <c r="F53" s="360" t="s">
        <v>49</v>
      </c>
      <c r="G53" s="363">
        <v>85200</v>
      </c>
      <c r="H53" s="360" t="s">
        <v>22</v>
      </c>
      <c r="I53" s="362">
        <f>E53*G53</f>
        <v>10564800</v>
      </c>
      <c r="J53" s="213"/>
      <c r="L53" s="50"/>
      <c r="M53" s="50"/>
      <c r="N53" s="65"/>
      <c r="AA53" s="260"/>
      <c r="AE53" s="308"/>
      <c r="AF53" s="308"/>
      <c r="AH53" s="261"/>
      <c r="AR53" s="261"/>
    </row>
    <row r="54" spans="2:44" x14ac:dyDescent="0.25">
      <c r="B54" s="46"/>
      <c r="C54" s="23"/>
      <c r="D54" s="23" t="s">
        <v>87</v>
      </c>
      <c r="E54" s="303">
        <f>E53</f>
        <v>124</v>
      </c>
      <c r="F54" s="41"/>
      <c r="G54" s="289"/>
      <c r="H54" s="41"/>
      <c r="I54" s="290"/>
      <c r="J54" s="291"/>
      <c r="L54" s="78"/>
      <c r="M54" s="78"/>
      <c r="N54" s="65"/>
      <c r="AA54" s="260"/>
      <c r="AE54" s="308"/>
      <c r="AF54" s="308"/>
      <c r="AH54" s="261"/>
      <c r="AR54" s="261"/>
    </row>
    <row r="55" spans="2:44" x14ac:dyDescent="0.25">
      <c r="B55" s="46"/>
      <c r="C55" s="23"/>
      <c r="D55" s="23"/>
      <c r="E55" s="73"/>
      <c r="F55" s="41"/>
      <c r="G55" s="289"/>
      <c r="H55" s="41"/>
      <c r="I55" s="290"/>
      <c r="J55" s="291"/>
      <c r="L55" s="78"/>
      <c r="M55" s="78"/>
      <c r="N55" s="65"/>
      <c r="AA55" s="260"/>
      <c r="AE55" s="308"/>
      <c r="AF55" s="308"/>
      <c r="AH55" s="261"/>
      <c r="AR55" s="261"/>
    </row>
    <row r="56" spans="2:44" x14ac:dyDescent="0.25">
      <c r="B56" s="76" t="s">
        <v>91</v>
      </c>
      <c r="C56" s="35"/>
      <c r="D56" s="58">
        <f>I51/(E54+E59)</f>
        <v>87420.547440775743</v>
      </c>
      <c r="E56" s="47"/>
      <c r="F56" s="41"/>
      <c r="G56" s="42"/>
      <c r="H56" s="41"/>
      <c r="I56" s="42"/>
      <c r="J56" s="265" t="s">
        <v>59</v>
      </c>
      <c r="L56" s="50"/>
      <c r="M56" s="50"/>
      <c r="N56" s="65"/>
      <c r="AA56" s="260"/>
      <c r="AE56" s="308"/>
      <c r="AF56" s="308"/>
      <c r="AH56" s="261"/>
      <c r="AR56" s="264"/>
    </row>
    <row r="57" spans="2:44" x14ac:dyDescent="0.25">
      <c r="B57" s="46"/>
      <c r="C57" s="23"/>
      <c r="D57" s="173"/>
      <c r="E57" s="47"/>
      <c r="F57" s="41"/>
      <c r="G57" s="42"/>
      <c r="H57" s="41"/>
      <c r="I57" s="42"/>
      <c r="J57" s="294"/>
      <c r="L57" s="78"/>
      <c r="M57" s="78"/>
      <c r="N57" s="65"/>
      <c r="AA57" s="260"/>
      <c r="AE57" s="308"/>
      <c r="AF57" s="308"/>
      <c r="AH57" s="261"/>
      <c r="AR57" s="261"/>
    </row>
    <row r="58" spans="2:44" x14ac:dyDescent="0.25">
      <c r="B58" s="76"/>
      <c r="C58" s="35"/>
      <c r="D58" s="23" t="s">
        <v>44</v>
      </c>
      <c r="E58" s="40">
        <f>E51-E53</f>
        <v>1.3900000000000006</v>
      </c>
      <c r="F58" s="41"/>
      <c r="G58" s="42"/>
      <c r="H58" s="41" t="s">
        <v>38</v>
      </c>
      <c r="I58" s="44">
        <f>((AS31*-86183.9))</f>
        <v>-119795.62100000035</v>
      </c>
      <c r="J58" s="213"/>
      <c r="L58" s="50"/>
      <c r="M58" s="50"/>
      <c r="N58" s="78"/>
      <c r="AA58" s="260"/>
      <c r="AE58" s="308"/>
      <c r="AF58" s="308"/>
      <c r="AH58" s="261"/>
      <c r="AR58" s="77"/>
    </row>
    <row r="59" spans="2:44" x14ac:dyDescent="0.25">
      <c r="B59" s="76"/>
      <c r="C59" s="35"/>
      <c r="D59" s="23" t="s">
        <v>45</v>
      </c>
      <c r="E59" s="40">
        <f>-'SALES DAGING'!U3</f>
        <v>-1.7949999999999955</v>
      </c>
      <c r="F59" s="41"/>
      <c r="G59" s="42"/>
      <c r="H59" s="41" t="s">
        <v>38</v>
      </c>
      <c r="I59" s="44">
        <f>E59*86183.9</f>
        <v>-154700.10049999959</v>
      </c>
      <c r="J59" s="217"/>
      <c r="L59" s="50"/>
      <c r="M59" s="50"/>
      <c r="N59" s="78"/>
      <c r="AA59" s="44"/>
      <c r="AE59" s="310"/>
      <c r="AF59" s="310"/>
      <c r="AH59" s="292"/>
      <c r="AR59" s="293"/>
    </row>
    <row r="60" spans="2:44" x14ac:dyDescent="0.25">
      <c r="B60" s="76"/>
      <c r="C60" s="35"/>
      <c r="D60" s="23" t="s">
        <v>46</v>
      </c>
      <c r="E60" s="40">
        <f>SUM(E58:E59)</f>
        <v>-0.40499999999999492</v>
      </c>
      <c r="F60" s="41"/>
      <c r="G60" s="42"/>
      <c r="H60" s="41"/>
      <c r="I60" s="44">
        <f>SUM(I58:I59)</f>
        <v>-274495.72149999993</v>
      </c>
      <c r="J60" s="217"/>
      <c r="L60" s="50"/>
      <c r="M60" s="50"/>
      <c r="N60" s="78"/>
      <c r="AA60" s="44"/>
      <c r="AE60" s="310"/>
      <c r="AF60" s="310"/>
      <c r="AH60" s="292"/>
      <c r="AR60" s="293"/>
    </row>
    <row r="61" spans="2:44" x14ac:dyDescent="0.25">
      <c r="B61" s="76"/>
      <c r="C61" s="35"/>
      <c r="D61" s="279" t="s">
        <v>47</v>
      </c>
      <c r="E61" s="279"/>
      <c r="F61" s="279"/>
      <c r="G61" s="42"/>
      <c r="H61" s="41"/>
      <c r="I61" s="42">
        <f>I51-I53</f>
        <v>118428</v>
      </c>
      <c r="J61" s="217">
        <f>(D66-D67)/D66</f>
        <v>7.4296160877512646E-3</v>
      </c>
      <c r="L61" s="50"/>
      <c r="M61" s="50"/>
      <c r="N61" s="78"/>
      <c r="AA61" s="82"/>
      <c r="AR61" s="77"/>
    </row>
    <row r="62" spans="2:44" x14ac:dyDescent="0.25">
      <c r="C62" s="18" t="s">
        <v>57</v>
      </c>
      <c r="D62" s="23"/>
      <c r="E62" s="44">
        <f>(E15+E29+E47+E58)</f>
        <v>0.24000000000001265</v>
      </c>
      <c r="F62" s="41"/>
      <c r="G62" s="42"/>
      <c r="H62" s="41"/>
      <c r="I62" s="73">
        <f>I29+I47+I15</f>
        <v>-111099.99999999808</v>
      </c>
      <c r="J62" s="217"/>
      <c r="L62" s="50"/>
      <c r="M62" s="50"/>
      <c r="N62" s="78"/>
      <c r="AA62" s="295"/>
      <c r="AE62" s="312"/>
      <c r="AF62" s="312"/>
      <c r="AH62" s="296"/>
      <c r="AR62" s="293"/>
    </row>
    <row r="63" spans="2:44" x14ac:dyDescent="0.25">
      <c r="C63" s="18" t="s">
        <v>58</v>
      </c>
      <c r="D63" s="23"/>
      <c r="E63" s="40">
        <f>E16+E30+E48+E59</f>
        <v>-4.3519999999999897</v>
      </c>
      <c r="F63" s="41"/>
      <c r="G63" s="42"/>
      <c r="H63" s="41"/>
      <c r="I63" s="73">
        <f>I16+I30+I48+I59</f>
        <v>-397305.10049999895</v>
      </c>
      <c r="J63" s="217"/>
      <c r="M63" s="50"/>
      <c r="N63" s="78"/>
      <c r="AA63" s="82"/>
      <c r="AR63" s="77"/>
    </row>
    <row r="64" spans="2:44" x14ac:dyDescent="0.25">
      <c r="C64" s="18"/>
      <c r="D64" s="23"/>
      <c r="E64" s="40">
        <f>SUM(E62:E63)</f>
        <v>-4.111999999999977</v>
      </c>
      <c r="F64" s="41"/>
      <c r="G64" s="42"/>
      <c r="H64" s="41"/>
      <c r="I64" s="73">
        <f>SUM(I62:I63)</f>
        <v>-508405.10049999703</v>
      </c>
      <c r="J64" s="217"/>
      <c r="AA64" s="82"/>
      <c r="AR64" s="77"/>
    </row>
    <row r="65" spans="2:44" x14ac:dyDescent="0.25">
      <c r="J65" s="266"/>
      <c r="AA65" s="82"/>
      <c r="AR65" s="77"/>
    </row>
    <row r="66" spans="2:44" x14ac:dyDescent="0.25">
      <c r="C66" s="46" t="s">
        <v>60</v>
      </c>
      <c r="D66" s="40">
        <f>E7+E22+E37+E52</f>
        <v>341.875</v>
      </c>
      <c r="E66" s="46"/>
      <c r="F66" s="52"/>
      <c r="G66" s="46"/>
      <c r="H66" s="52"/>
      <c r="I66" s="44">
        <f>I7+I22+I37+I51</f>
        <v>34125673</v>
      </c>
      <c r="J66" s="217"/>
      <c r="AA66" s="82"/>
      <c r="AR66" s="77"/>
    </row>
    <row r="67" spans="2:44" ht="16.5" thickBot="1" x14ac:dyDescent="0.3">
      <c r="C67" s="91" t="s">
        <v>61</v>
      </c>
      <c r="D67" s="95">
        <f>E11+E26+E42+E54</f>
        <v>339.33500000000004</v>
      </c>
      <c r="E67" s="91"/>
      <c r="F67" s="91"/>
      <c r="G67" s="91"/>
      <c r="H67" s="91"/>
      <c r="I67" s="96">
        <f>I11+I26+I45+I53</f>
        <v>33893354.200000003</v>
      </c>
      <c r="J67" s="217"/>
      <c r="N67" s="107"/>
      <c r="AA67" s="82"/>
      <c r="AR67" s="77"/>
    </row>
    <row r="68" spans="2:44" x14ac:dyDescent="0.25">
      <c r="C68" s="99" t="s">
        <v>20</v>
      </c>
      <c r="D68" s="99">
        <f>D67-D66</f>
        <v>-2.5399999999999636</v>
      </c>
      <c r="E68" s="100"/>
      <c r="F68" s="100"/>
      <c r="G68" s="100"/>
      <c r="H68" s="100"/>
      <c r="I68" s="101">
        <f>I67-I66</f>
        <v>-232318.79999999702</v>
      </c>
      <c r="J68" s="217">
        <f>J61</f>
        <v>7.4296160877512646E-3</v>
      </c>
    </row>
    <row r="69" spans="2:44" x14ac:dyDescent="0.25">
      <c r="O69" s="10"/>
      <c r="P69" s="10"/>
      <c r="Q69" s="10"/>
    </row>
    <row r="70" spans="2:44" x14ac:dyDescent="0.25">
      <c r="O70" s="10"/>
      <c r="P70" s="10"/>
      <c r="Q70" s="10"/>
    </row>
    <row r="71" spans="2:44" ht="16.5" thickBot="1" x14ac:dyDescent="0.3">
      <c r="B71" s="91"/>
      <c r="C71" s="91"/>
      <c r="D71" s="91"/>
      <c r="E71" s="91"/>
      <c r="F71" s="91"/>
      <c r="G71" s="91"/>
      <c r="H71" s="91"/>
      <c r="I71" s="91"/>
      <c r="O71" s="10"/>
      <c r="P71" s="10"/>
      <c r="Q71" s="10"/>
      <c r="AA71" s="109"/>
      <c r="AH71" s="110"/>
      <c r="AR71" s="107"/>
    </row>
    <row r="72" spans="2:44" x14ac:dyDescent="0.25">
      <c r="O72" s="10"/>
      <c r="P72" s="10"/>
      <c r="Q72" s="10"/>
    </row>
    <row r="73" spans="2:44" x14ac:dyDescent="0.25">
      <c r="O73" s="10"/>
      <c r="P73" s="10"/>
      <c r="Q73" s="10"/>
    </row>
    <row r="74" spans="2:44" x14ac:dyDescent="0.25">
      <c r="O74" s="10"/>
      <c r="P74" s="10"/>
      <c r="Q74" s="10"/>
    </row>
    <row r="75" spans="2:44" x14ac:dyDescent="0.25">
      <c r="O75" s="10"/>
      <c r="P75" s="10"/>
      <c r="Q75" s="10"/>
    </row>
    <row r="76" spans="2:44" x14ac:dyDescent="0.25"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313"/>
      <c r="AF76" s="313"/>
      <c r="AG76" s="10"/>
      <c r="AH76" s="10"/>
      <c r="AI76" s="10"/>
      <c r="AJ76" s="10"/>
      <c r="AK76" s="10"/>
    </row>
    <row r="77" spans="2:44" x14ac:dyDescent="0.25">
      <c r="G77" s="113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313"/>
      <c r="AF77" s="313"/>
      <c r="AG77" s="10"/>
      <c r="AH77" s="10"/>
      <c r="AI77" s="10"/>
      <c r="AJ77" s="10"/>
      <c r="AK77" s="10"/>
    </row>
    <row r="78" spans="2:44" x14ac:dyDescent="0.25"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313"/>
      <c r="AF78" s="313"/>
      <c r="AG78" s="10"/>
      <c r="AH78" s="10"/>
      <c r="AI78" s="10"/>
      <c r="AJ78" s="10"/>
      <c r="AK78" s="10"/>
    </row>
    <row r="79" spans="2:44" x14ac:dyDescent="0.25"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313"/>
      <c r="AF79" s="313"/>
      <c r="AG79" s="10"/>
      <c r="AH79" s="10"/>
      <c r="AI79" s="10"/>
      <c r="AJ79" s="10"/>
      <c r="AK79" s="10"/>
    </row>
    <row r="80" spans="2:44" x14ac:dyDescent="0.25"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313"/>
      <c r="AF80" s="313"/>
      <c r="AG80" s="10"/>
      <c r="AH80" s="10"/>
      <c r="AI80" s="10"/>
      <c r="AJ80" s="10"/>
      <c r="AK80" s="10"/>
    </row>
    <row r="81" spans="18:37" x14ac:dyDescent="0.25"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313"/>
      <c r="AF81" s="313"/>
      <c r="AG81" s="10"/>
      <c r="AH81" s="10"/>
      <c r="AI81" s="10"/>
      <c r="AJ81" s="10"/>
      <c r="AK81" s="10"/>
    </row>
    <row r="82" spans="18:37" x14ac:dyDescent="0.25"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313"/>
      <c r="AF82" s="313"/>
      <c r="AG82" s="10"/>
      <c r="AH82" s="10"/>
      <c r="AI82" s="10"/>
      <c r="AJ82" s="10"/>
      <c r="AK82" s="10"/>
    </row>
    <row r="85" spans="18:37" x14ac:dyDescent="0.25"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313"/>
      <c r="AF85" s="313"/>
      <c r="AG85" s="10"/>
      <c r="AH85" s="10"/>
      <c r="AI85" s="10"/>
      <c r="AJ85" s="10"/>
      <c r="AK85" s="10"/>
    </row>
    <row r="626" spans="1:47" x14ac:dyDescent="0.25">
      <c r="A626" s="103"/>
      <c r="B626" s="103"/>
      <c r="C626" s="103"/>
      <c r="D626" s="103"/>
      <c r="E626" s="103"/>
      <c r="F626" s="103"/>
      <c r="G626" s="103"/>
      <c r="H626" s="103"/>
      <c r="I626" s="103"/>
    </row>
    <row r="627" spans="1:47" s="103" customForma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267"/>
      <c r="K627" s="10"/>
      <c r="L627" s="10"/>
      <c r="M627" s="10"/>
      <c r="N627" s="10"/>
      <c r="P627" s="103">
        <f>16+16</f>
        <v>32</v>
      </c>
      <c r="AE627" s="311"/>
      <c r="AF627" s="311"/>
      <c r="AH627" s="85"/>
      <c r="AJ627" s="104"/>
      <c r="AK627" s="104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</row>
    <row r="634" spans="1:47" x14ac:dyDescent="0.25">
      <c r="AL634" s="103"/>
      <c r="AM634" s="103"/>
      <c r="AN634" s="103"/>
      <c r="AO634" s="103"/>
      <c r="AP634" s="103"/>
      <c r="AQ634" s="103"/>
      <c r="AR634" s="103"/>
      <c r="AS634" s="103"/>
      <c r="AT634" s="103"/>
      <c r="AU634" s="103"/>
    </row>
    <row r="1327" spans="1:47" x14ac:dyDescent="0.25">
      <c r="A1327" s="103"/>
      <c r="B1327" s="103"/>
      <c r="C1327" s="103"/>
      <c r="D1327" s="103"/>
      <c r="E1327" s="103"/>
      <c r="F1327" s="103"/>
      <c r="G1327" s="103"/>
      <c r="H1327" s="103"/>
      <c r="I1327" s="103"/>
    </row>
    <row r="1328" spans="1:47" s="103" customFormat="1" x14ac:dyDescent="0.25">
      <c r="A1328" s="10"/>
      <c r="B1328" s="10"/>
      <c r="C1328" s="10"/>
      <c r="D1328" s="10"/>
      <c r="E1328" s="10"/>
      <c r="F1328" s="10"/>
      <c r="G1328" s="10"/>
      <c r="H1328" s="10"/>
      <c r="I1328" s="10"/>
      <c r="J1328" s="267"/>
      <c r="K1328" s="10"/>
      <c r="L1328" s="10"/>
      <c r="M1328" s="10"/>
      <c r="N1328" s="10"/>
      <c r="P1328" s="103">
        <v>20</v>
      </c>
      <c r="AE1328" s="311"/>
      <c r="AF1328" s="311"/>
      <c r="AH1328" s="85"/>
      <c r="AJ1328" s="104"/>
      <c r="AK1328" s="104"/>
      <c r="AL1328" s="10"/>
      <c r="AM1328" s="10"/>
      <c r="AN1328" s="10"/>
      <c r="AO1328" s="10"/>
      <c r="AP1328" s="10"/>
      <c r="AQ1328" s="10"/>
      <c r="AR1328" s="10"/>
      <c r="AS1328" s="10"/>
      <c r="AT1328" s="10"/>
      <c r="AU1328" s="10"/>
    </row>
    <row r="1335" spans="38:47" x14ac:dyDescent="0.25">
      <c r="AL1335" s="103"/>
      <c r="AM1335" s="103"/>
      <c r="AN1335" s="103"/>
      <c r="AO1335" s="103"/>
      <c r="AP1335" s="103"/>
      <c r="AQ1335" s="103"/>
      <c r="AR1335" s="103"/>
      <c r="AS1335" s="103"/>
      <c r="AT1335" s="103"/>
      <c r="AU1335" s="103"/>
    </row>
  </sheetData>
  <mergeCells count="16">
    <mergeCell ref="AS3:AU3"/>
    <mergeCell ref="AS4:AU4"/>
    <mergeCell ref="AI4:AK4"/>
    <mergeCell ref="AO4:AQ4"/>
    <mergeCell ref="S1:W1"/>
    <mergeCell ref="AE3:AG3"/>
    <mergeCell ref="AB3:AD3"/>
    <mergeCell ref="X4:Z4"/>
    <mergeCell ref="C1:G1"/>
    <mergeCell ref="N1:R1"/>
    <mergeCell ref="U4:W4"/>
    <mergeCell ref="AI3:AQ3"/>
    <mergeCell ref="P3:W3"/>
    <mergeCell ref="AB4:AD4"/>
    <mergeCell ref="R4:T4"/>
    <mergeCell ref="AE4:AG4"/>
  </mergeCells>
  <pageMargins left="0" right="0" top="0.23622047244094491" bottom="0" header="0" footer="0"/>
  <pageSetup paperSize="9" scale="34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A27"/>
  <sheetViews>
    <sheetView zoomScale="85" zoomScaleNormal="85" workbookViewId="0">
      <selection sqref="A1:XFD1048576"/>
    </sheetView>
  </sheetViews>
  <sheetFormatPr defaultColWidth="9.140625" defaultRowHeight="15" x14ac:dyDescent="0.25"/>
  <cols>
    <col min="2" max="2" width="22" style="374" customWidth="1"/>
    <col min="3" max="3" width="13.85546875" style="374" customWidth="1"/>
    <col min="4" max="4" width="10.5703125" style="374" customWidth="1"/>
    <col min="5" max="5" width="9.140625" style="374"/>
    <col min="6" max="6" width="10.42578125" style="374" customWidth="1"/>
    <col min="7" max="9" width="9.140625" style="374"/>
    <col min="10" max="10" width="12.5703125" style="374" customWidth="1"/>
    <col min="11" max="11" width="9.140625" style="374"/>
    <col min="12" max="17" width="9" style="374" hidden="1" customWidth="1"/>
    <col min="18" max="18" width="9.140625" style="374"/>
    <col min="19" max="22" width="9" style="374" hidden="1" customWidth="1"/>
    <col min="23" max="23" width="10.5703125" style="374" customWidth="1"/>
    <col min="24" max="24" width="9.140625" style="374"/>
    <col min="25" max="25" width="13.5703125" style="374" bestFit="1" customWidth="1"/>
    <col min="26" max="16384" width="9.140625" style="374"/>
  </cols>
  <sheetData>
    <row r="1" spans="2:27" ht="15.75" thickBot="1" x14ac:dyDescent="0.3"/>
    <row r="2" spans="2:27" ht="32.25" thickBot="1" x14ac:dyDescent="0.55000000000000004">
      <c r="B2" s="399" t="s">
        <v>23</v>
      </c>
      <c r="C2" s="400"/>
      <c r="D2" s="400"/>
      <c r="E2" s="400"/>
      <c r="F2" s="400"/>
      <c r="G2" s="400"/>
      <c r="H2" s="400"/>
      <c r="I2" s="400"/>
      <c r="J2" s="400"/>
      <c r="K2" s="400"/>
      <c r="L2" s="400"/>
      <c r="M2" s="400"/>
      <c r="N2" s="400"/>
      <c r="O2" s="400"/>
      <c r="P2" s="400"/>
      <c r="Q2" s="400"/>
      <c r="R2" s="400"/>
      <c r="S2" s="400"/>
      <c r="T2" s="400"/>
      <c r="U2" s="400"/>
      <c r="V2" s="400"/>
      <c r="W2" s="401"/>
    </row>
    <row r="3" spans="2:27" ht="18.75" x14ac:dyDescent="0.25">
      <c r="B3" s="114" t="s">
        <v>68</v>
      </c>
      <c r="C3" s="115" t="s">
        <v>104</v>
      </c>
      <c r="D3" s="116"/>
      <c r="H3" s="117"/>
      <c r="W3" s="118"/>
    </row>
    <row r="4" spans="2:27" x14ac:dyDescent="0.25">
      <c r="B4" s="119" t="s">
        <v>69</v>
      </c>
      <c r="C4" s="120">
        <v>46236</v>
      </c>
      <c r="E4" s="121"/>
      <c r="F4" s="122"/>
      <c r="G4" s="123"/>
      <c r="H4" s="121"/>
      <c r="I4" s="124"/>
      <c r="J4" s="121"/>
      <c r="K4" s="124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18"/>
    </row>
    <row r="5" spans="2:27" x14ac:dyDescent="0.25"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18"/>
    </row>
    <row r="6" spans="2:27" x14ac:dyDescent="0.25">
      <c r="B6" s="126" t="s">
        <v>24</v>
      </c>
      <c r="C6" s="127">
        <v>1</v>
      </c>
      <c r="D6" s="127">
        <v>2</v>
      </c>
      <c r="E6" s="127">
        <v>3</v>
      </c>
      <c r="F6" s="127">
        <v>4</v>
      </c>
      <c r="G6" s="127">
        <v>5</v>
      </c>
      <c r="H6" s="127">
        <v>6</v>
      </c>
      <c r="I6" s="127">
        <v>7</v>
      </c>
      <c r="J6" s="127">
        <v>8</v>
      </c>
      <c r="K6" s="127">
        <v>9</v>
      </c>
      <c r="L6" s="127">
        <v>10</v>
      </c>
      <c r="M6" s="127">
        <v>11</v>
      </c>
      <c r="N6" s="127">
        <v>12</v>
      </c>
      <c r="O6" s="127">
        <v>13</v>
      </c>
      <c r="P6" s="127">
        <v>14</v>
      </c>
      <c r="Q6" s="127">
        <v>15</v>
      </c>
      <c r="R6" s="127">
        <v>16</v>
      </c>
      <c r="S6" s="127">
        <v>17</v>
      </c>
      <c r="T6" s="127">
        <v>18</v>
      </c>
      <c r="U6" s="127">
        <v>19</v>
      </c>
      <c r="V6" s="127">
        <v>20</v>
      </c>
      <c r="W6" s="128" t="s">
        <v>25</v>
      </c>
      <c r="Y6" s="374" t="s">
        <v>60</v>
      </c>
    </row>
    <row r="7" spans="2:27" x14ac:dyDescent="0.25">
      <c r="B7" s="129" t="s">
        <v>26</v>
      </c>
      <c r="C7" s="274">
        <f>LAP.DAGING!S31</f>
        <v>120</v>
      </c>
      <c r="D7" s="130">
        <f>LAP.DAGING!V31</f>
        <v>0</v>
      </c>
      <c r="E7" s="131">
        <f>LAP.DAGING!Y31</f>
        <v>0</v>
      </c>
      <c r="F7" s="132"/>
      <c r="G7" s="131">
        <f>LAP.DAGING!AJ31</f>
        <v>0</v>
      </c>
      <c r="H7" s="131">
        <f>LAP.DAGING!AP31</f>
        <v>25</v>
      </c>
      <c r="I7" s="131">
        <f>LAP.DAGING!AC31</f>
        <v>0</v>
      </c>
      <c r="J7" s="131">
        <f>LAP.DAGING!AF31</f>
        <v>23.21</v>
      </c>
      <c r="K7" s="131">
        <f>LAP.DAGING!AT31</f>
        <v>125.39</v>
      </c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4">
        <f t="shared" ref="W7:W13" si="0">SUM(C7:V7)</f>
        <v>293.60000000000002</v>
      </c>
      <c r="Y7" s="273">
        <f>W7</f>
        <v>293.60000000000002</v>
      </c>
      <c r="AA7" s="155">
        <f>Y7-Y10</f>
        <v>2.75</v>
      </c>
    </row>
    <row r="8" spans="2:27" x14ac:dyDescent="0.25">
      <c r="B8" s="129" t="s">
        <v>10</v>
      </c>
      <c r="C8" s="274">
        <f>LAP.DAGING!T31</f>
        <v>119.05000000000001</v>
      </c>
      <c r="D8" s="130">
        <f>LAP.DAGING!W31</f>
        <v>0</v>
      </c>
      <c r="E8" s="131">
        <f>LAP.DAGING!Z31</f>
        <v>0</v>
      </c>
      <c r="F8" s="135"/>
      <c r="G8" s="136"/>
      <c r="H8" s="137"/>
      <c r="I8" s="131"/>
      <c r="J8" s="138"/>
      <c r="K8" s="131"/>
      <c r="L8" s="139"/>
      <c r="M8" s="139"/>
      <c r="N8" s="139"/>
      <c r="O8" s="139"/>
      <c r="P8" s="139"/>
      <c r="Q8" s="139"/>
      <c r="R8" s="140"/>
      <c r="S8" s="140"/>
      <c r="T8" s="140"/>
      <c r="U8" s="140"/>
      <c r="V8" s="140"/>
      <c r="W8" s="134">
        <f t="shared" si="0"/>
        <v>119.05000000000001</v>
      </c>
    </row>
    <row r="9" spans="2:27" x14ac:dyDescent="0.25">
      <c r="B9" s="129" t="s">
        <v>12</v>
      </c>
      <c r="C9" s="137"/>
      <c r="D9" s="130"/>
      <c r="E9" s="141"/>
      <c r="F9" s="135"/>
      <c r="G9" s="136"/>
      <c r="H9" s="137"/>
      <c r="I9" s="131">
        <f>LAP.DAGING!AD31</f>
        <v>0</v>
      </c>
      <c r="J9" s="142">
        <f>LAP.DAGING!AG31</f>
        <v>23</v>
      </c>
      <c r="K9" s="131"/>
      <c r="L9" s="139"/>
      <c r="M9" s="139"/>
      <c r="N9" s="139"/>
      <c r="O9" s="139"/>
      <c r="P9" s="139"/>
      <c r="Q9" s="139"/>
      <c r="R9" s="140"/>
      <c r="S9" s="140"/>
      <c r="T9" s="140"/>
      <c r="U9" s="140"/>
      <c r="V9" s="140"/>
      <c r="W9" s="134">
        <f t="shared" si="0"/>
        <v>23</v>
      </c>
      <c r="Y9" s="374" t="s">
        <v>83</v>
      </c>
    </row>
    <row r="10" spans="2:27" x14ac:dyDescent="0.25">
      <c r="B10" s="129"/>
      <c r="C10" s="143"/>
      <c r="D10" s="143"/>
      <c r="E10" s="143"/>
      <c r="F10" s="268"/>
      <c r="G10" s="137"/>
      <c r="H10" s="139"/>
      <c r="I10" s="139"/>
      <c r="J10" s="139"/>
      <c r="K10" s="131"/>
      <c r="L10" s="139"/>
      <c r="M10" s="139"/>
      <c r="N10" s="139"/>
      <c r="O10" s="140"/>
      <c r="P10" s="139"/>
      <c r="Q10" s="139"/>
      <c r="R10" s="140"/>
      <c r="S10" s="140"/>
      <c r="T10" s="140"/>
      <c r="U10" s="140"/>
      <c r="V10" s="140"/>
      <c r="W10" s="134">
        <f t="shared" si="0"/>
        <v>0</v>
      </c>
      <c r="Y10" s="155">
        <f>W8+W9+W11+W12</f>
        <v>290.85000000000002</v>
      </c>
    </row>
    <row r="11" spans="2:27" x14ac:dyDescent="0.25">
      <c r="B11" s="129" t="s">
        <v>90</v>
      </c>
      <c r="C11" s="144"/>
      <c r="D11" s="144"/>
      <c r="E11" s="144"/>
      <c r="F11" s="145"/>
      <c r="G11" s="145"/>
      <c r="H11" s="140"/>
      <c r="I11" s="140"/>
      <c r="J11" s="140"/>
      <c r="K11" s="131">
        <f>LAP.DAGING!AU31</f>
        <v>124</v>
      </c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34">
        <f t="shared" si="0"/>
        <v>124</v>
      </c>
    </row>
    <row r="12" spans="2:27" x14ac:dyDescent="0.25">
      <c r="B12" s="129" t="s">
        <v>19</v>
      </c>
      <c r="C12" s="144"/>
      <c r="D12" s="144"/>
      <c r="E12" s="144"/>
      <c r="F12" s="140"/>
      <c r="G12" s="140">
        <f>LAP.DAGING!AK31</f>
        <v>0</v>
      </c>
      <c r="H12" s="140">
        <f>LAP.DAGING!AQ31</f>
        <v>24.8</v>
      </c>
      <c r="I12" s="140"/>
      <c r="J12" s="140"/>
      <c r="K12" s="269"/>
      <c r="L12" s="140"/>
      <c r="M12" s="140"/>
      <c r="N12" s="140"/>
      <c r="O12" s="140"/>
      <c r="P12" s="140"/>
      <c r="Q12" s="140"/>
      <c r="R12" s="140"/>
      <c r="S12" s="270"/>
      <c r="T12" s="140"/>
      <c r="U12" s="140"/>
      <c r="V12" s="140"/>
      <c r="W12" s="134">
        <f t="shared" si="0"/>
        <v>24.8</v>
      </c>
    </row>
    <row r="13" spans="2:27" x14ac:dyDescent="0.25">
      <c r="B13" s="271" t="s">
        <v>80</v>
      </c>
      <c r="C13" s="144"/>
      <c r="D13" s="144"/>
      <c r="E13" s="144"/>
      <c r="F13" s="140"/>
      <c r="G13" s="140"/>
      <c r="H13" s="140"/>
      <c r="I13" s="140"/>
      <c r="J13" s="140"/>
      <c r="K13" s="269"/>
      <c r="L13" s="140"/>
      <c r="M13" s="140"/>
      <c r="N13" s="140"/>
      <c r="O13" s="140"/>
      <c r="P13" s="140"/>
      <c r="Q13" s="140"/>
      <c r="R13" s="140"/>
      <c r="S13" s="272"/>
      <c r="T13" s="272"/>
      <c r="U13" s="272"/>
      <c r="V13" s="272"/>
      <c r="W13" s="134">
        <f t="shared" si="0"/>
        <v>0</v>
      </c>
    </row>
    <row r="14" spans="2:27" ht="15.75" x14ac:dyDescent="0.25">
      <c r="B14" s="146"/>
      <c r="C14" s="147"/>
      <c r="D14" s="148"/>
      <c r="E14" s="148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50">
        <f>W7-SUM(W8:W13)</f>
        <v>2.75</v>
      </c>
    </row>
    <row r="15" spans="2:27" x14ac:dyDescent="0.25">
      <c r="C15" s="151"/>
      <c r="D15" s="151"/>
      <c r="E15" s="151"/>
      <c r="F15" s="152"/>
      <c r="G15" s="152"/>
      <c r="H15" s="152"/>
      <c r="I15" s="152"/>
      <c r="W15" s="118"/>
    </row>
    <row r="16" spans="2:27" x14ac:dyDescent="0.25">
      <c r="B16" s="405" t="s">
        <v>27</v>
      </c>
      <c r="C16" s="405"/>
      <c r="D16" s="405"/>
      <c r="E16" s="151" t="s">
        <v>22</v>
      </c>
      <c r="F16" s="152">
        <f>W8</f>
        <v>119.05000000000001</v>
      </c>
      <c r="G16" s="152" t="s">
        <v>21</v>
      </c>
      <c r="H16" s="152"/>
      <c r="I16" s="152"/>
      <c r="W16" s="118"/>
    </row>
    <row r="17" spans="2:25" x14ac:dyDescent="0.25">
      <c r="C17" s="151" t="s">
        <v>28</v>
      </c>
      <c r="D17" s="151"/>
      <c r="E17" s="151" t="s">
        <v>22</v>
      </c>
      <c r="F17" s="152">
        <v>0</v>
      </c>
      <c r="G17" s="152" t="s">
        <v>21</v>
      </c>
      <c r="H17" s="152"/>
      <c r="I17" s="152"/>
      <c r="W17" s="118"/>
    </row>
    <row r="18" spans="2:25" x14ac:dyDescent="0.25">
      <c r="B18" s="374" t="s">
        <v>29</v>
      </c>
      <c r="C18" s="151"/>
      <c r="D18" s="151"/>
      <c r="E18" s="151" t="s">
        <v>22</v>
      </c>
      <c r="F18" s="152">
        <f>F16-F17</f>
        <v>119.05000000000001</v>
      </c>
      <c r="G18" s="152" t="s">
        <v>21</v>
      </c>
      <c r="H18" s="152"/>
      <c r="I18" s="152"/>
      <c r="W18" s="118"/>
    </row>
    <row r="19" spans="2:25" x14ac:dyDescent="0.25">
      <c r="B19" s="153"/>
      <c r="W19" s="154"/>
    </row>
    <row r="20" spans="2:25" x14ac:dyDescent="0.25">
      <c r="B20" s="402" t="s">
        <v>30</v>
      </c>
      <c r="C20" s="403"/>
      <c r="D20" s="403"/>
      <c r="E20" s="403"/>
      <c r="F20" s="403"/>
      <c r="G20" s="403"/>
      <c r="H20" s="403"/>
      <c r="I20" s="403"/>
      <c r="J20" s="403"/>
      <c r="K20" s="403"/>
      <c r="L20" s="403"/>
      <c r="M20" s="403"/>
      <c r="N20" s="403"/>
      <c r="O20" s="403"/>
      <c r="P20" s="403"/>
      <c r="Q20" s="403"/>
      <c r="R20" s="404"/>
      <c r="S20" s="373"/>
      <c r="T20" s="373"/>
      <c r="U20" s="373"/>
      <c r="V20" s="373"/>
      <c r="W20" s="134">
        <f t="shared" ref="W20:W26" si="1">W7</f>
        <v>293.60000000000002</v>
      </c>
    </row>
    <row r="21" spans="2:25" x14ac:dyDescent="0.25">
      <c r="B21" s="402" t="s">
        <v>31</v>
      </c>
      <c r="C21" s="403"/>
      <c r="D21" s="403"/>
      <c r="E21" s="403"/>
      <c r="F21" s="403"/>
      <c r="G21" s="403"/>
      <c r="H21" s="403"/>
      <c r="I21" s="403"/>
      <c r="J21" s="403"/>
      <c r="K21" s="403"/>
      <c r="L21" s="403"/>
      <c r="M21" s="403"/>
      <c r="N21" s="403"/>
      <c r="O21" s="403"/>
      <c r="P21" s="403"/>
      <c r="Q21" s="403"/>
      <c r="R21" s="404"/>
      <c r="S21" s="373"/>
      <c r="T21" s="373"/>
      <c r="U21" s="373"/>
      <c r="V21" s="373"/>
      <c r="W21" s="134">
        <f t="shared" si="1"/>
        <v>119.05000000000001</v>
      </c>
    </row>
    <row r="22" spans="2:25" x14ac:dyDescent="0.25">
      <c r="B22" s="402" t="s">
        <v>32</v>
      </c>
      <c r="C22" s="403"/>
      <c r="D22" s="403"/>
      <c r="E22" s="403"/>
      <c r="F22" s="403"/>
      <c r="G22" s="403"/>
      <c r="H22" s="403"/>
      <c r="I22" s="403"/>
      <c r="J22" s="403"/>
      <c r="K22" s="403"/>
      <c r="L22" s="403"/>
      <c r="M22" s="403"/>
      <c r="N22" s="403"/>
      <c r="O22" s="403"/>
      <c r="P22" s="403"/>
      <c r="Q22" s="403"/>
      <c r="R22" s="404"/>
      <c r="S22" s="373"/>
      <c r="T22" s="373"/>
      <c r="U22" s="373"/>
      <c r="V22" s="373"/>
      <c r="W22" s="134">
        <f t="shared" si="1"/>
        <v>23</v>
      </c>
    </row>
    <row r="23" spans="2:25" x14ac:dyDescent="0.25">
      <c r="B23" s="402" t="s">
        <v>81</v>
      </c>
      <c r="C23" s="403"/>
      <c r="D23" s="403"/>
      <c r="E23" s="403"/>
      <c r="F23" s="403"/>
      <c r="G23" s="403"/>
      <c r="H23" s="403"/>
      <c r="I23" s="403"/>
      <c r="J23" s="403"/>
      <c r="K23" s="403"/>
      <c r="L23" s="403"/>
      <c r="M23" s="403"/>
      <c r="N23" s="403"/>
      <c r="O23" s="403"/>
      <c r="P23" s="403"/>
      <c r="Q23" s="403"/>
      <c r="R23" s="404"/>
      <c r="S23" s="373"/>
      <c r="T23" s="373"/>
      <c r="U23" s="373"/>
      <c r="V23" s="373"/>
      <c r="W23" s="134">
        <f t="shared" si="1"/>
        <v>0</v>
      </c>
      <c r="Y23" s="155"/>
    </row>
    <row r="24" spans="2:25" x14ac:dyDescent="0.25">
      <c r="B24" s="402" t="s">
        <v>90</v>
      </c>
      <c r="C24" s="403"/>
      <c r="D24" s="403"/>
      <c r="E24" s="403"/>
      <c r="F24" s="403"/>
      <c r="G24" s="403"/>
      <c r="H24" s="403"/>
      <c r="I24" s="403"/>
      <c r="J24" s="403"/>
      <c r="K24" s="403"/>
      <c r="L24" s="403"/>
      <c r="M24" s="403"/>
      <c r="N24" s="403"/>
      <c r="O24" s="403"/>
      <c r="P24" s="403"/>
      <c r="Q24" s="403"/>
      <c r="R24" s="404"/>
      <c r="S24" s="373"/>
      <c r="T24" s="373"/>
      <c r="U24" s="373"/>
      <c r="V24" s="373"/>
      <c r="W24" s="134">
        <f t="shared" si="1"/>
        <v>124</v>
      </c>
    </row>
    <row r="25" spans="2:25" x14ac:dyDescent="0.25">
      <c r="B25" s="402" t="s">
        <v>33</v>
      </c>
      <c r="C25" s="403"/>
      <c r="D25" s="403"/>
      <c r="E25" s="403"/>
      <c r="F25" s="403"/>
      <c r="G25" s="403"/>
      <c r="H25" s="403"/>
      <c r="I25" s="403"/>
      <c r="J25" s="403"/>
      <c r="K25" s="403"/>
      <c r="L25" s="403"/>
      <c r="M25" s="403"/>
      <c r="N25" s="403"/>
      <c r="O25" s="403"/>
      <c r="P25" s="403"/>
      <c r="Q25" s="403"/>
      <c r="R25" s="404"/>
      <c r="S25" s="373"/>
      <c r="T25" s="373"/>
      <c r="U25" s="373"/>
      <c r="V25" s="373"/>
      <c r="W25" s="134">
        <f t="shared" si="1"/>
        <v>24.8</v>
      </c>
    </row>
    <row r="26" spans="2:25" x14ac:dyDescent="0.25">
      <c r="B26" s="402" t="s">
        <v>82</v>
      </c>
      <c r="C26" s="403"/>
      <c r="D26" s="403"/>
      <c r="E26" s="403"/>
      <c r="F26" s="403"/>
      <c r="G26" s="403"/>
      <c r="H26" s="403"/>
      <c r="I26" s="403"/>
      <c r="J26" s="403"/>
      <c r="K26" s="403"/>
      <c r="L26" s="403"/>
      <c r="M26" s="403"/>
      <c r="N26" s="403"/>
      <c r="O26" s="403"/>
      <c r="P26" s="403"/>
      <c r="Q26" s="403"/>
      <c r="R26" s="404"/>
      <c r="S26" s="372"/>
      <c r="T26" s="372"/>
      <c r="U26" s="372"/>
      <c r="V26" s="372"/>
      <c r="W26" s="134">
        <f t="shared" si="1"/>
        <v>0</v>
      </c>
    </row>
    <row r="27" spans="2:25" ht="15.75" x14ac:dyDescent="0.25">
      <c r="B27" s="406" t="s">
        <v>34</v>
      </c>
      <c r="C27" s="406"/>
      <c r="D27" s="406"/>
      <c r="E27" s="406"/>
      <c r="F27" s="406"/>
      <c r="G27" s="406"/>
      <c r="H27" s="406"/>
      <c r="I27" s="406"/>
      <c r="J27" s="406"/>
      <c r="K27" s="406"/>
      <c r="L27" s="406"/>
      <c r="M27" s="406"/>
      <c r="N27" s="406"/>
      <c r="O27" s="375"/>
      <c r="P27" s="375"/>
      <c r="Q27" s="375"/>
      <c r="R27" s="375"/>
      <c r="S27" s="375"/>
      <c r="T27" s="375"/>
      <c r="U27" s="375"/>
      <c r="V27" s="375"/>
      <c r="W27" s="150">
        <f>W20-SUM(W21:W26)</f>
        <v>2.75</v>
      </c>
    </row>
  </sheetData>
  <mergeCells count="10">
    <mergeCell ref="B26:R26"/>
    <mergeCell ref="B27:N27"/>
    <mergeCell ref="B22:R22"/>
    <mergeCell ref="B23:R23"/>
    <mergeCell ref="B24:R24"/>
    <mergeCell ref="B2:W2"/>
    <mergeCell ref="B20:R20"/>
    <mergeCell ref="B21:R21"/>
    <mergeCell ref="B16:D16"/>
    <mergeCell ref="B25:R25"/>
  </mergeCells>
  <pageMargins left="0" right="0" top="0.75" bottom="0" header="0" footer="0"/>
  <pageSetup paperSize="9" scale="95" orientation="landscape" horizontalDpi="429496729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Z977"/>
  <sheetViews>
    <sheetView tabSelected="1" topLeftCell="G1" zoomScale="85" zoomScaleNormal="85" zoomScaleSheetLayoutView="80" workbookViewId="0">
      <selection activeCell="G1" sqref="A1:XFD1048576"/>
    </sheetView>
  </sheetViews>
  <sheetFormatPr defaultColWidth="9.140625" defaultRowHeight="15" x14ac:dyDescent="0.25"/>
  <cols>
    <col min="1" max="1" width="3.5703125" customWidth="1"/>
    <col min="2" max="2" width="10.28515625" style="1" bestFit="1" customWidth="1"/>
    <col min="3" max="3" width="11.42578125" style="7" customWidth="1"/>
    <col min="4" max="4" width="25.5703125" style="1" customWidth="1"/>
    <col min="5" max="5" width="8.42578125" style="1" bestFit="1" customWidth="1"/>
    <col min="6" max="6" width="13.5703125" style="1" customWidth="1"/>
    <col min="7" max="7" width="11.5703125" style="7" customWidth="1"/>
    <col min="8" max="8" width="10.140625" style="7" customWidth="1"/>
    <col min="9" max="9" width="9.42578125" style="1" customWidth="1"/>
    <col min="10" max="10" width="12.28515625" style="1" customWidth="1"/>
    <col min="11" max="11" width="14.28515625" style="1" customWidth="1"/>
    <col min="12" max="12" width="25.28515625" style="1" customWidth="1"/>
    <col min="13" max="13" width="16" style="1" customWidth="1"/>
    <col min="14" max="14" width="16" style="7" customWidth="1"/>
    <col min="15" max="15" width="24.5703125" style="1" bestFit="1" customWidth="1"/>
    <col min="16" max="16" width="15" style="7" customWidth="1"/>
    <col min="17" max="17" width="8.5703125" style="1" customWidth="1"/>
    <col min="18" max="18" width="6.5703125" style="1" hidden="1" customWidth="1"/>
    <col min="19" max="19" width="11.28515625" style="7" bestFit="1" customWidth="1"/>
    <col min="20" max="20" width="24.5703125" style="1" bestFit="1" customWidth="1"/>
    <col min="21" max="21" width="20.5703125" style="7" customWidth="1"/>
    <col min="22" max="22" width="3.7109375" style="1" customWidth="1"/>
    <col min="23" max="16384" width="9.140625" style="1"/>
  </cols>
  <sheetData>
    <row r="1" spans="2:26" s="176" customFormat="1" ht="21" x14ac:dyDescent="0.35">
      <c r="B1" s="407" t="s">
        <v>105</v>
      </c>
      <c r="C1" s="408"/>
      <c r="D1" s="408"/>
      <c r="E1" s="408"/>
      <c r="F1" s="408"/>
      <c r="G1" s="408"/>
      <c r="H1" s="408"/>
      <c r="I1" s="408"/>
      <c r="J1" s="408"/>
      <c r="K1" s="408"/>
      <c r="L1" s="408"/>
      <c r="M1" s="408"/>
      <c r="N1" s="408"/>
      <c r="O1" s="408"/>
      <c r="P1" s="408"/>
      <c r="Q1" s="408"/>
      <c r="R1" s="408"/>
      <c r="S1" s="408"/>
      <c r="T1" s="408"/>
      <c r="U1" s="409"/>
    </row>
    <row r="2" spans="2:26" ht="45" x14ac:dyDescent="0.25">
      <c r="B2" s="158" t="s">
        <v>0</v>
      </c>
      <c r="C2" s="158" t="s">
        <v>14</v>
      </c>
      <c r="D2" s="158" t="s">
        <v>4</v>
      </c>
      <c r="E2" s="158" t="s">
        <v>0</v>
      </c>
      <c r="F2" s="159" t="s">
        <v>15</v>
      </c>
      <c r="G2" s="159" t="s">
        <v>5</v>
      </c>
      <c r="H2" s="159" t="s">
        <v>16</v>
      </c>
      <c r="I2" s="159" t="s">
        <v>17</v>
      </c>
      <c r="J2" s="159" t="s">
        <v>17</v>
      </c>
      <c r="K2" s="158" t="s">
        <v>6</v>
      </c>
      <c r="L2" s="158" t="s">
        <v>4</v>
      </c>
      <c r="M2" s="158" t="s">
        <v>7</v>
      </c>
      <c r="N2" s="158" t="s">
        <v>1</v>
      </c>
      <c r="O2" s="158" t="s">
        <v>4</v>
      </c>
      <c r="P2" s="158" t="s">
        <v>8</v>
      </c>
      <c r="Q2" s="158" t="s">
        <v>0</v>
      </c>
      <c r="R2" s="158" t="s">
        <v>18</v>
      </c>
      <c r="S2" s="160" t="s">
        <v>9</v>
      </c>
      <c r="T2" s="158" t="s">
        <v>4</v>
      </c>
      <c r="U2" s="161" t="s">
        <v>2</v>
      </c>
    </row>
    <row r="3" spans="2:26" ht="30" customHeight="1" x14ac:dyDescent="0.25">
      <c r="B3" s="177">
        <v>214</v>
      </c>
      <c r="C3" s="371">
        <v>18.635999999999999</v>
      </c>
      <c r="D3" s="286" t="s">
        <v>94</v>
      </c>
      <c r="E3" s="177">
        <f>B3+1</f>
        <v>215</v>
      </c>
      <c r="F3" s="410">
        <f>PROSES!Y7</f>
        <v>293.60000000000002</v>
      </c>
      <c r="G3" s="413">
        <f>PROSES!Y10</f>
        <v>290.85000000000002</v>
      </c>
      <c r="H3" s="172">
        <v>0</v>
      </c>
      <c r="I3" s="162"/>
      <c r="J3" s="162"/>
      <c r="K3" s="179">
        <f>PROSES!W24</f>
        <v>124</v>
      </c>
      <c r="L3" s="286" t="s">
        <v>94</v>
      </c>
      <c r="M3" s="166">
        <f>K3+C3-I3+H3-J3</f>
        <v>142.636</v>
      </c>
      <c r="N3" s="371">
        <v>135.012</v>
      </c>
      <c r="O3" s="286" t="s">
        <v>94</v>
      </c>
      <c r="P3" s="325">
        <f>M3-N3</f>
        <v>7.6239999999999952</v>
      </c>
      <c r="Q3" s="163">
        <f>E3</f>
        <v>215</v>
      </c>
      <c r="R3" s="165">
        <v>0</v>
      </c>
      <c r="S3" s="371">
        <v>5.8289999999999997</v>
      </c>
      <c r="T3" s="286" t="s">
        <v>85</v>
      </c>
      <c r="U3" s="166">
        <f>P3-S3-R3</f>
        <v>1.7949999999999955</v>
      </c>
      <c r="W3" s="6"/>
      <c r="X3" s="4"/>
      <c r="Y3" s="4"/>
    </row>
    <row r="4" spans="2:26" ht="30" customHeight="1" x14ac:dyDescent="0.25">
      <c r="B4" s="164"/>
      <c r="C4" s="371">
        <v>120.044</v>
      </c>
      <c r="D4" s="164" t="s">
        <v>76</v>
      </c>
      <c r="E4" s="164"/>
      <c r="F4" s="411"/>
      <c r="G4" s="414"/>
      <c r="H4" s="328">
        <v>0</v>
      </c>
      <c r="I4" s="172">
        <f>H5+H6+H7+H3</f>
        <v>0</v>
      </c>
      <c r="J4" s="162"/>
      <c r="K4" s="179">
        <f>PROSES!W21</f>
        <v>119.05000000000001</v>
      </c>
      <c r="L4" s="167" t="s">
        <v>10</v>
      </c>
      <c r="M4" s="166">
        <f t="shared" ref="M4:M7" si="0">K4+C4-I4+H4-J4</f>
        <v>239.09399999999999</v>
      </c>
      <c r="N4" s="371">
        <v>100.596</v>
      </c>
      <c r="O4" s="167" t="s">
        <v>10</v>
      </c>
      <c r="P4" s="325">
        <f t="shared" ref="P4:P7" si="1">M4-N4</f>
        <v>138.49799999999999</v>
      </c>
      <c r="Q4" s="164"/>
      <c r="R4" s="164"/>
      <c r="S4" s="371">
        <v>136.881</v>
      </c>
      <c r="T4" s="164" t="s">
        <v>11</v>
      </c>
      <c r="U4" s="166">
        <f>P4-S4-R4</f>
        <v>1.6169999999999902</v>
      </c>
      <c r="W4" s="6"/>
      <c r="X4" s="4"/>
      <c r="Y4" s="4"/>
      <c r="Z4" s="4"/>
    </row>
    <row r="5" spans="2:26" ht="30" customHeight="1" x14ac:dyDescent="0.25">
      <c r="B5" s="164"/>
      <c r="C5" s="371">
        <v>26.56</v>
      </c>
      <c r="D5" s="164" t="s">
        <v>12</v>
      </c>
      <c r="E5" s="164"/>
      <c r="F5" s="411"/>
      <c r="G5" s="414"/>
      <c r="H5" s="172">
        <v>0</v>
      </c>
      <c r="I5" s="162">
        <v>0</v>
      </c>
      <c r="J5" s="162"/>
      <c r="K5" s="179">
        <f>PROSES!W22</f>
        <v>23</v>
      </c>
      <c r="L5" s="167" t="s">
        <v>13</v>
      </c>
      <c r="M5" s="166">
        <f t="shared" si="0"/>
        <v>49.56</v>
      </c>
      <c r="N5" s="371">
        <v>46.11</v>
      </c>
      <c r="O5" s="167" t="s">
        <v>13</v>
      </c>
      <c r="P5" s="325">
        <f t="shared" si="1"/>
        <v>3.4500000000000028</v>
      </c>
      <c r="Q5" s="164"/>
      <c r="R5" s="164"/>
      <c r="S5" s="371">
        <v>3.0289999999999999</v>
      </c>
      <c r="T5" s="167" t="s">
        <v>13</v>
      </c>
      <c r="U5" s="166">
        <f>P5-S5-R5</f>
        <v>0.42100000000000293</v>
      </c>
      <c r="W5" s="6"/>
      <c r="X5" s="4"/>
      <c r="Y5" s="4"/>
    </row>
    <row r="6" spans="2:26" ht="30" customHeight="1" x14ac:dyDescent="0.25">
      <c r="B6" s="164"/>
      <c r="C6" s="371">
        <v>0</v>
      </c>
      <c r="D6" s="164" t="s">
        <v>74</v>
      </c>
      <c r="E6" s="164"/>
      <c r="F6" s="411"/>
      <c r="G6" s="414"/>
      <c r="H6" s="172">
        <v>0</v>
      </c>
      <c r="I6" s="162"/>
      <c r="J6" s="162"/>
      <c r="K6" s="179">
        <v>0</v>
      </c>
      <c r="L6" s="164" t="s">
        <v>74</v>
      </c>
      <c r="M6" s="166">
        <f t="shared" si="0"/>
        <v>0</v>
      </c>
      <c r="N6" s="371">
        <v>0</v>
      </c>
      <c r="O6" s="164" t="s">
        <v>74</v>
      </c>
      <c r="P6" s="325">
        <f t="shared" si="1"/>
        <v>0</v>
      </c>
      <c r="Q6" s="164"/>
      <c r="R6" s="164"/>
      <c r="S6" s="371">
        <v>0</v>
      </c>
      <c r="T6" s="164" t="s">
        <v>74</v>
      </c>
      <c r="U6" s="166">
        <f>P6-S6-R6</f>
        <v>0</v>
      </c>
      <c r="W6" s="6"/>
    </row>
    <row r="7" spans="2:26" ht="30" customHeight="1" x14ac:dyDescent="0.25">
      <c r="B7" s="164"/>
      <c r="C7" s="371">
        <v>9.5690000000000008</v>
      </c>
      <c r="D7" s="168" t="s">
        <v>19</v>
      </c>
      <c r="E7" s="164"/>
      <c r="F7" s="412"/>
      <c r="G7" s="415"/>
      <c r="H7" s="172">
        <v>0</v>
      </c>
      <c r="I7" s="162">
        <v>0</v>
      </c>
      <c r="J7" s="162"/>
      <c r="K7" s="179">
        <f>PROSES!W25</f>
        <v>24.8</v>
      </c>
      <c r="L7" s="324" t="s">
        <v>19</v>
      </c>
      <c r="M7" s="166">
        <f t="shared" si="0"/>
        <v>34.369</v>
      </c>
      <c r="N7" s="371">
        <v>30.257999999999999</v>
      </c>
      <c r="O7" s="168" t="s">
        <v>19</v>
      </c>
      <c r="P7" s="325">
        <f t="shared" si="1"/>
        <v>4.1110000000000007</v>
      </c>
      <c r="Q7" s="164"/>
      <c r="R7" s="164"/>
      <c r="S7" s="371">
        <v>3.5920000000000001</v>
      </c>
      <c r="T7" s="168" t="s">
        <v>19</v>
      </c>
      <c r="U7" s="166">
        <f>P7-S7-R7</f>
        <v>0.51900000000000057</v>
      </c>
      <c r="W7" s="6"/>
      <c r="X7" s="4"/>
      <c r="Y7" s="4"/>
    </row>
    <row r="8" spans="2:26" ht="30" customHeight="1" x14ac:dyDescent="0.25">
      <c r="B8" s="180"/>
      <c r="C8" s="181">
        <v>155.41399999999999</v>
      </c>
      <c r="D8" s="180"/>
      <c r="E8" s="180"/>
      <c r="F8" s="182" t="s">
        <v>20</v>
      </c>
      <c r="G8" s="183">
        <f>F3-G3</f>
        <v>2.75</v>
      </c>
      <c r="H8" s="183"/>
      <c r="I8" s="184"/>
      <c r="J8" s="184">
        <f>SUM(J3:J7)</f>
        <v>0</v>
      </c>
      <c r="K8" s="185">
        <f>SUM(K3:K7)</f>
        <v>290.85000000000002</v>
      </c>
      <c r="L8" s="185"/>
      <c r="M8" s="181">
        <f>K8+C8-I8+H8-J8</f>
        <v>446.26400000000001</v>
      </c>
      <c r="N8" s="371">
        <f>SUM(N3:N7)</f>
        <v>311.976</v>
      </c>
      <c r="O8" s="180"/>
      <c r="P8" s="181">
        <f>SUM(P3:P7)</f>
        <v>153.68299999999999</v>
      </c>
      <c r="Q8" s="180"/>
      <c r="R8" s="180"/>
      <c r="S8" s="371">
        <f>SUM(S3:S7)</f>
        <v>149.33100000000002</v>
      </c>
      <c r="T8" s="180"/>
      <c r="U8" s="181">
        <f>SUM(U3:U7)</f>
        <v>4.3519999999999897</v>
      </c>
      <c r="W8" s="6"/>
    </row>
    <row r="9" spans="2:26" x14ac:dyDescent="0.25">
      <c r="B9" s="2"/>
      <c r="C9" s="156"/>
      <c r="D9" s="2"/>
      <c r="E9" s="2"/>
      <c r="F9" s="3"/>
      <c r="G9" s="156" t="s">
        <v>3</v>
      </c>
      <c r="H9" s="156"/>
      <c r="I9" s="156"/>
      <c r="J9" s="156"/>
      <c r="K9" s="3"/>
      <c r="L9" s="3"/>
      <c r="M9" s="3"/>
      <c r="N9" s="156"/>
      <c r="O9" s="2"/>
      <c r="P9" s="156"/>
      <c r="Q9" s="2"/>
      <c r="R9" s="3"/>
      <c r="S9" s="156"/>
      <c r="T9" s="3"/>
      <c r="U9" s="157"/>
    </row>
    <row r="10" spans="2:26" x14ac:dyDescent="0.25">
      <c r="C10" s="7" t="s">
        <v>70</v>
      </c>
      <c r="D10" s="175" t="s">
        <v>71</v>
      </c>
      <c r="E10" s="175"/>
      <c r="F10" s="175"/>
      <c r="G10" s="175"/>
      <c r="H10" s="175"/>
      <c r="I10" s="169">
        <v>0</v>
      </c>
      <c r="J10" s="169"/>
      <c r="K10" s="7" t="s">
        <v>21</v>
      </c>
      <c r="M10" s="169"/>
      <c r="N10" s="169"/>
      <c r="P10" s="304"/>
      <c r="S10" s="170"/>
    </row>
    <row r="11" spans="2:26" x14ac:dyDescent="0.25">
      <c r="C11" s="169"/>
      <c r="D11" s="175" t="s">
        <v>72</v>
      </c>
      <c r="E11" s="175"/>
      <c r="F11" s="175"/>
      <c r="G11" s="175"/>
      <c r="H11" s="175"/>
      <c r="I11" s="169">
        <v>0</v>
      </c>
      <c r="J11" s="169"/>
      <c r="K11" s="7" t="s">
        <v>21</v>
      </c>
      <c r="M11" s="169"/>
      <c r="N11" s="169"/>
      <c r="P11" s="169"/>
      <c r="V11" s="6"/>
    </row>
    <row r="12" spans="2:26" x14ac:dyDescent="0.25">
      <c r="D12" s="1" t="s">
        <v>75</v>
      </c>
      <c r="I12" s="169">
        <v>0</v>
      </c>
      <c r="J12" s="169"/>
      <c r="K12" s="7" t="s">
        <v>21</v>
      </c>
      <c r="M12" s="7"/>
      <c r="N12" s="169"/>
      <c r="P12" s="169"/>
      <c r="S12" s="169"/>
      <c r="T12" s="170"/>
      <c r="U12" s="169"/>
    </row>
    <row r="13" spans="2:26" x14ac:dyDescent="0.25">
      <c r="D13" s="174"/>
      <c r="E13" s="174"/>
      <c r="F13" s="174"/>
      <c r="I13" s="169"/>
      <c r="J13" s="169"/>
      <c r="K13" s="7"/>
      <c r="M13" s="7"/>
      <c r="N13" s="169"/>
      <c r="O13" s="4"/>
      <c r="P13" s="169"/>
      <c r="T13" s="170"/>
    </row>
    <row r="14" spans="2:26" x14ac:dyDescent="0.25">
      <c r="K14" s="275"/>
      <c r="M14" s="4"/>
      <c r="N14" s="169"/>
      <c r="O14" s="4"/>
      <c r="P14" s="169"/>
      <c r="Q14" s="4"/>
      <c r="T14" s="4"/>
    </row>
    <row r="15" spans="2:26" x14ac:dyDescent="0.25">
      <c r="L15" s="4"/>
      <c r="N15" s="169"/>
      <c r="O15" s="4"/>
      <c r="P15" s="169"/>
    </row>
    <row r="16" spans="2:26" x14ac:dyDescent="0.25">
      <c r="L16"/>
      <c r="M16" s="4"/>
      <c r="N16" s="169"/>
      <c r="O16" s="4"/>
      <c r="P16" s="169"/>
      <c r="Q16" s="4"/>
    </row>
    <row r="17" spans="7:16" x14ac:dyDescent="0.25">
      <c r="G17" s="304"/>
      <c r="K17" s="4"/>
      <c r="N17" s="169"/>
      <c r="O17" s="4"/>
      <c r="P17" s="169"/>
    </row>
    <row r="18" spans="7:16" x14ac:dyDescent="0.25">
      <c r="I18" s="4"/>
      <c r="J18" s="4"/>
      <c r="K18" s="4"/>
      <c r="L18" s="4"/>
      <c r="N18" s="169"/>
      <c r="P18" s="169"/>
    </row>
    <row r="19" spans="7:16" x14ac:dyDescent="0.25">
      <c r="K19" s="4"/>
      <c r="M19" s="4"/>
      <c r="N19" s="169"/>
    </row>
    <row r="20" spans="7:16" x14ac:dyDescent="0.25">
      <c r="J20" s="4"/>
    </row>
    <row r="23" spans="7:16" x14ac:dyDescent="0.25">
      <c r="K23" s="4"/>
    </row>
    <row r="166" spans="10:10" x14ac:dyDescent="0.25">
      <c r="J166" t="s">
        <v>84</v>
      </c>
    </row>
    <row r="977" spans="21:21" x14ac:dyDescent="0.25">
      <c r="U977" s="171" t="s">
        <v>73</v>
      </c>
    </row>
  </sheetData>
  <mergeCells count="3">
    <mergeCell ref="B1:U1"/>
    <mergeCell ref="F3:F7"/>
    <mergeCell ref="G3:G7"/>
  </mergeCells>
  <pageMargins left="0" right="0" top="1.1417322834645669" bottom="0" header="0.31496062992125984" footer="0.31496062992125984"/>
  <pageSetup scale="47" orientation="landscape" horizontalDpi="429496729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LAP.DAGING</vt:lpstr>
      <vt:lpstr>PROSES</vt:lpstr>
      <vt:lpstr>SALES DAGING</vt:lpstr>
      <vt:lpstr>LAP.DAGING!Print_Area</vt:lpstr>
      <vt:lpstr>PROSES!Print_Area</vt:lpstr>
      <vt:lpstr>'SALES DAGING'!Print_Area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2026-07-27T23:59:29Z</cp:lastPrinted>
  <dcterms:created xsi:type="dcterms:W3CDTF">2025-03-10T04:32:08Z</dcterms:created>
  <dcterms:modified xsi:type="dcterms:W3CDTF">2026-08-02T14:21:17Z</dcterms:modified>
</cp:coreProperties>
</file>