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hya_MD\Documents\DAGING FRESH JULI\"/>
    </mc:Choice>
  </mc:AlternateContent>
  <xr:revisionPtr revIDLastSave="0" documentId="13_ncr:1_{2E4AF4E1-0E3D-4696-9E5D-DBA86D202F2D}" xr6:coauthVersionLast="47" xr6:coauthVersionMax="47" xr10:uidLastSave="{00000000-0000-0000-0000-000000000000}"/>
  <bookViews>
    <workbookView xWindow="-108" yWindow="-108" windowWidth="23256" windowHeight="12456" tabRatio="923" xr2:uid="{3ECF32F1-8FD8-416B-B5F7-41DB1B0523FC}"/>
  </bookViews>
  <sheets>
    <sheet name="REKAP" sheetId="31" r:id="rId1"/>
    <sheet name="SHANKLE" sheetId="2" r:id="rId2"/>
    <sheet name="RENDANG" sheetId="1" r:id="rId3"/>
    <sheet name="PREMIUM" sheetId="4" r:id="rId4"/>
    <sheet name="Sheet6" sheetId="35" r:id="rId5"/>
    <sheet name="RAWON" sheetId="3" r:id="rId6"/>
    <sheet name="stok by lap" sheetId="29" r:id="rId7"/>
    <sheet name="Sheet1" sheetId="30" r:id="rId8"/>
    <sheet name="may" sheetId="26" r:id="rId9"/>
    <sheet name="SHANKLE 1" sheetId="25" r:id="rId10"/>
    <sheet name="RENDANG 1" sheetId="24" r:id="rId11"/>
    <sheet name="PREM 1" sheetId="21" r:id="rId12"/>
    <sheet name="RAWON 1" sheetId="19" r:id="rId13"/>
    <sheet name="MODAL SANKLE" sheetId="12" r:id="rId14"/>
    <sheet name="MODAL RENDANG" sheetId="11" r:id="rId15"/>
    <sheet name="MODAL PREMIUM" sheetId="9" r:id="rId16"/>
    <sheet name="MODAL RAWON" sheetId="7" r:id="rId17"/>
  </sheets>
  <definedNames>
    <definedName name="_xlnm._FilterDatabase" localSheetId="8" hidden="1">may!$B$387:$R$423</definedName>
    <definedName name="_xlnm._FilterDatabase" localSheetId="11" hidden="1">'PREM 1'!$B$8:$G$8</definedName>
    <definedName name="_xlnm._FilterDatabase" localSheetId="3" hidden="1">PREMIUM!$A$2:$G$1397</definedName>
    <definedName name="_xlnm._FilterDatabase" localSheetId="5" hidden="1">RAWON!$A$2:$N$1428</definedName>
    <definedName name="_xlnm._FilterDatabase" localSheetId="12" hidden="1">'RAWON 1'!$B$8:$G$8</definedName>
    <definedName name="_xlnm._FilterDatabase" localSheetId="0" hidden="1">REKAP!$A$2:$F$48</definedName>
    <definedName name="_xlnm._FilterDatabase" localSheetId="2" hidden="1">RENDANG!$A$2:$G$2</definedName>
    <definedName name="_xlnm._FilterDatabase" localSheetId="10" hidden="1">'RENDANG 1'!$B$9:$G$43</definedName>
    <definedName name="_xlnm._FilterDatabase" localSheetId="1" hidden="1">SHANKLE!$A$2:$R$1397</definedName>
    <definedName name="_xlnm._FilterDatabase" localSheetId="9" hidden="1">'SHANKLE 1'!$C$8:$H$41</definedName>
    <definedName name="_xlnm._FilterDatabase" localSheetId="7" hidden="1">Sheet1!$A$178:$N$212</definedName>
    <definedName name="_xlnm._FilterDatabase" localSheetId="4" hidden="1">Sheet6!$A$54:$F$101</definedName>
  </definedNames>
  <calcPr calcId="191029"/>
  <pivotCaches>
    <pivotCache cacheId="6" r:id="rId18"/>
    <pivotCache cacheId="7" r:id="rId19"/>
    <pivotCache cacheId="8" r:id="rId20"/>
    <pivotCache cacheId="9" r:id="rId21"/>
    <pivotCache cacheId="10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5" i="35" l="1"/>
  <c r="F81" i="35"/>
  <c r="F91" i="35"/>
  <c r="F79" i="35"/>
  <c r="F57" i="35"/>
  <c r="F56" i="35"/>
  <c r="F63" i="35"/>
  <c r="F59" i="35"/>
  <c r="F90" i="35"/>
  <c r="F58" i="35"/>
  <c r="F75" i="35"/>
  <c r="F71" i="35"/>
  <c r="F69" i="35"/>
  <c r="F74" i="35"/>
  <c r="F67" i="35"/>
  <c r="F66" i="35"/>
  <c r="F68" i="35"/>
  <c r="F94" i="35"/>
  <c r="F65" i="35"/>
  <c r="F77" i="35"/>
  <c r="F93" i="35"/>
  <c r="F64" i="35"/>
  <c r="F97" i="35"/>
  <c r="F82" i="35"/>
  <c r="F99" i="35"/>
  <c r="F92" i="35"/>
  <c r="F85" i="35"/>
  <c r="F62" i="35"/>
  <c r="F87" i="35"/>
  <c r="F60" i="35"/>
  <c r="F78" i="35"/>
  <c r="F61" i="35"/>
  <c r="F84" i="35"/>
  <c r="F70" i="35"/>
  <c r="F88" i="35"/>
  <c r="F98" i="35"/>
  <c r="F80" i="35"/>
  <c r="F86" i="35"/>
  <c r="F73" i="35"/>
  <c r="F101" i="35"/>
  <c r="F72" i="35"/>
  <c r="F89" i="35"/>
  <c r="F100" i="35"/>
  <c r="F96" i="35"/>
  <c r="F76" i="35"/>
  <c r="F83" i="35"/>
  <c r="F55" i="35"/>
  <c r="F42" i="31"/>
  <c r="F23" i="31"/>
  <c r="F29" i="31"/>
  <c r="F10" i="31"/>
  <c r="F45" i="31"/>
  <c r="F35" i="31"/>
  <c r="F30" i="31"/>
  <c r="F7" i="31"/>
  <c r="F20" i="31"/>
  <c r="F31" i="31"/>
  <c r="F9" i="31"/>
  <c r="F13" i="31"/>
  <c r="F18" i="31"/>
  <c r="F24" i="31"/>
  <c r="F19" i="31"/>
  <c r="F8" i="31"/>
  <c r="F14" i="31"/>
  <c r="F27" i="31"/>
  <c r="F11" i="31"/>
  <c r="F48" i="31"/>
  <c r="F43" i="31"/>
  <c r="F44" i="31"/>
  <c r="F28" i="31"/>
  <c r="F4" i="31"/>
  <c r="F34" i="31"/>
  <c r="F32" i="31"/>
  <c r="F15" i="31"/>
  <c r="F25" i="31"/>
  <c r="F16" i="31"/>
  <c r="F17" i="31"/>
  <c r="F39" i="31"/>
  <c r="F22" i="31"/>
  <c r="F3" i="31"/>
  <c r="F46" i="31"/>
  <c r="F47" i="31"/>
  <c r="F33" i="31"/>
  <c r="F21" i="31"/>
  <c r="F41" i="31"/>
  <c r="F5" i="31"/>
  <c r="F6" i="31"/>
  <c r="F37" i="31"/>
  <c r="F38" i="31"/>
  <c r="F12" i="31"/>
  <c r="F36" i="31"/>
  <c r="F26" i="31"/>
  <c r="F40" i="31"/>
  <c r="G1333" i="2"/>
  <c r="E1396" i="3"/>
  <c r="E1395" i="3"/>
  <c r="E1394" i="3"/>
  <c r="E1393" i="3"/>
  <c r="E1392" i="3"/>
  <c r="E1391" i="3"/>
  <c r="E1390" i="3"/>
  <c r="E1389" i="3"/>
  <c r="E1388" i="3"/>
  <c r="E1387" i="3"/>
  <c r="E1386" i="3"/>
  <c r="E1385" i="3"/>
  <c r="E1384" i="3"/>
  <c r="E1383" i="3"/>
  <c r="E1382" i="3"/>
  <c r="E1381" i="3"/>
  <c r="E1380" i="3"/>
  <c r="E1379" i="3"/>
  <c r="E1378" i="3"/>
  <c r="E1377" i="3"/>
  <c r="E1376" i="3"/>
  <c r="E1375" i="3"/>
  <c r="E1374" i="3"/>
  <c r="E1373" i="3"/>
  <c r="E1372" i="3"/>
  <c r="E1371" i="3"/>
  <c r="E1370" i="3"/>
  <c r="E1369" i="3"/>
  <c r="E1368" i="3"/>
  <c r="E1367" i="3"/>
  <c r="E1397" i="3"/>
  <c r="G1397" i="3" s="1"/>
  <c r="G1396" i="3"/>
  <c r="G1395" i="3"/>
  <c r="G1394" i="3"/>
  <c r="G1393" i="3"/>
  <c r="G1392" i="3"/>
  <c r="G1391" i="3"/>
  <c r="G1390" i="3"/>
  <c r="G1389" i="3"/>
  <c r="G1388" i="3"/>
  <c r="G1387" i="3"/>
  <c r="G1386" i="3"/>
  <c r="G1385" i="3"/>
  <c r="G1384" i="3"/>
  <c r="G1383" i="3"/>
  <c r="G1382" i="3"/>
  <c r="G1381" i="3"/>
  <c r="G1380" i="3"/>
  <c r="G1379" i="3"/>
  <c r="G1378" i="3"/>
  <c r="G1377" i="3"/>
  <c r="G1376" i="3"/>
  <c r="G1375" i="3"/>
  <c r="G1374" i="3"/>
  <c r="G1373" i="3"/>
  <c r="G1372" i="3"/>
  <c r="G1371" i="3"/>
  <c r="G1370" i="3"/>
  <c r="G1369" i="3"/>
  <c r="G1368" i="3"/>
  <c r="G1367" i="3"/>
  <c r="E1397" i="4"/>
  <c r="E1396" i="4"/>
  <c r="E1366" i="4"/>
  <c r="G1366" i="4" s="1"/>
  <c r="E1365" i="4"/>
  <c r="G1365" i="4" s="1"/>
  <c r="E1364" i="4"/>
  <c r="G1364" i="4" s="1"/>
  <c r="E1363" i="4"/>
  <c r="G1363" i="4" s="1"/>
  <c r="E1362" i="4"/>
  <c r="G1362" i="4" s="1"/>
  <c r="E1361" i="4"/>
  <c r="G1361" i="4" s="1"/>
  <c r="E1360" i="4"/>
  <c r="G1360" i="4" s="1"/>
  <c r="E1359" i="4"/>
  <c r="G1359" i="4" s="1"/>
  <c r="E1358" i="4"/>
  <c r="G1358" i="4" s="1"/>
  <c r="E1357" i="4"/>
  <c r="G1357" i="4" s="1"/>
  <c r="E1356" i="4"/>
  <c r="G1356" i="4" s="1"/>
  <c r="E1355" i="4"/>
  <c r="G1355" i="4" s="1"/>
  <c r="E1354" i="4"/>
  <c r="G1354" i="4" s="1"/>
  <c r="E1353" i="4"/>
  <c r="G1353" i="4" s="1"/>
  <c r="E1352" i="4"/>
  <c r="G1352" i="4" s="1"/>
  <c r="E1351" i="4"/>
  <c r="G1351" i="4" s="1"/>
  <c r="E1350" i="4"/>
  <c r="G1350" i="4" s="1"/>
  <c r="E1349" i="4"/>
  <c r="G1349" i="4" s="1"/>
  <c r="E1348" i="4"/>
  <c r="G1348" i="4" s="1"/>
  <c r="E1347" i="4"/>
  <c r="G1347" i="4" s="1"/>
  <c r="E1346" i="4"/>
  <c r="G1346" i="4" s="1"/>
  <c r="E1345" i="4"/>
  <c r="G1345" i="4" s="1"/>
  <c r="E1344" i="4"/>
  <c r="G1344" i="4" s="1"/>
  <c r="E1343" i="4"/>
  <c r="G1343" i="4" s="1"/>
  <c r="E1342" i="4"/>
  <c r="G1342" i="4" s="1"/>
  <c r="E1341" i="4"/>
  <c r="G1341" i="4" s="1"/>
  <c r="E1340" i="4"/>
  <c r="G1340" i="4" s="1"/>
  <c r="E1339" i="4"/>
  <c r="G1339" i="4" s="1"/>
  <c r="E1338" i="4"/>
  <c r="G1338" i="4" s="1"/>
  <c r="E1337" i="4"/>
  <c r="G1337" i="4" s="1"/>
  <c r="E1336" i="4"/>
  <c r="G1336" i="4" s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E1367" i="1"/>
  <c r="G1367" i="1" s="1"/>
  <c r="E1396" i="2"/>
  <c r="E1397" i="2"/>
  <c r="E1366" i="2"/>
  <c r="G1366" i="2" s="1"/>
  <c r="E1365" i="2"/>
  <c r="G1365" i="2" s="1"/>
  <c r="E1364" i="2"/>
  <c r="G1364" i="2" s="1"/>
  <c r="E1363" i="2"/>
  <c r="G1363" i="2" s="1"/>
  <c r="E1362" i="2"/>
  <c r="G1362" i="2" s="1"/>
  <c r="E1361" i="2"/>
  <c r="G1361" i="2" s="1"/>
  <c r="E1360" i="2"/>
  <c r="G1360" i="2" s="1"/>
  <c r="E1359" i="2"/>
  <c r="G1359" i="2" s="1"/>
  <c r="E1358" i="2"/>
  <c r="G1358" i="2" s="1"/>
  <c r="E1357" i="2"/>
  <c r="G1357" i="2" s="1"/>
  <c r="E1356" i="2"/>
  <c r="G1356" i="2" s="1"/>
  <c r="E1355" i="2"/>
  <c r="G1355" i="2" s="1"/>
  <c r="E1354" i="2"/>
  <c r="G1354" i="2" s="1"/>
  <c r="E1353" i="2"/>
  <c r="G1353" i="2" s="1"/>
  <c r="E1352" i="2"/>
  <c r="G1352" i="2" s="1"/>
  <c r="E1351" i="2"/>
  <c r="G1351" i="2" s="1"/>
  <c r="E1350" i="2"/>
  <c r="G1350" i="2" s="1"/>
  <c r="E1349" i="2"/>
  <c r="G1349" i="2" s="1"/>
  <c r="E1348" i="2"/>
  <c r="G1348" i="2" s="1"/>
  <c r="E1347" i="2"/>
  <c r="G1347" i="2" s="1"/>
  <c r="E1346" i="2"/>
  <c r="G1346" i="2" s="1"/>
  <c r="E1345" i="2"/>
  <c r="G1345" i="2" s="1"/>
  <c r="E1344" i="2"/>
  <c r="G1344" i="2" s="1"/>
  <c r="E1343" i="2"/>
  <c r="G1343" i="2" s="1"/>
  <c r="E1342" i="2"/>
  <c r="G1342" i="2" s="1"/>
  <c r="E1341" i="2"/>
  <c r="G1341" i="2" s="1"/>
  <c r="E1340" i="2"/>
  <c r="G1340" i="2" s="1"/>
  <c r="E1339" i="2"/>
  <c r="G1339" i="2" s="1"/>
  <c r="E1338" i="2"/>
  <c r="G1338" i="2" s="1"/>
  <c r="E1337" i="2"/>
  <c r="G1337" i="2" s="1"/>
  <c r="E1336" i="2"/>
  <c r="G1336" i="2" s="1"/>
  <c r="E1366" i="1"/>
  <c r="G1366" i="1" s="1"/>
  <c r="E1365" i="1"/>
  <c r="G1365" i="1" s="1"/>
  <c r="E1364" i="1"/>
  <c r="G1364" i="1" s="1"/>
  <c r="E1363" i="1"/>
  <c r="G1363" i="1" s="1"/>
  <c r="E1362" i="1"/>
  <c r="G1362" i="1" s="1"/>
  <c r="E1361" i="1"/>
  <c r="G1361" i="1" s="1"/>
  <c r="E1360" i="1"/>
  <c r="G1360" i="1" s="1"/>
  <c r="E1359" i="1"/>
  <c r="G1359" i="1" s="1"/>
  <c r="E1358" i="1"/>
  <c r="G1358" i="1" s="1"/>
  <c r="E1357" i="1"/>
  <c r="G1357" i="1" s="1"/>
  <c r="E1356" i="1"/>
  <c r="G1356" i="1" s="1"/>
  <c r="E1355" i="1"/>
  <c r="G1355" i="1" s="1"/>
  <c r="E1354" i="1"/>
  <c r="G1354" i="1" s="1"/>
  <c r="E1353" i="1"/>
  <c r="G1353" i="1" s="1"/>
  <c r="E1352" i="1"/>
  <c r="G1352" i="1" s="1"/>
  <c r="E1351" i="1"/>
  <c r="G1351" i="1" s="1"/>
  <c r="E1350" i="1"/>
  <c r="G1350" i="1" s="1"/>
  <c r="E1349" i="1"/>
  <c r="G1349" i="1" s="1"/>
  <c r="E1348" i="1"/>
  <c r="G1348" i="1" s="1"/>
  <c r="E1347" i="1"/>
  <c r="G1347" i="1" s="1"/>
  <c r="E1346" i="1"/>
  <c r="G1346" i="1" s="1"/>
  <c r="E1345" i="1"/>
  <c r="G1345" i="1" s="1"/>
  <c r="E1344" i="1"/>
  <c r="G1344" i="1" s="1"/>
  <c r="E1343" i="1"/>
  <c r="G1343" i="1" s="1"/>
  <c r="E1342" i="1"/>
  <c r="G1342" i="1" s="1"/>
  <c r="E1341" i="1"/>
  <c r="G1341" i="1" s="1"/>
  <c r="E1340" i="1"/>
  <c r="G1340" i="1" s="1"/>
  <c r="E1339" i="1"/>
  <c r="G1339" i="1" s="1"/>
  <c r="E1338" i="1"/>
  <c r="G1338" i="1" s="1"/>
  <c r="E1337" i="1"/>
  <c r="G1337" i="1" s="1"/>
  <c r="E1336" i="1"/>
  <c r="G1336" i="1" s="1"/>
  <c r="E1335" i="1"/>
  <c r="G1335" i="1" s="1"/>
  <c r="E1334" i="1"/>
  <c r="G1334" i="1" s="1"/>
  <c r="E1333" i="1"/>
  <c r="G1333" i="1" s="1"/>
  <c r="E1332" i="1"/>
  <c r="G1332" i="1" s="1"/>
  <c r="E1331" i="1"/>
  <c r="G1331" i="1" s="1"/>
  <c r="E1330" i="1"/>
  <c r="G1330" i="1" s="1"/>
  <c r="E1329" i="1"/>
  <c r="G1329" i="1" s="1"/>
  <c r="E1328" i="1"/>
  <c r="G1328" i="1" s="1"/>
  <c r="E1327" i="1"/>
  <c r="G1327" i="1" s="1"/>
  <c r="E1326" i="1"/>
  <c r="G1326" i="1" s="1"/>
  <c r="E1325" i="1"/>
  <c r="G1325" i="1" s="1"/>
  <c r="E1324" i="1"/>
  <c r="G1324" i="1" s="1"/>
  <c r="E1323" i="1"/>
  <c r="G1323" i="1" s="1"/>
  <c r="E1322" i="1"/>
  <c r="G1322" i="1" s="1"/>
  <c r="E1321" i="1"/>
  <c r="G1321" i="1" s="1"/>
  <c r="E1320" i="1"/>
  <c r="G1320" i="1" s="1"/>
  <c r="E1319" i="1"/>
  <c r="G1319" i="1" s="1"/>
  <c r="E1318" i="1"/>
  <c r="G1318" i="1" s="1"/>
  <c r="E1317" i="1"/>
  <c r="G1317" i="1" s="1"/>
  <c r="E1316" i="1"/>
  <c r="G1316" i="1" s="1"/>
  <c r="E1315" i="1"/>
  <c r="G1315" i="1" s="1"/>
  <c r="E1314" i="1"/>
  <c r="G1314" i="1" s="1"/>
  <c r="E1313" i="1"/>
  <c r="G1313" i="1" s="1"/>
  <c r="E1312" i="1"/>
  <c r="G1312" i="1" s="1"/>
  <c r="E1311" i="1"/>
  <c r="G1311" i="1" s="1"/>
  <c r="E1310" i="1"/>
  <c r="G1310" i="1" s="1"/>
  <c r="E1309" i="1"/>
  <c r="G1309" i="1" s="1"/>
  <c r="E1308" i="1"/>
  <c r="G1308" i="1" s="1"/>
  <c r="E1307" i="1"/>
  <c r="G1307" i="1" s="1"/>
  <c r="E1306" i="1"/>
  <c r="G1306" i="1" s="1"/>
  <c r="E1305" i="1"/>
  <c r="G1305" i="1" s="1"/>
  <c r="G1397" i="2"/>
  <c r="G1396" i="2"/>
  <c r="E1395" i="2"/>
  <c r="G1395" i="2" s="1"/>
  <c r="E1394" i="2"/>
  <c r="G1394" i="2" s="1"/>
  <c r="E1393" i="2"/>
  <c r="G1393" i="2" s="1"/>
  <c r="E1392" i="2"/>
  <c r="G1392" i="2" s="1"/>
  <c r="E1391" i="2"/>
  <c r="G1391" i="2" s="1"/>
  <c r="E1390" i="2"/>
  <c r="G1390" i="2" s="1"/>
  <c r="E1389" i="2"/>
  <c r="G1389" i="2" s="1"/>
  <c r="E1388" i="2"/>
  <c r="G1388" i="2" s="1"/>
  <c r="E1387" i="2"/>
  <c r="G1387" i="2" s="1"/>
  <c r="E1386" i="2"/>
  <c r="G1386" i="2" s="1"/>
  <c r="E1385" i="2"/>
  <c r="G1385" i="2" s="1"/>
  <c r="E1384" i="2"/>
  <c r="G1384" i="2" s="1"/>
  <c r="E1383" i="2"/>
  <c r="G1383" i="2" s="1"/>
  <c r="E1382" i="2"/>
  <c r="G1382" i="2" s="1"/>
  <c r="E1381" i="2"/>
  <c r="G1381" i="2" s="1"/>
  <c r="E1380" i="2"/>
  <c r="G1380" i="2" s="1"/>
  <c r="E1379" i="2"/>
  <c r="G1379" i="2" s="1"/>
  <c r="E1378" i="2"/>
  <c r="G1378" i="2" s="1"/>
  <c r="E1377" i="2"/>
  <c r="G1377" i="2" s="1"/>
  <c r="E1376" i="2"/>
  <c r="G1376" i="2" s="1"/>
  <c r="E1375" i="2"/>
  <c r="G1375" i="2" s="1"/>
  <c r="E1374" i="2"/>
  <c r="G1374" i="2" s="1"/>
  <c r="E1373" i="2"/>
  <c r="G1373" i="2" s="1"/>
  <c r="E1372" i="2"/>
  <c r="G1372" i="2" s="1"/>
  <c r="E1371" i="2"/>
  <c r="G1371" i="2" s="1"/>
  <c r="E1370" i="2"/>
  <c r="G1370" i="2" s="1"/>
  <c r="E1369" i="2"/>
  <c r="G1369" i="2" s="1"/>
  <c r="E1368" i="2"/>
  <c r="G1368" i="2" s="1"/>
  <c r="E1367" i="2"/>
  <c r="G1367" i="2" s="1"/>
  <c r="E1335" i="2"/>
  <c r="G1335" i="2" s="1"/>
  <c r="E1334" i="2"/>
  <c r="G1334" i="2" s="1"/>
  <c r="E1333" i="2"/>
  <c r="E1332" i="2"/>
  <c r="G1332" i="2" s="1"/>
  <c r="E1331" i="2"/>
  <c r="G1331" i="2" s="1"/>
  <c r="E1330" i="2"/>
  <c r="G1330" i="2" s="1"/>
  <c r="E1329" i="2"/>
  <c r="G1329" i="2" s="1"/>
  <c r="E1328" i="2"/>
  <c r="G1328" i="2" s="1"/>
  <c r="E1327" i="2"/>
  <c r="G1327" i="2" s="1"/>
  <c r="E1326" i="2"/>
  <c r="G1326" i="2" s="1"/>
  <c r="E1325" i="2"/>
  <c r="G1325" i="2" s="1"/>
  <c r="E1324" i="2"/>
  <c r="G1324" i="2" s="1"/>
  <c r="E1323" i="2"/>
  <c r="G1323" i="2" s="1"/>
  <c r="E1322" i="2"/>
  <c r="G1322" i="2" s="1"/>
  <c r="E1321" i="2"/>
  <c r="G1321" i="2" s="1"/>
  <c r="E1320" i="2"/>
  <c r="G1320" i="2" s="1"/>
  <c r="E1319" i="2"/>
  <c r="G1319" i="2" s="1"/>
  <c r="E1318" i="2"/>
  <c r="G1318" i="2" s="1"/>
  <c r="E1317" i="2"/>
  <c r="G1317" i="2" s="1"/>
  <c r="E1316" i="2"/>
  <c r="G1316" i="2" s="1"/>
  <c r="E1315" i="2"/>
  <c r="G1315" i="2" s="1"/>
  <c r="E1314" i="2"/>
  <c r="G1314" i="2" s="1"/>
  <c r="E1313" i="2"/>
  <c r="G1313" i="2" s="1"/>
  <c r="E1312" i="2"/>
  <c r="G1312" i="2" s="1"/>
  <c r="E1311" i="2"/>
  <c r="G1311" i="2" s="1"/>
  <c r="E1310" i="2"/>
  <c r="G1310" i="2" s="1"/>
  <c r="E1309" i="2"/>
  <c r="G1309" i="2" s="1"/>
  <c r="E1308" i="2"/>
  <c r="G1308" i="2" s="1"/>
  <c r="E1307" i="2"/>
  <c r="G1307" i="2" s="1"/>
  <c r="E1306" i="2"/>
  <c r="G1306" i="2" s="1"/>
  <c r="E1305" i="2"/>
  <c r="G1305" i="2" s="1"/>
  <c r="G1396" i="4"/>
  <c r="E1395" i="4"/>
  <c r="G1395" i="4" s="1"/>
  <c r="E1394" i="4"/>
  <c r="G1394" i="4" s="1"/>
  <c r="E1393" i="4"/>
  <c r="G1393" i="4" s="1"/>
  <c r="E1392" i="4"/>
  <c r="G1392" i="4" s="1"/>
  <c r="E1391" i="4"/>
  <c r="G1391" i="4" s="1"/>
  <c r="E1390" i="4"/>
  <c r="G1390" i="4" s="1"/>
  <c r="E1389" i="4"/>
  <c r="G1389" i="4" s="1"/>
  <c r="E1388" i="4"/>
  <c r="G1388" i="4" s="1"/>
  <c r="E1387" i="4"/>
  <c r="G1387" i="4" s="1"/>
  <c r="E1386" i="4"/>
  <c r="G1386" i="4" s="1"/>
  <c r="E1385" i="4"/>
  <c r="G1385" i="4" s="1"/>
  <c r="E1384" i="4"/>
  <c r="G1384" i="4" s="1"/>
  <c r="E1383" i="4"/>
  <c r="G1383" i="4" s="1"/>
  <c r="E1382" i="4"/>
  <c r="G1382" i="4" s="1"/>
  <c r="E1381" i="4"/>
  <c r="G1381" i="4" s="1"/>
  <c r="E1380" i="4"/>
  <c r="G1380" i="4" s="1"/>
  <c r="E1379" i="4"/>
  <c r="G1379" i="4" s="1"/>
  <c r="E1378" i="4"/>
  <c r="G1378" i="4" s="1"/>
  <c r="E1377" i="4"/>
  <c r="G1377" i="4" s="1"/>
  <c r="E1376" i="4"/>
  <c r="G1376" i="4" s="1"/>
  <c r="E1375" i="4"/>
  <c r="G1375" i="4" s="1"/>
  <c r="E1374" i="4"/>
  <c r="G1374" i="4" s="1"/>
  <c r="E1373" i="4"/>
  <c r="G1373" i="4" s="1"/>
  <c r="E1372" i="4"/>
  <c r="G1372" i="4" s="1"/>
  <c r="E1371" i="4"/>
  <c r="G1371" i="4" s="1"/>
  <c r="E1370" i="4"/>
  <c r="G1370" i="4" s="1"/>
  <c r="E1369" i="4"/>
  <c r="G1369" i="4" s="1"/>
  <c r="E1368" i="4"/>
  <c r="G1368" i="4" s="1"/>
  <c r="E1367" i="4"/>
  <c r="G1367" i="4" s="1"/>
  <c r="E1335" i="4"/>
  <c r="E1334" i="4"/>
  <c r="E1333" i="4"/>
  <c r="E1332" i="4"/>
  <c r="E1331" i="4"/>
  <c r="E1330" i="4"/>
  <c r="E1329" i="4"/>
  <c r="E1328" i="4"/>
  <c r="E1327" i="4"/>
  <c r="E1326" i="4"/>
  <c r="E1325" i="4"/>
  <c r="E1324" i="4"/>
  <c r="E1323" i="4"/>
  <c r="E1322" i="4"/>
  <c r="E1321" i="4"/>
  <c r="E1320" i="4"/>
  <c r="E1319" i="4"/>
  <c r="E1318" i="4"/>
  <c r="E1317" i="4"/>
  <c r="E1316" i="4"/>
  <c r="E1315" i="4"/>
  <c r="E1314" i="4"/>
  <c r="E1313" i="4"/>
  <c r="E1312" i="4"/>
  <c r="E1311" i="4"/>
  <c r="E1310" i="4"/>
  <c r="E1309" i="4"/>
  <c r="E1308" i="4"/>
  <c r="E1307" i="4"/>
  <c r="E1306" i="4"/>
  <c r="E1305" i="4"/>
  <c r="E1304" i="4"/>
  <c r="G1304" i="4" s="1"/>
  <c r="E1303" i="4"/>
  <c r="G1303" i="4" s="1"/>
  <c r="E1302" i="4"/>
  <c r="G1302" i="4" s="1"/>
  <c r="E1301" i="4"/>
  <c r="G1301" i="4" s="1"/>
  <c r="E1300" i="4"/>
  <c r="G1300" i="4" s="1"/>
  <c r="E1299" i="4"/>
  <c r="G1299" i="4" s="1"/>
  <c r="E1298" i="4"/>
  <c r="G1298" i="4" s="1"/>
  <c r="E1297" i="4"/>
  <c r="G1297" i="4" s="1"/>
  <c r="E1296" i="4"/>
  <c r="G1296" i="4" s="1"/>
  <c r="E1295" i="4"/>
  <c r="G1295" i="4" s="1"/>
  <c r="E1294" i="4"/>
  <c r="G1294" i="4" s="1"/>
  <c r="E1293" i="4"/>
  <c r="G1293" i="4" s="1"/>
  <c r="E1292" i="4"/>
  <c r="G1292" i="4" s="1"/>
  <c r="E1291" i="4"/>
  <c r="G1291" i="4" s="1"/>
  <c r="E1290" i="4"/>
  <c r="G1290" i="4" s="1"/>
  <c r="E1289" i="4"/>
  <c r="G1289" i="4" s="1"/>
  <c r="E1288" i="4"/>
  <c r="G1288" i="4" s="1"/>
  <c r="E1287" i="4"/>
  <c r="G1287" i="4" s="1"/>
  <c r="E1286" i="4"/>
  <c r="G1286" i="4" s="1"/>
  <c r="E1285" i="4"/>
  <c r="G1285" i="4" s="1"/>
  <c r="E1284" i="4"/>
  <c r="G1284" i="4" s="1"/>
  <c r="E1283" i="4"/>
  <c r="G1283" i="4" s="1"/>
  <c r="E1282" i="4"/>
  <c r="G1282" i="4" s="1"/>
  <c r="E1281" i="4"/>
  <c r="G1281" i="4" s="1"/>
  <c r="E1280" i="4"/>
  <c r="G1280" i="4" s="1"/>
  <c r="E1279" i="4"/>
  <c r="G1279" i="4" s="1"/>
  <c r="E1278" i="4"/>
  <c r="G1278" i="4" s="1"/>
  <c r="E1277" i="4"/>
  <c r="G1277" i="4" s="1"/>
  <c r="E1276" i="4"/>
  <c r="G1276" i="4" s="1"/>
  <c r="E1275" i="4"/>
  <c r="G1275" i="4" s="1"/>
  <c r="E1274" i="4"/>
  <c r="G1274" i="4" s="1"/>
  <c r="G1335" i="4"/>
  <c r="G1334" i="4"/>
  <c r="G1333" i="4"/>
  <c r="G1332" i="4"/>
  <c r="G1331" i="4"/>
  <c r="G1330" i="4"/>
  <c r="G1329" i="4"/>
  <c r="G1328" i="4"/>
  <c r="G1327" i="4"/>
  <c r="G1326" i="4"/>
  <c r="G1325" i="4"/>
  <c r="G1324" i="4"/>
  <c r="G1323" i="4"/>
  <c r="G1322" i="4"/>
  <c r="G1321" i="4"/>
  <c r="G1320" i="4"/>
  <c r="G1319" i="4"/>
  <c r="G1318" i="4"/>
  <c r="G1317" i="4"/>
  <c r="G1316" i="4"/>
  <c r="G1315" i="4"/>
  <c r="G1314" i="4"/>
  <c r="G1313" i="4"/>
  <c r="G1312" i="4"/>
  <c r="G1311" i="4"/>
  <c r="G1310" i="4"/>
  <c r="G1309" i="4"/>
  <c r="G1308" i="4"/>
  <c r="G1307" i="4"/>
  <c r="G1306" i="4"/>
  <c r="G1305" i="4"/>
  <c r="E1365" i="3"/>
  <c r="E1364" i="3"/>
  <c r="E1363" i="3"/>
  <c r="E1362" i="3"/>
  <c r="E1361" i="3"/>
  <c r="E1360" i="3"/>
  <c r="E1359" i="3"/>
  <c r="E1358" i="3"/>
  <c r="E1357" i="3"/>
  <c r="E1356" i="3"/>
  <c r="E1355" i="3"/>
  <c r="E1354" i="3"/>
  <c r="E1353" i="3"/>
  <c r="E1352" i="3"/>
  <c r="E1351" i="3"/>
  <c r="E1350" i="3"/>
  <c r="E1349" i="3"/>
  <c r="E1348" i="3"/>
  <c r="E1347" i="3"/>
  <c r="E1346" i="3"/>
  <c r="E1345" i="3"/>
  <c r="E1344" i="3"/>
  <c r="E1343" i="3"/>
  <c r="E1342" i="3"/>
  <c r="E1341" i="3"/>
  <c r="E1340" i="3"/>
  <c r="E1339" i="3"/>
  <c r="E1338" i="3"/>
  <c r="E1337" i="3"/>
  <c r="E1336" i="3"/>
  <c r="E1335" i="3"/>
  <c r="E1334" i="3"/>
  <c r="E1333" i="3"/>
  <c r="E1332" i="3"/>
  <c r="G1332" i="3" s="1"/>
  <c r="E1331" i="3"/>
  <c r="E1330" i="3"/>
  <c r="G1330" i="3" s="1"/>
  <c r="E1329" i="3"/>
  <c r="E1328" i="3"/>
  <c r="E1327" i="3"/>
  <c r="E1326" i="3"/>
  <c r="E1325" i="3"/>
  <c r="E1324" i="3"/>
  <c r="E1323" i="3"/>
  <c r="E1322" i="3"/>
  <c r="E1321" i="3"/>
  <c r="E1320" i="3"/>
  <c r="E1319" i="3"/>
  <c r="E1318" i="3"/>
  <c r="E1317" i="3"/>
  <c r="E1316" i="3"/>
  <c r="E1315" i="3"/>
  <c r="E1314" i="3"/>
  <c r="E1313" i="3"/>
  <c r="E1312" i="3"/>
  <c r="E1311" i="3"/>
  <c r="E1310" i="3"/>
  <c r="E1309" i="3"/>
  <c r="E1308" i="3"/>
  <c r="E1307" i="3"/>
  <c r="E1306" i="3"/>
  <c r="E1305" i="3"/>
  <c r="G1335" i="3"/>
  <c r="G1334" i="3"/>
  <c r="G1333" i="3"/>
  <c r="G1331" i="3"/>
  <c r="G1329" i="3"/>
  <c r="G1328" i="3"/>
  <c r="G1327" i="3"/>
  <c r="G1326" i="3"/>
  <c r="G1325" i="3"/>
  <c r="G1324" i="3"/>
  <c r="G1323" i="3"/>
  <c r="G1322" i="3"/>
  <c r="G1321" i="3"/>
  <c r="G1320" i="3"/>
  <c r="G1319" i="3"/>
  <c r="G1318" i="3"/>
  <c r="G1317" i="3"/>
  <c r="G1316" i="3"/>
  <c r="G1315" i="3"/>
  <c r="G1314" i="3"/>
  <c r="G1313" i="3"/>
  <c r="G1312" i="3"/>
  <c r="G1311" i="3"/>
  <c r="G1310" i="3"/>
  <c r="G1309" i="3"/>
  <c r="G1308" i="3"/>
  <c r="G1307" i="3"/>
  <c r="G1306" i="3"/>
  <c r="G1305" i="3"/>
  <c r="E1366" i="3"/>
  <c r="G1366" i="3" s="1"/>
  <c r="G1365" i="3"/>
  <c r="G1364" i="3"/>
  <c r="G1363" i="3"/>
  <c r="G1362" i="3"/>
  <c r="G1361" i="3"/>
  <c r="G1360" i="3"/>
  <c r="G1359" i="3"/>
  <c r="G1358" i="3"/>
  <c r="G1357" i="3"/>
  <c r="G1356" i="3"/>
  <c r="G1355" i="3"/>
  <c r="G1354" i="3"/>
  <c r="G1353" i="3"/>
  <c r="G1352" i="3"/>
  <c r="G1351" i="3"/>
  <c r="G1350" i="3"/>
  <c r="G1349" i="3"/>
  <c r="G1348" i="3"/>
  <c r="G1347" i="3"/>
  <c r="G1346" i="3"/>
  <c r="G1345" i="3"/>
  <c r="G1344" i="3"/>
  <c r="G1343" i="3"/>
  <c r="G1342" i="3"/>
  <c r="G1341" i="3"/>
  <c r="G1340" i="3"/>
  <c r="G1339" i="3"/>
  <c r="G1338" i="3"/>
  <c r="G1337" i="3"/>
  <c r="G1336" i="3"/>
  <c r="D148" i="1"/>
  <c r="E148" i="1" s="1"/>
  <c r="E1198" i="3"/>
  <c r="G1198" i="3" s="1"/>
  <c r="E1198" i="2"/>
  <c r="E1304" i="2"/>
  <c r="G1304" i="2" s="1"/>
  <c r="E1303" i="2"/>
  <c r="G1303" i="2" s="1"/>
  <c r="E1302" i="2"/>
  <c r="G1302" i="2" s="1"/>
  <c r="E1301" i="2"/>
  <c r="G1301" i="2" s="1"/>
  <c r="E1300" i="2"/>
  <c r="G1300" i="2" s="1"/>
  <c r="E1299" i="2"/>
  <c r="G1299" i="2" s="1"/>
  <c r="E1298" i="2"/>
  <c r="G1298" i="2" s="1"/>
  <c r="E1297" i="2"/>
  <c r="G1297" i="2" s="1"/>
  <c r="E1296" i="2"/>
  <c r="G1296" i="2" s="1"/>
  <c r="E1295" i="2"/>
  <c r="G1295" i="2" s="1"/>
  <c r="E1294" i="2"/>
  <c r="G1294" i="2" s="1"/>
  <c r="E1293" i="2"/>
  <c r="G1293" i="2" s="1"/>
  <c r="E1292" i="2"/>
  <c r="G1292" i="2" s="1"/>
  <c r="E1291" i="2"/>
  <c r="G1291" i="2" s="1"/>
  <c r="E1290" i="2"/>
  <c r="G1290" i="2" s="1"/>
  <c r="E1289" i="2"/>
  <c r="G1289" i="2" s="1"/>
  <c r="E1288" i="2"/>
  <c r="G1288" i="2" s="1"/>
  <c r="E1287" i="2"/>
  <c r="G1287" i="2" s="1"/>
  <c r="E1286" i="2"/>
  <c r="G1286" i="2" s="1"/>
  <c r="E1285" i="2"/>
  <c r="G1285" i="2" s="1"/>
  <c r="E1284" i="2"/>
  <c r="G1284" i="2" s="1"/>
  <c r="E1283" i="2"/>
  <c r="G1283" i="2" s="1"/>
  <c r="E1282" i="2"/>
  <c r="G1282" i="2" s="1"/>
  <c r="E1281" i="2"/>
  <c r="G1281" i="2" s="1"/>
  <c r="E1280" i="2"/>
  <c r="G1280" i="2" s="1"/>
  <c r="E1279" i="2"/>
  <c r="G1279" i="2" s="1"/>
  <c r="E1278" i="2"/>
  <c r="G1278" i="2" s="1"/>
  <c r="E1277" i="2"/>
  <c r="G1277" i="2" s="1"/>
  <c r="E1276" i="2"/>
  <c r="G1276" i="2" s="1"/>
  <c r="E1275" i="2"/>
  <c r="G1275" i="2" s="1"/>
  <c r="E1274" i="2"/>
  <c r="G1274" i="2" s="1"/>
  <c r="E1273" i="2"/>
  <c r="G1273" i="2" s="1"/>
  <c r="E1272" i="2"/>
  <c r="G1272" i="2" s="1"/>
  <c r="E1271" i="2"/>
  <c r="G1271" i="2" s="1"/>
  <c r="E1270" i="2"/>
  <c r="G1270" i="2" s="1"/>
  <c r="E1269" i="2"/>
  <c r="G1269" i="2" s="1"/>
  <c r="E1268" i="2"/>
  <c r="G1268" i="2" s="1"/>
  <c r="E1267" i="2"/>
  <c r="G1267" i="2" s="1"/>
  <c r="E1266" i="2"/>
  <c r="G1266" i="2" s="1"/>
  <c r="E1265" i="2"/>
  <c r="G1265" i="2" s="1"/>
  <c r="E1264" i="2"/>
  <c r="G1264" i="2" s="1"/>
  <c r="E1263" i="2"/>
  <c r="G1263" i="2" s="1"/>
  <c r="E1262" i="2"/>
  <c r="G1262" i="2" s="1"/>
  <c r="E1261" i="2"/>
  <c r="G1261" i="2" s="1"/>
  <c r="E1260" i="2"/>
  <c r="G1260" i="2" s="1"/>
  <c r="E1259" i="2"/>
  <c r="G1259" i="2" s="1"/>
  <c r="E1258" i="2"/>
  <c r="G1258" i="2" s="1"/>
  <c r="E1257" i="2"/>
  <c r="G1257" i="2" s="1"/>
  <c r="E1256" i="2"/>
  <c r="G1256" i="2" s="1"/>
  <c r="E1255" i="2"/>
  <c r="G1255" i="2" s="1"/>
  <c r="E1254" i="2"/>
  <c r="G1254" i="2" s="1"/>
  <c r="E1253" i="2"/>
  <c r="G1253" i="2" s="1"/>
  <c r="E1252" i="2"/>
  <c r="G1252" i="2" s="1"/>
  <c r="E1251" i="2"/>
  <c r="G1251" i="2" s="1"/>
  <c r="E1250" i="2"/>
  <c r="G1250" i="2" s="1"/>
  <c r="E1249" i="2"/>
  <c r="G1249" i="2" s="1"/>
  <c r="E1248" i="2"/>
  <c r="G1248" i="2" s="1"/>
  <c r="E1247" i="2"/>
  <c r="G1247" i="2" s="1"/>
  <c r="E1246" i="2"/>
  <c r="G1246" i="2" s="1"/>
  <c r="E1245" i="2"/>
  <c r="G1245" i="2" s="1"/>
  <c r="E1244" i="2"/>
  <c r="G1244" i="2" s="1"/>
  <c r="E1243" i="2"/>
  <c r="G1243" i="2" s="1"/>
  <c r="E1304" i="1"/>
  <c r="G1304" i="1" s="1"/>
  <c r="E1303" i="1"/>
  <c r="G1303" i="1" s="1"/>
  <c r="E1302" i="1"/>
  <c r="G1302" i="1" s="1"/>
  <c r="E1301" i="1"/>
  <c r="G1301" i="1" s="1"/>
  <c r="E1300" i="1"/>
  <c r="G1300" i="1" s="1"/>
  <c r="E1299" i="1"/>
  <c r="G1299" i="1" s="1"/>
  <c r="E1298" i="1"/>
  <c r="G1298" i="1" s="1"/>
  <c r="E1297" i="1"/>
  <c r="G1297" i="1" s="1"/>
  <c r="E1296" i="1"/>
  <c r="G1296" i="1" s="1"/>
  <c r="E1295" i="1"/>
  <c r="G1295" i="1" s="1"/>
  <c r="E1294" i="1"/>
  <c r="G1294" i="1" s="1"/>
  <c r="E1293" i="1"/>
  <c r="G1293" i="1" s="1"/>
  <c r="E1292" i="1"/>
  <c r="G1292" i="1" s="1"/>
  <c r="E1291" i="1"/>
  <c r="G1291" i="1" s="1"/>
  <c r="E1290" i="1"/>
  <c r="G1290" i="1" s="1"/>
  <c r="E1289" i="1"/>
  <c r="G1289" i="1" s="1"/>
  <c r="E1288" i="1"/>
  <c r="G1288" i="1" s="1"/>
  <c r="E1287" i="1"/>
  <c r="G1287" i="1" s="1"/>
  <c r="E1286" i="1"/>
  <c r="G1286" i="1" s="1"/>
  <c r="E1285" i="1"/>
  <c r="G1285" i="1" s="1"/>
  <c r="E1284" i="1"/>
  <c r="G1284" i="1" s="1"/>
  <c r="E1283" i="1"/>
  <c r="G1283" i="1" s="1"/>
  <c r="E1282" i="1"/>
  <c r="G1282" i="1" s="1"/>
  <c r="E1281" i="1"/>
  <c r="G1281" i="1" s="1"/>
  <c r="E1280" i="1"/>
  <c r="G1280" i="1" s="1"/>
  <c r="E1279" i="1"/>
  <c r="G1279" i="1" s="1"/>
  <c r="E1278" i="1"/>
  <c r="G1278" i="1" s="1"/>
  <c r="E1277" i="1"/>
  <c r="G1277" i="1" s="1"/>
  <c r="E1276" i="1"/>
  <c r="G1276" i="1" s="1"/>
  <c r="E1275" i="1"/>
  <c r="G1275" i="1" s="1"/>
  <c r="E1274" i="1"/>
  <c r="G1274" i="1" s="1"/>
  <c r="E1273" i="1"/>
  <c r="G1273" i="1" s="1"/>
  <c r="E1272" i="1"/>
  <c r="G1272" i="1" s="1"/>
  <c r="E1271" i="1"/>
  <c r="G1271" i="1" s="1"/>
  <c r="E1270" i="1"/>
  <c r="G1270" i="1" s="1"/>
  <c r="E1269" i="1"/>
  <c r="G1269" i="1" s="1"/>
  <c r="E1268" i="1"/>
  <c r="G1268" i="1" s="1"/>
  <c r="E1267" i="1"/>
  <c r="G1267" i="1" s="1"/>
  <c r="E1266" i="1"/>
  <c r="G1266" i="1" s="1"/>
  <c r="E1265" i="1"/>
  <c r="G1265" i="1" s="1"/>
  <c r="E1264" i="1"/>
  <c r="G1264" i="1" s="1"/>
  <c r="E1263" i="1"/>
  <c r="G1263" i="1" s="1"/>
  <c r="E1262" i="1"/>
  <c r="G1262" i="1" s="1"/>
  <c r="E1261" i="1"/>
  <c r="G1261" i="1" s="1"/>
  <c r="E1260" i="1"/>
  <c r="G1260" i="1" s="1"/>
  <c r="E1259" i="1"/>
  <c r="G1259" i="1" s="1"/>
  <c r="E1258" i="1"/>
  <c r="G1258" i="1" s="1"/>
  <c r="E1257" i="1"/>
  <c r="G1257" i="1" s="1"/>
  <c r="E1256" i="1"/>
  <c r="G1256" i="1" s="1"/>
  <c r="E1255" i="1"/>
  <c r="G1255" i="1" s="1"/>
  <c r="E1254" i="1"/>
  <c r="G1254" i="1" s="1"/>
  <c r="E1253" i="1"/>
  <c r="G1253" i="1" s="1"/>
  <c r="E1252" i="1"/>
  <c r="G1252" i="1" s="1"/>
  <c r="E1251" i="1"/>
  <c r="G1251" i="1" s="1"/>
  <c r="E1250" i="1"/>
  <c r="G1250" i="1" s="1"/>
  <c r="E1249" i="1"/>
  <c r="G1249" i="1" s="1"/>
  <c r="E1248" i="1"/>
  <c r="G1248" i="1" s="1"/>
  <c r="E1247" i="1"/>
  <c r="G1247" i="1" s="1"/>
  <c r="E1246" i="1"/>
  <c r="G1246" i="1" s="1"/>
  <c r="E1245" i="1"/>
  <c r="G1245" i="1" s="1"/>
  <c r="E1244" i="1"/>
  <c r="G1244" i="1" s="1"/>
  <c r="E1243" i="1"/>
  <c r="G1243" i="1" s="1"/>
  <c r="G1397" i="4"/>
  <c r="E1273" i="4"/>
  <c r="G1273" i="4" s="1"/>
  <c r="E1272" i="4"/>
  <c r="G1272" i="4" s="1"/>
  <c r="E1271" i="4"/>
  <c r="G1271" i="4" s="1"/>
  <c r="E1270" i="4"/>
  <c r="G1270" i="4" s="1"/>
  <c r="E1269" i="4"/>
  <c r="G1269" i="4" s="1"/>
  <c r="E1268" i="4"/>
  <c r="G1268" i="4" s="1"/>
  <c r="E1267" i="4"/>
  <c r="G1267" i="4" s="1"/>
  <c r="E1266" i="4"/>
  <c r="G1266" i="4" s="1"/>
  <c r="E1265" i="4"/>
  <c r="G1265" i="4" s="1"/>
  <c r="E1264" i="4"/>
  <c r="G1264" i="4" s="1"/>
  <c r="E1263" i="4"/>
  <c r="G1263" i="4" s="1"/>
  <c r="E1262" i="4"/>
  <c r="G1262" i="4" s="1"/>
  <c r="E1261" i="4"/>
  <c r="G1261" i="4" s="1"/>
  <c r="E1260" i="4"/>
  <c r="G1260" i="4" s="1"/>
  <c r="E1259" i="4"/>
  <c r="G1259" i="4" s="1"/>
  <c r="E1258" i="4"/>
  <c r="G1258" i="4" s="1"/>
  <c r="E1257" i="4"/>
  <c r="G1257" i="4" s="1"/>
  <c r="E1256" i="4"/>
  <c r="G1256" i="4" s="1"/>
  <c r="E1255" i="4"/>
  <c r="G1255" i="4" s="1"/>
  <c r="E1254" i="4"/>
  <c r="G1254" i="4" s="1"/>
  <c r="E1253" i="4"/>
  <c r="G1253" i="4" s="1"/>
  <c r="E1252" i="4"/>
  <c r="G1252" i="4" s="1"/>
  <c r="E1251" i="4"/>
  <c r="G1251" i="4" s="1"/>
  <c r="E1250" i="4"/>
  <c r="G1250" i="4" s="1"/>
  <c r="E1249" i="4"/>
  <c r="G1249" i="4" s="1"/>
  <c r="E1248" i="4"/>
  <c r="G1248" i="4" s="1"/>
  <c r="E1247" i="4"/>
  <c r="G1247" i="4" s="1"/>
  <c r="E1246" i="4"/>
  <c r="G1246" i="4" s="1"/>
  <c r="E1245" i="4"/>
  <c r="G1245" i="4" s="1"/>
  <c r="E1244" i="4"/>
  <c r="G1244" i="4" s="1"/>
  <c r="E1243" i="4"/>
  <c r="G1243" i="4" s="1"/>
  <c r="E1304" i="3"/>
  <c r="G1304" i="3" s="1"/>
  <c r="E1303" i="3"/>
  <c r="G1303" i="3" s="1"/>
  <c r="E1302" i="3"/>
  <c r="G1302" i="3" s="1"/>
  <c r="E1301" i="3"/>
  <c r="G1301" i="3" s="1"/>
  <c r="E1300" i="3"/>
  <c r="G1300" i="3" s="1"/>
  <c r="E1299" i="3"/>
  <c r="G1299" i="3" s="1"/>
  <c r="E1298" i="3"/>
  <c r="G1298" i="3" s="1"/>
  <c r="E1297" i="3"/>
  <c r="G1297" i="3" s="1"/>
  <c r="E1296" i="3"/>
  <c r="G1296" i="3" s="1"/>
  <c r="E1295" i="3"/>
  <c r="G1295" i="3" s="1"/>
  <c r="E1294" i="3"/>
  <c r="G1294" i="3" s="1"/>
  <c r="E1293" i="3"/>
  <c r="G1293" i="3" s="1"/>
  <c r="E1292" i="3"/>
  <c r="G1292" i="3" s="1"/>
  <c r="E1291" i="3"/>
  <c r="G1291" i="3" s="1"/>
  <c r="E1290" i="3"/>
  <c r="G1290" i="3" s="1"/>
  <c r="E1289" i="3"/>
  <c r="G1289" i="3" s="1"/>
  <c r="E1288" i="3"/>
  <c r="G1288" i="3" s="1"/>
  <c r="E1287" i="3"/>
  <c r="E1286" i="3"/>
  <c r="E1285" i="3"/>
  <c r="E1284" i="3"/>
  <c r="E1283" i="3"/>
  <c r="E1282" i="3"/>
  <c r="E1281" i="3"/>
  <c r="E1280" i="3"/>
  <c r="E1279" i="3"/>
  <c r="E1278" i="3"/>
  <c r="E1277" i="3"/>
  <c r="E1276" i="3"/>
  <c r="E1275" i="3"/>
  <c r="G1275" i="3" s="1"/>
  <c r="E1274" i="3"/>
  <c r="E1273" i="3"/>
  <c r="E1272" i="3"/>
  <c r="E1271" i="3"/>
  <c r="E1270" i="3"/>
  <c r="E1269" i="3"/>
  <c r="E1268" i="3"/>
  <c r="E1267" i="3"/>
  <c r="E1266" i="3"/>
  <c r="E1265" i="3"/>
  <c r="E1264" i="3"/>
  <c r="E1263" i="3"/>
  <c r="E1262" i="3"/>
  <c r="E1261" i="3"/>
  <c r="G1261" i="3" s="1"/>
  <c r="E1260" i="3"/>
  <c r="E1259" i="3"/>
  <c r="E1258" i="3"/>
  <c r="G1258" i="3" s="1"/>
  <c r="E1257" i="3"/>
  <c r="E1256" i="3"/>
  <c r="E1255" i="3"/>
  <c r="E1254" i="3"/>
  <c r="E1253" i="3"/>
  <c r="E1252" i="3"/>
  <c r="E1251" i="3"/>
  <c r="E1250" i="3"/>
  <c r="E1249" i="3"/>
  <c r="E1248" i="3"/>
  <c r="E1247" i="3"/>
  <c r="G1247" i="3" s="1"/>
  <c r="E1246" i="3"/>
  <c r="E1245" i="3"/>
  <c r="E1244" i="3"/>
  <c r="G1244" i="3" s="1"/>
  <c r="G1273" i="3"/>
  <c r="G1272" i="3"/>
  <c r="G1271" i="3"/>
  <c r="G1270" i="3"/>
  <c r="G1269" i="3"/>
  <c r="G1268" i="3"/>
  <c r="G1267" i="3"/>
  <c r="G1266" i="3"/>
  <c r="G1265" i="3"/>
  <c r="G1264" i="3"/>
  <c r="G1263" i="3"/>
  <c r="G1262" i="3"/>
  <c r="G1260" i="3"/>
  <c r="G1259" i="3"/>
  <c r="G1257" i="3"/>
  <c r="G1256" i="3"/>
  <c r="G1255" i="3"/>
  <c r="G1254" i="3"/>
  <c r="G1253" i="3"/>
  <c r="G1252" i="3"/>
  <c r="G1251" i="3"/>
  <c r="G1250" i="3"/>
  <c r="G1249" i="3"/>
  <c r="G1248" i="3"/>
  <c r="G1246" i="3"/>
  <c r="G1245" i="3"/>
  <c r="E1243" i="3"/>
  <c r="G1243" i="3" s="1"/>
  <c r="G1287" i="3"/>
  <c r="G1286" i="3"/>
  <c r="G1285" i="3"/>
  <c r="G1284" i="3"/>
  <c r="G1283" i="3"/>
  <c r="G1282" i="3"/>
  <c r="G1281" i="3"/>
  <c r="G1280" i="3"/>
  <c r="G1279" i="3"/>
  <c r="G1278" i="3"/>
  <c r="G1277" i="3"/>
  <c r="G1276" i="3"/>
  <c r="G1274" i="3"/>
  <c r="E1242" i="2"/>
  <c r="G1242" i="2" s="1"/>
  <c r="E1241" i="2"/>
  <c r="G1241" i="2" s="1"/>
  <c r="E1240" i="2"/>
  <c r="G1240" i="2" s="1"/>
  <c r="E1239" i="2"/>
  <c r="G1239" i="2" s="1"/>
  <c r="E1238" i="2"/>
  <c r="G1238" i="2" s="1"/>
  <c r="E1237" i="2"/>
  <c r="G1237" i="2" s="1"/>
  <c r="E1236" i="2"/>
  <c r="G1236" i="2" s="1"/>
  <c r="E1235" i="2"/>
  <c r="G1235" i="2" s="1"/>
  <c r="E1234" i="2"/>
  <c r="G1234" i="2" s="1"/>
  <c r="E1233" i="2"/>
  <c r="G1233" i="2" s="1"/>
  <c r="E1232" i="2"/>
  <c r="G1232" i="2" s="1"/>
  <c r="E1231" i="2"/>
  <c r="G1231" i="2" s="1"/>
  <c r="E1230" i="2"/>
  <c r="G1230" i="2" s="1"/>
  <c r="E1229" i="2"/>
  <c r="G1229" i="2" s="1"/>
  <c r="E1228" i="2"/>
  <c r="G1228" i="2" s="1"/>
  <c r="E1227" i="2"/>
  <c r="G1227" i="2" s="1"/>
  <c r="E1226" i="2"/>
  <c r="G1226" i="2" s="1"/>
  <c r="E1225" i="2"/>
  <c r="G1225" i="2" s="1"/>
  <c r="E1224" i="2"/>
  <c r="G1224" i="2" s="1"/>
  <c r="E1223" i="2"/>
  <c r="G1223" i="2" s="1"/>
  <c r="E1222" i="2"/>
  <c r="G1222" i="2" s="1"/>
  <c r="E1221" i="2"/>
  <c r="G1221" i="2" s="1"/>
  <c r="E1220" i="2"/>
  <c r="G1220" i="2" s="1"/>
  <c r="E1219" i="2"/>
  <c r="G1219" i="2" s="1"/>
  <c r="E1218" i="2"/>
  <c r="G1218" i="2" s="1"/>
  <c r="E1217" i="2"/>
  <c r="G1217" i="2" s="1"/>
  <c r="E1216" i="2"/>
  <c r="G1216" i="2" s="1"/>
  <c r="E1215" i="2"/>
  <c r="G1215" i="2" s="1"/>
  <c r="E1214" i="2"/>
  <c r="G1214" i="2" s="1"/>
  <c r="E1213" i="2"/>
  <c r="G1213" i="2" s="1"/>
  <c r="E1212" i="2"/>
  <c r="G1212" i="2" s="1"/>
  <c r="E1242" i="1"/>
  <c r="G1242" i="1" s="1"/>
  <c r="E1241" i="1"/>
  <c r="G1241" i="1" s="1"/>
  <c r="E1240" i="1"/>
  <c r="G1240" i="1" s="1"/>
  <c r="E1239" i="1"/>
  <c r="G1239" i="1" s="1"/>
  <c r="E1238" i="1"/>
  <c r="G1238" i="1" s="1"/>
  <c r="E1237" i="1"/>
  <c r="G1237" i="1" s="1"/>
  <c r="E1236" i="1"/>
  <c r="G1236" i="1" s="1"/>
  <c r="E1235" i="1"/>
  <c r="G1235" i="1" s="1"/>
  <c r="E1234" i="1"/>
  <c r="G1234" i="1" s="1"/>
  <c r="E1233" i="1"/>
  <c r="G1233" i="1" s="1"/>
  <c r="E1232" i="1"/>
  <c r="G1232" i="1" s="1"/>
  <c r="E1231" i="1"/>
  <c r="G1231" i="1" s="1"/>
  <c r="E1230" i="1"/>
  <c r="G1230" i="1" s="1"/>
  <c r="E1229" i="1"/>
  <c r="G1229" i="1" s="1"/>
  <c r="E1228" i="1"/>
  <c r="G1228" i="1" s="1"/>
  <c r="E1227" i="1"/>
  <c r="G1227" i="1" s="1"/>
  <c r="E1226" i="1"/>
  <c r="G1226" i="1" s="1"/>
  <c r="E1225" i="1"/>
  <c r="G1225" i="1" s="1"/>
  <c r="E1224" i="1"/>
  <c r="G1224" i="1" s="1"/>
  <c r="E1223" i="1"/>
  <c r="G1223" i="1" s="1"/>
  <c r="E1222" i="1"/>
  <c r="G1222" i="1" s="1"/>
  <c r="E1221" i="1"/>
  <c r="G1221" i="1" s="1"/>
  <c r="E1220" i="1"/>
  <c r="G1220" i="1" s="1"/>
  <c r="E1219" i="1"/>
  <c r="G1219" i="1" s="1"/>
  <c r="E1218" i="1"/>
  <c r="G1218" i="1" s="1"/>
  <c r="E1217" i="1"/>
  <c r="G1217" i="1" s="1"/>
  <c r="E1216" i="1"/>
  <c r="G1216" i="1" s="1"/>
  <c r="E1215" i="1"/>
  <c r="G1215" i="1" s="1"/>
  <c r="E1214" i="1"/>
  <c r="G1214" i="1" s="1"/>
  <c r="E1213" i="1"/>
  <c r="G1213" i="1" s="1"/>
  <c r="E1212" i="1"/>
  <c r="G1212" i="1" s="1"/>
  <c r="E1242" i="3"/>
  <c r="G1242" i="3" s="1"/>
  <c r="E1241" i="3"/>
  <c r="G1241" i="3" s="1"/>
  <c r="E1240" i="3"/>
  <c r="G1240" i="3" s="1"/>
  <c r="E1239" i="3"/>
  <c r="G1239" i="3" s="1"/>
  <c r="E1238" i="3"/>
  <c r="G1238" i="3" s="1"/>
  <c r="E1237" i="3"/>
  <c r="G1237" i="3" s="1"/>
  <c r="E1236" i="3"/>
  <c r="G1236" i="3" s="1"/>
  <c r="E1235" i="3"/>
  <c r="G1235" i="3" s="1"/>
  <c r="E1234" i="3"/>
  <c r="G1234" i="3" s="1"/>
  <c r="E1233" i="3"/>
  <c r="G1233" i="3" s="1"/>
  <c r="E1232" i="3"/>
  <c r="G1232" i="3" s="1"/>
  <c r="E1231" i="3"/>
  <c r="G1231" i="3" s="1"/>
  <c r="E1230" i="3"/>
  <c r="G1230" i="3" s="1"/>
  <c r="E1229" i="3"/>
  <c r="G1229" i="3" s="1"/>
  <c r="E1228" i="3"/>
  <c r="G1228" i="3" s="1"/>
  <c r="E1227" i="3"/>
  <c r="G1227" i="3" s="1"/>
  <c r="E1226" i="3"/>
  <c r="G1226" i="3" s="1"/>
  <c r="E1225" i="3"/>
  <c r="G1225" i="3" s="1"/>
  <c r="E1224" i="3"/>
  <c r="G1224" i="3" s="1"/>
  <c r="E1223" i="3"/>
  <c r="G1223" i="3" s="1"/>
  <c r="E1222" i="3"/>
  <c r="G1222" i="3" s="1"/>
  <c r="E1221" i="3"/>
  <c r="G1221" i="3" s="1"/>
  <c r="E1220" i="3"/>
  <c r="G1220" i="3" s="1"/>
  <c r="E1219" i="3"/>
  <c r="G1219" i="3" s="1"/>
  <c r="E1218" i="3"/>
  <c r="G1218" i="3" s="1"/>
  <c r="E1217" i="3"/>
  <c r="G1217" i="3" s="1"/>
  <c r="E1216" i="3"/>
  <c r="G1216" i="3" s="1"/>
  <c r="E1215" i="3"/>
  <c r="G1215" i="3" s="1"/>
  <c r="E1214" i="3"/>
  <c r="G1214" i="3" s="1"/>
  <c r="E1213" i="3"/>
  <c r="G1213" i="3" s="1"/>
  <c r="E1212" i="3"/>
  <c r="G1212" i="3" s="1"/>
  <c r="E1213" i="4"/>
  <c r="G1213" i="4" s="1"/>
  <c r="E1214" i="4"/>
  <c r="G1214" i="4" s="1"/>
  <c r="E1215" i="4"/>
  <c r="G1215" i="4" s="1"/>
  <c r="E1216" i="4"/>
  <c r="G1216" i="4" s="1"/>
  <c r="E1217" i="4"/>
  <c r="G1217" i="4" s="1"/>
  <c r="E1218" i="4"/>
  <c r="G1218" i="4" s="1"/>
  <c r="E1219" i="4"/>
  <c r="G1219" i="4" s="1"/>
  <c r="E1220" i="4"/>
  <c r="G1220" i="4" s="1"/>
  <c r="E1221" i="4"/>
  <c r="G1221" i="4" s="1"/>
  <c r="E1222" i="4"/>
  <c r="G1222" i="4" s="1"/>
  <c r="E1223" i="4"/>
  <c r="G1223" i="4" s="1"/>
  <c r="E1224" i="4"/>
  <c r="G1224" i="4" s="1"/>
  <c r="E1225" i="4"/>
  <c r="G1225" i="4" s="1"/>
  <c r="E1226" i="4"/>
  <c r="G1226" i="4" s="1"/>
  <c r="E1227" i="4"/>
  <c r="G1227" i="4" s="1"/>
  <c r="E1228" i="4"/>
  <c r="G1228" i="4" s="1"/>
  <c r="E1229" i="4"/>
  <c r="G1229" i="4" s="1"/>
  <c r="E1230" i="4"/>
  <c r="G1230" i="4" s="1"/>
  <c r="E1231" i="4"/>
  <c r="G1231" i="4" s="1"/>
  <c r="E1232" i="4"/>
  <c r="G1232" i="4" s="1"/>
  <c r="E1233" i="4"/>
  <c r="G1233" i="4" s="1"/>
  <c r="E1234" i="4"/>
  <c r="G1234" i="4" s="1"/>
  <c r="E1235" i="4"/>
  <c r="G1235" i="4" s="1"/>
  <c r="E1236" i="4"/>
  <c r="G1236" i="4" s="1"/>
  <c r="E1237" i="4"/>
  <c r="G1237" i="4" s="1"/>
  <c r="E1238" i="4"/>
  <c r="G1238" i="4" s="1"/>
  <c r="E1239" i="4"/>
  <c r="G1239" i="4" s="1"/>
  <c r="E1240" i="4"/>
  <c r="G1240" i="4" s="1"/>
  <c r="E1241" i="4"/>
  <c r="G1241" i="4" s="1"/>
  <c r="E1242" i="4"/>
  <c r="G1242" i="4" s="1"/>
  <c r="E1212" i="4"/>
  <c r="G1212" i="4" s="1"/>
  <c r="E1428" i="3"/>
  <c r="E1427" i="3"/>
  <c r="E1426" i="3"/>
  <c r="E1425" i="3"/>
  <c r="E1424" i="3"/>
  <c r="E1423" i="3"/>
  <c r="E1422" i="3"/>
  <c r="E1421" i="3"/>
  <c r="E1420" i="3"/>
  <c r="E1419" i="3"/>
  <c r="E1418" i="3"/>
  <c r="E1417" i="3"/>
  <c r="E1416" i="3"/>
  <c r="E1415" i="3"/>
  <c r="E1414" i="3"/>
  <c r="E1413" i="3"/>
  <c r="E1412" i="3"/>
  <c r="E1411" i="3"/>
  <c r="E1410" i="3"/>
  <c r="E1409" i="3"/>
  <c r="E1408" i="3"/>
  <c r="E1407" i="3"/>
  <c r="E1406" i="3"/>
  <c r="E1405" i="3"/>
  <c r="E1404" i="3"/>
  <c r="E1403" i="3"/>
  <c r="E1402" i="3"/>
  <c r="E1401" i="3"/>
  <c r="E1400" i="3"/>
  <c r="E1399" i="3"/>
  <c r="E1398" i="3"/>
  <c r="E1211" i="3"/>
  <c r="G1211" i="3" s="1"/>
  <c r="E1210" i="3"/>
  <c r="G1210" i="3" s="1"/>
  <c r="E1209" i="3"/>
  <c r="G1209" i="3" s="1"/>
  <c r="E1208" i="3"/>
  <c r="G1208" i="3" s="1"/>
  <c r="E1207" i="3"/>
  <c r="G1207" i="3" s="1"/>
  <c r="E1206" i="3"/>
  <c r="G1206" i="3" s="1"/>
  <c r="E1205" i="3"/>
  <c r="G1205" i="3" s="1"/>
  <c r="E1204" i="3"/>
  <c r="G1204" i="3" s="1"/>
  <c r="E1203" i="3"/>
  <c r="G1203" i="3" s="1"/>
  <c r="E1202" i="3"/>
  <c r="G1202" i="3" s="1"/>
  <c r="E1201" i="3"/>
  <c r="G1201" i="3" s="1"/>
  <c r="E1200" i="3"/>
  <c r="G1200" i="3" s="1"/>
  <c r="E1199" i="3"/>
  <c r="G1199" i="3" s="1"/>
  <c r="E1197" i="3"/>
  <c r="G1197" i="3" s="1"/>
  <c r="E1196" i="3"/>
  <c r="G1196" i="3" s="1"/>
  <c r="E1195" i="3"/>
  <c r="G1195" i="3" s="1"/>
  <c r="E1194" i="3"/>
  <c r="G1194" i="3" s="1"/>
  <c r="E1193" i="3"/>
  <c r="G1193" i="3" s="1"/>
  <c r="E1192" i="3"/>
  <c r="G1192" i="3" s="1"/>
  <c r="E1191" i="3"/>
  <c r="G1191" i="3" s="1"/>
  <c r="E1190" i="3"/>
  <c r="G1190" i="3" s="1"/>
  <c r="E1189" i="3"/>
  <c r="G1189" i="3" s="1"/>
  <c r="E1188" i="3"/>
  <c r="G1188" i="3" s="1"/>
  <c r="E1187" i="3"/>
  <c r="G1187" i="3" s="1"/>
  <c r="E1186" i="3"/>
  <c r="G1186" i="3" s="1"/>
  <c r="E1185" i="3"/>
  <c r="G1185" i="3" s="1"/>
  <c r="E1184" i="3"/>
  <c r="G1184" i="3" s="1"/>
  <c r="E1183" i="3"/>
  <c r="G1183" i="3" s="1"/>
  <c r="E1182" i="3"/>
  <c r="G1182" i="3" s="1"/>
  <c r="E1181" i="3"/>
  <c r="G1181" i="3" s="1"/>
  <c r="E1180" i="3"/>
  <c r="E1179" i="3"/>
  <c r="E1178" i="3"/>
  <c r="E1177" i="3"/>
  <c r="E1176" i="3"/>
  <c r="E1175" i="3"/>
  <c r="E1174" i="3"/>
  <c r="E1173" i="3"/>
  <c r="E1172" i="3"/>
  <c r="E1171" i="3"/>
  <c r="E1170" i="3"/>
  <c r="E1169" i="3"/>
  <c r="E1168" i="3"/>
  <c r="E1167" i="3"/>
  <c r="E1166" i="3"/>
  <c r="E1165" i="3"/>
  <c r="E1164" i="3"/>
  <c r="E1163" i="3"/>
  <c r="E1162" i="3"/>
  <c r="E1161" i="3"/>
  <c r="E1160" i="3"/>
  <c r="E1159" i="3"/>
  <c r="E1158" i="3"/>
  <c r="E1157" i="3"/>
  <c r="E1156" i="3"/>
  <c r="E1155" i="3"/>
  <c r="E1154" i="3"/>
  <c r="E1153" i="3"/>
  <c r="E1152" i="3"/>
  <c r="E1151" i="3"/>
  <c r="E1150" i="3"/>
  <c r="E1149" i="3"/>
  <c r="E1148" i="3"/>
  <c r="E1147" i="3"/>
  <c r="E1146" i="3"/>
  <c r="E1145" i="3"/>
  <c r="E1144" i="3"/>
  <c r="E1143" i="3"/>
  <c r="E1142" i="3"/>
  <c r="E1141" i="3"/>
  <c r="E1140" i="3"/>
  <c r="E1139" i="3"/>
  <c r="E1138" i="3"/>
  <c r="E1137" i="3"/>
  <c r="E1136" i="3"/>
  <c r="E1135" i="3"/>
  <c r="E1134" i="3"/>
  <c r="E1133" i="3"/>
  <c r="E1132" i="3"/>
  <c r="E1131" i="3"/>
  <c r="E1130" i="3"/>
  <c r="E1129" i="3"/>
  <c r="E1128" i="3"/>
  <c r="E1127" i="3"/>
  <c r="E1126" i="3"/>
  <c r="E1125" i="3"/>
  <c r="E1124" i="3"/>
  <c r="E1123" i="3"/>
  <c r="E1122" i="3"/>
  <c r="E1121" i="3"/>
  <c r="E1120" i="3"/>
  <c r="E1119" i="3"/>
  <c r="E1118" i="3"/>
  <c r="E1117" i="3"/>
  <c r="E1116" i="3"/>
  <c r="E1115" i="3"/>
  <c r="E1114" i="3"/>
  <c r="E1113" i="3"/>
  <c r="E1112" i="3"/>
  <c r="E1111" i="3"/>
  <c r="E1110" i="3"/>
  <c r="E1109" i="3"/>
  <c r="E1108" i="3"/>
  <c r="E1107" i="3"/>
  <c r="E1106" i="3"/>
  <c r="E1105" i="3"/>
  <c r="E1104" i="3"/>
  <c r="E1103" i="3"/>
  <c r="E1102" i="3"/>
  <c r="E1101" i="3"/>
  <c r="E1100" i="3"/>
  <c r="E1099" i="3"/>
  <c r="E1098" i="3"/>
  <c r="E1097" i="3"/>
  <c r="E1096" i="3"/>
  <c r="E1095" i="3"/>
  <c r="E1094" i="3"/>
  <c r="E1093" i="3"/>
  <c r="E1092" i="3"/>
  <c r="E1091" i="3"/>
  <c r="E1090" i="3"/>
  <c r="E1089" i="3"/>
  <c r="E1088" i="3"/>
  <c r="E1087" i="3"/>
  <c r="E1086" i="3"/>
  <c r="G1086" i="3" s="1"/>
  <c r="E1085" i="3"/>
  <c r="G1085" i="3" s="1"/>
  <c r="E1084" i="3"/>
  <c r="G1084" i="3" s="1"/>
  <c r="E1083" i="3"/>
  <c r="G1083" i="3" s="1"/>
  <c r="E1082" i="3"/>
  <c r="G1082" i="3" s="1"/>
  <c r="E1081" i="3"/>
  <c r="G1081" i="3" s="1"/>
  <c r="E1080" i="3"/>
  <c r="G1080" i="3" s="1"/>
  <c r="E1079" i="3"/>
  <c r="G1079" i="3" s="1"/>
  <c r="E1078" i="3"/>
  <c r="G1078" i="3" s="1"/>
  <c r="E1077" i="3"/>
  <c r="G1077" i="3" s="1"/>
  <c r="E1076" i="3"/>
  <c r="G1076" i="3" s="1"/>
  <c r="E1075" i="3"/>
  <c r="G1075" i="3" s="1"/>
  <c r="E1074" i="3"/>
  <c r="G1074" i="3" s="1"/>
  <c r="E1073" i="3"/>
  <c r="G1073" i="3" s="1"/>
  <c r="E1072" i="3"/>
  <c r="G1072" i="3" s="1"/>
  <c r="E1071" i="3"/>
  <c r="G1071" i="3" s="1"/>
  <c r="E1070" i="3"/>
  <c r="E1069" i="3"/>
  <c r="G1069" i="3" s="1"/>
  <c r="E1068" i="3"/>
  <c r="G1068" i="3" s="1"/>
  <c r="E1067" i="3"/>
  <c r="G1067" i="3" s="1"/>
  <c r="E1066" i="3"/>
  <c r="G1066" i="3" s="1"/>
  <c r="E1065" i="3"/>
  <c r="G1065" i="3" s="1"/>
  <c r="E1064" i="3"/>
  <c r="G1064" i="3" s="1"/>
  <c r="E1063" i="3"/>
  <c r="G1063" i="3" s="1"/>
  <c r="E1062" i="3"/>
  <c r="G1062" i="3" s="1"/>
  <c r="E1061" i="3"/>
  <c r="G1061" i="3" s="1"/>
  <c r="E1060" i="3"/>
  <c r="G1060" i="3" s="1"/>
  <c r="E1059" i="3"/>
  <c r="G1059" i="3" s="1"/>
  <c r="E1058" i="3"/>
  <c r="G1058" i="3" s="1"/>
  <c r="E1057" i="3"/>
  <c r="G1057" i="3" s="1"/>
  <c r="E1056" i="3"/>
  <c r="E1055" i="3"/>
  <c r="E1054" i="3"/>
  <c r="E1053" i="3"/>
  <c r="E1052" i="3"/>
  <c r="E1051" i="3"/>
  <c r="E1050" i="3"/>
  <c r="E1049" i="3"/>
  <c r="E1048" i="3"/>
  <c r="E1047" i="3"/>
  <c r="E1046" i="3"/>
  <c r="E1045" i="3"/>
  <c r="E1044" i="3"/>
  <c r="E1043" i="3"/>
  <c r="E1042" i="3"/>
  <c r="E1041" i="3"/>
  <c r="E1040" i="3"/>
  <c r="E1039" i="3"/>
  <c r="E1038" i="3"/>
  <c r="E1037" i="3"/>
  <c r="E1036" i="3"/>
  <c r="E1035" i="3"/>
  <c r="E1034" i="3"/>
  <c r="E1033" i="3"/>
  <c r="E1032" i="3"/>
  <c r="E1031" i="3"/>
  <c r="E1030" i="3"/>
  <c r="E1029" i="3"/>
  <c r="E1028" i="3"/>
  <c r="E1027" i="3"/>
  <c r="E1026" i="3"/>
  <c r="E1025" i="3"/>
  <c r="E1024" i="3"/>
  <c r="E1023" i="3"/>
  <c r="E1022" i="3"/>
  <c r="E1021" i="3"/>
  <c r="E1020" i="3"/>
  <c r="E1019" i="3"/>
  <c r="E1018" i="3"/>
  <c r="E1017" i="3"/>
  <c r="E1016" i="3"/>
  <c r="E1015" i="3"/>
  <c r="E1014" i="3"/>
  <c r="E1013" i="3"/>
  <c r="E1012" i="3"/>
  <c r="E1011" i="3"/>
  <c r="E1010" i="3"/>
  <c r="E1009" i="3"/>
  <c r="E1008" i="3"/>
  <c r="E1007" i="3"/>
  <c r="E1006" i="3"/>
  <c r="E1005" i="3"/>
  <c r="E1004" i="3"/>
  <c r="E1003" i="3"/>
  <c r="E1002" i="3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1211" i="4"/>
  <c r="G1211" i="4" s="1"/>
  <c r="E1210" i="4"/>
  <c r="G1210" i="4" s="1"/>
  <c r="E1209" i="4"/>
  <c r="G1209" i="4" s="1"/>
  <c r="E1208" i="4"/>
  <c r="G1208" i="4" s="1"/>
  <c r="E1207" i="4"/>
  <c r="G1207" i="4" s="1"/>
  <c r="E1206" i="4"/>
  <c r="G1206" i="4" s="1"/>
  <c r="E1205" i="4"/>
  <c r="G1205" i="4" s="1"/>
  <c r="E1204" i="4"/>
  <c r="G1204" i="4" s="1"/>
  <c r="E1203" i="4"/>
  <c r="G1203" i="4" s="1"/>
  <c r="E1202" i="4"/>
  <c r="G1202" i="4" s="1"/>
  <c r="E1201" i="4"/>
  <c r="G1201" i="4" s="1"/>
  <c r="E1200" i="4"/>
  <c r="G1200" i="4" s="1"/>
  <c r="E1199" i="4"/>
  <c r="G1199" i="4" s="1"/>
  <c r="G1198" i="4"/>
  <c r="E1197" i="4"/>
  <c r="G1197" i="4" s="1"/>
  <c r="E1196" i="4"/>
  <c r="G1196" i="4" s="1"/>
  <c r="E1195" i="4"/>
  <c r="G1195" i="4" s="1"/>
  <c r="E1194" i="4"/>
  <c r="G1194" i="4" s="1"/>
  <c r="E1193" i="4"/>
  <c r="G1193" i="4" s="1"/>
  <c r="E1192" i="4"/>
  <c r="G1192" i="4" s="1"/>
  <c r="E1191" i="4"/>
  <c r="G1191" i="4" s="1"/>
  <c r="E1190" i="4"/>
  <c r="G1190" i="4" s="1"/>
  <c r="E1189" i="4"/>
  <c r="G1189" i="4" s="1"/>
  <c r="E1188" i="4"/>
  <c r="G1188" i="4" s="1"/>
  <c r="E1187" i="4"/>
  <c r="G1187" i="4" s="1"/>
  <c r="E1186" i="4"/>
  <c r="G1186" i="4" s="1"/>
  <c r="E1185" i="4"/>
  <c r="G1185" i="4" s="1"/>
  <c r="E1184" i="4"/>
  <c r="G1184" i="4" s="1"/>
  <c r="E1183" i="4"/>
  <c r="G1183" i="4" s="1"/>
  <c r="E1182" i="4"/>
  <c r="G1182" i="4" s="1"/>
  <c r="E1181" i="4"/>
  <c r="G1181" i="4" s="1"/>
  <c r="E1180" i="4"/>
  <c r="E1179" i="4"/>
  <c r="E1178" i="4"/>
  <c r="E1177" i="4"/>
  <c r="E1176" i="4"/>
  <c r="E1175" i="4"/>
  <c r="E1174" i="4"/>
  <c r="E1173" i="4"/>
  <c r="E1172" i="4"/>
  <c r="E1171" i="4"/>
  <c r="E1170" i="4"/>
  <c r="E1169" i="4"/>
  <c r="E1168" i="4"/>
  <c r="E1167" i="4"/>
  <c r="E1166" i="4"/>
  <c r="E1165" i="4"/>
  <c r="E1164" i="4"/>
  <c r="E1163" i="4"/>
  <c r="E1162" i="4"/>
  <c r="E1161" i="4"/>
  <c r="E1160" i="4"/>
  <c r="E1159" i="4"/>
  <c r="E1158" i="4"/>
  <c r="E1157" i="4"/>
  <c r="E1156" i="4"/>
  <c r="E1155" i="4"/>
  <c r="E1154" i="4"/>
  <c r="E1153" i="4"/>
  <c r="E1152" i="4"/>
  <c r="E1151" i="4"/>
  <c r="E1150" i="4"/>
  <c r="E1149" i="4"/>
  <c r="E1148" i="4"/>
  <c r="E1147" i="4"/>
  <c r="E1146" i="4"/>
  <c r="E1145" i="4"/>
  <c r="E1144" i="4"/>
  <c r="E1143" i="4"/>
  <c r="E1142" i="4"/>
  <c r="E1141" i="4"/>
  <c r="E1140" i="4"/>
  <c r="E1139" i="4"/>
  <c r="E1138" i="4"/>
  <c r="E1137" i="4"/>
  <c r="E1136" i="4"/>
  <c r="E1135" i="4"/>
  <c r="E1134" i="4"/>
  <c r="E1133" i="4"/>
  <c r="E1132" i="4"/>
  <c r="E1131" i="4"/>
  <c r="E1130" i="4"/>
  <c r="E1129" i="4"/>
  <c r="E1128" i="4"/>
  <c r="E1127" i="4"/>
  <c r="E1126" i="4"/>
  <c r="E1125" i="4"/>
  <c r="E1124" i="4"/>
  <c r="E1123" i="4"/>
  <c r="E1122" i="4"/>
  <c r="E1121" i="4"/>
  <c r="E1120" i="4"/>
  <c r="E1119" i="4"/>
  <c r="E1118" i="4"/>
  <c r="E1117" i="4"/>
  <c r="E1116" i="4"/>
  <c r="E1115" i="4"/>
  <c r="E1114" i="4"/>
  <c r="E1113" i="4"/>
  <c r="E1112" i="4"/>
  <c r="E1111" i="4"/>
  <c r="E1110" i="4"/>
  <c r="E1109" i="4"/>
  <c r="E1108" i="4"/>
  <c r="E1107" i="4"/>
  <c r="E1106" i="4"/>
  <c r="E1105" i="4"/>
  <c r="E1104" i="4"/>
  <c r="E1103" i="4"/>
  <c r="E1102" i="4"/>
  <c r="E1101" i="4"/>
  <c r="E1100" i="4"/>
  <c r="E1099" i="4"/>
  <c r="E1098" i="4"/>
  <c r="E1097" i="4"/>
  <c r="E1096" i="4"/>
  <c r="E1095" i="4"/>
  <c r="E1094" i="4"/>
  <c r="E1093" i="4"/>
  <c r="E1092" i="4"/>
  <c r="E1091" i="4"/>
  <c r="E1090" i="4"/>
  <c r="E1089" i="4"/>
  <c r="E1088" i="4"/>
  <c r="E1087" i="4"/>
  <c r="G1087" i="4" s="1"/>
  <c r="E1086" i="4"/>
  <c r="G1086" i="4" s="1"/>
  <c r="E1085" i="4"/>
  <c r="G1085" i="4" s="1"/>
  <c r="E1084" i="4"/>
  <c r="E1083" i="4"/>
  <c r="G1083" i="4" s="1"/>
  <c r="E1082" i="4"/>
  <c r="G1082" i="4" s="1"/>
  <c r="E1081" i="4"/>
  <c r="G1081" i="4" s="1"/>
  <c r="E1080" i="4"/>
  <c r="G1080" i="4" s="1"/>
  <c r="E1079" i="4"/>
  <c r="G1079" i="4" s="1"/>
  <c r="E1078" i="4"/>
  <c r="E1077" i="4"/>
  <c r="G1077" i="4" s="1"/>
  <c r="E1076" i="4"/>
  <c r="G1076" i="4" s="1"/>
  <c r="E1075" i="4"/>
  <c r="G1075" i="4" s="1"/>
  <c r="E1074" i="4"/>
  <c r="E1073" i="4"/>
  <c r="G1073" i="4" s="1"/>
  <c r="E1072" i="4"/>
  <c r="G1072" i="4" s="1"/>
  <c r="E1071" i="4"/>
  <c r="G1071" i="4" s="1"/>
  <c r="E1070" i="4"/>
  <c r="E1069" i="4"/>
  <c r="G1069" i="4" s="1"/>
  <c r="E1068" i="4"/>
  <c r="E1067" i="4"/>
  <c r="G1067" i="4" s="1"/>
  <c r="E1066" i="4"/>
  <c r="G1066" i="4" s="1"/>
  <c r="E1065" i="4"/>
  <c r="G1065" i="4" s="1"/>
  <c r="E1064" i="4"/>
  <c r="E1063" i="4"/>
  <c r="G1063" i="4" s="1"/>
  <c r="E1062" i="4"/>
  <c r="G1062" i="4" s="1"/>
  <c r="E1061" i="4"/>
  <c r="G1061" i="4" s="1"/>
  <c r="E1060" i="4"/>
  <c r="G1060" i="4" s="1"/>
  <c r="E1059" i="4"/>
  <c r="G1059" i="4" s="1"/>
  <c r="E1058" i="4"/>
  <c r="G1058" i="4" s="1"/>
  <c r="E1057" i="4"/>
  <c r="G1057" i="4" s="1"/>
  <c r="E1056" i="4"/>
  <c r="E1055" i="4"/>
  <c r="E1054" i="4"/>
  <c r="E1053" i="4"/>
  <c r="E1052" i="4"/>
  <c r="E1051" i="4"/>
  <c r="E1050" i="4"/>
  <c r="E1049" i="4"/>
  <c r="E1048" i="4"/>
  <c r="E1047" i="4"/>
  <c r="E1046" i="4"/>
  <c r="E1045" i="4"/>
  <c r="E1044" i="4"/>
  <c r="E1043" i="4"/>
  <c r="E1042" i="4"/>
  <c r="E1041" i="4"/>
  <c r="E1040" i="4"/>
  <c r="E1039" i="4"/>
  <c r="E1038" i="4"/>
  <c r="E1037" i="4"/>
  <c r="E1036" i="4"/>
  <c r="E1035" i="4"/>
  <c r="E1034" i="4"/>
  <c r="E1033" i="4"/>
  <c r="E1032" i="4"/>
  <c r="E1031" i="4"/>
  <c r="E1030" i="4"/>
  <c r="E1029" i="4"/>
  <c r="E1028" i="4"/>
  <c r="E1027" i="4"/>
  <c r="E1026" i="4"/>
  <c r="E1025" i="4"/>
  <c r="E1024" i="4"/>
  <c r="E1023" i="4"/>
  <c r="E1022" i="4"/>
  <c r="E1021" i="4"/>
  <c r="E1020" i="4"/>
  <c r="E1019" i="4"/>
  <c r="E1018" i="4"/>
  <c r="E1017" i="4"/>
  <c r="E1016" i="4"/>
  <c r="E1015" i="4"/>
  <c r="E1014" i="4"/>
  <c r="E1013" i="4"/>
  <c r="E1012" i="4"/>
  <c r="E1011" i="4"/>
  <c r="E1010" i="4"/>
  <c r="E1009" i="4"/>
  <c r="E1008" i="4"/>
  <c r="E1007" i="4"/>
  <c r="E1006" i="4"/>
  <c r="E1005" i="4"/>
  <c r="E1004" i="4"/>
  <c r="E1003" i="4"/>
  <c r="E1002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211" i="1"/>
  <c r="G1211" i="1" s="1"/>
  <c r="E1210" i="1"/>
  <c r="G1210" i="1" s="1"/>
  <c r="E1209" i="1"/>
  <c r="G1209" i="1" s="1"/>
  <c r="E1208" i="1"/>
  <c r="G1208" i="1" s="1"/>
  <c r="E1207" i="1"/>
  <c r="G1207" i="1" s="1"/>
  <c r="E1206" i="1"/>
  <c r="G1206" i="1" s="1"/>
  <c r="E1205" i="1"/>
  <c r="G1205" i="1" s="1"/>
  <c r="E1204" i="1"/>
  <c r="G1204" i="1" s="1"/>
  <c r="E1203" i="1"/>
  <c r="G1203" i="1" s="1"/>
  <c r="E1202" i="1"/>
  <c r="G1202" i="1" s="1"/>
  <c r="E1201" i="1"/>
  <c r="G1201" i="1" s="1"/>
  <c r="E1200" i="1"/>
  <c r="G1200" i="1" s="1"/>
  <c r="E1199" i="1"/>
  <c r="G1199" i="1" s="1"/>
  <c r="E1198" i="1"/>
  <c r="G1198" i="1" s="1"/>
  <c r="E1197" i="1"/>
  <c r="G1197" i="1" s="1"/>
  <c r="E1196" i="1"/>
  <c r="G1196" i="1" s="1"/>
  <c r="E1195" i="1"/>
  <c r="G1195" i="1" s="1"/>
  <c r="E1194" i="1"/>
  <c r="G1194" i="1" s="1"/>
  <c r="E1193" i="1"/>
  <c r="G1193" i="1" s="1"/>
  <c r="E1192" i="1"/>
  <c r="G1192" i="1" s="1"/>
  <c r="E1191" i="1"/>
  <c r="G1191" i="1" s="1"/>
  <c r="E1190" i="1"/>
  <c r="G1190" i="1" s="1"/>
  <c r="E1189" i="1"/>
  <c r="G1189" i="1" s="1"/>
  <c r="E1188" i="1"/>
  <c r="G1188" i="1" s="1"/>
  <c r="E1187" i="1"/>
  <c r="G1187" i="1" s="1"/>
  <c r="E1186" i="1"/>
  <c r="G1186" i="1" s="1"/>
  <c r="E1185" i="1"/>
  <c r="G1185" i="1" s="1"/>
  <c r="E1184" i="1"/>
  <c r="G1184" i="1" s="1"/>
  <c r="E1183" i="1"/>
  <c r="G1183" i="1" s="1"/>
  <c r="E1182" i="1"/>
  <c r="G1182" i="1" s="1"/>
  <c r="E1181" i="1"/>
  <c r="G1181" i="1" s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G1087" i="1" s="1"/>
  <c r="E1086" i="1"/>
  <c r="G1086" i="1" s="1"/>
  <c r="E1085" i="1"/>
  <c r="G1085" i="1" s="1"/>
  <c r="E1084" i="1"/>
  <c r="E1083" i="1"/>
  <c r="G1083" i="1" s="1"/>
  <c r="E1082" i="1"/>
  <c r="G1082" i="1" s="1"/>
  <c r="E1081" i="1"/>
  <c r="E1080" i="1"/>
  <c r="G1080" i="1" s="1"/>
  <c r="E1079" i="1"/>
  <c r="G1079" i="1" s="1"/>
  <c r="E1078" i="1"/>
  <c r="E1077" i="1"/>
  <c r="G1077" i="1" s="1"/>
  <c r="E1076" i="1"/>
  <c r="G1076" i="1" s="1"/>
  <c r="E1075" i="1"/>
  <c r="G1075" i="1" s="1"/>
  <c r="E1074" i="1"/>
  <c r="G1074" i="1" s="1"/>
  <c r="E1073" i="1"/>
  <c r="G1073" i="1" s="1"/>
  <c r="E1072" i="1"/>
  <c r="G1072" i="1" s="1"/>
  <c r="E1071" i="1"/>
  <c r="G1071" i="1" s="1"/>
  <c r="E1070" i="1"/>
  <c r="G1070" i="1" s="1"/>
  <c r="E1069" i="1"/>
  <c r="G1069" i="1" s="1"/>
  <c r="E1068" i="1"/>
  <c r="E1067" i="1"/>
  <c r="G1067" i="1" s="1"/>
  <c r="E1066" i="1"/>
  <c r="G1066" i="1" s="1"/>
  <c r="E1065" i="1"/>
  <c r="G1065" i="1" s="1"/>
  <c r="E1064" i="1"/>
  <c r="G1064" i="1" s="1"/>
  <c r="E1063" i="1"/>
  <c r="E1062" i="1"/>
  <c r="G1062" i="1" s="1"/>
  <c r="E1061" i="1"/>
  <c r="G1061" i="1" s="1"/>
  <c r="E1060" i="1"/>
  <c r="G1060" i="1" s="1"/>
  <c r="E1059" i="1"/>
  <c r="G1059" i="1" s="1"/>
  <c r="E1058" i="1"/>
  <c r="E1057" i="1"/>
  <c r="G1057" i="1" s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G1057" i="2" s="1"/>
  <c r="E1058" i="2"/>
  <c r="G1058" i="2" s="1"/>
  <c r="E1059" i="2"/>
  <c r="G1059" i="2" s="1"/>
  <c r="E1060" i="2"/>
  <c r="G1060" i="2" s="1"/>
  <c r="E1061" i="2"/>
  <c r="E1062" i="2"/>
  <c r="G1062" i="2" s="1"/>
  <c r="E1063" i="2"/>
  <c r="G1063" i="2" s="1"/>
  <c r="E1064" i="2"/>
  <c r="G1064" i="2" s="1"/>
  <c r="E1065" i="2"/>
  <c r="G1065" i="2" s="1"/>
  <c r="E1066" i="2"/>
  <c r="G1066" i="2" s="1"/>
  <c r="E1067" i="2"/>
  <c r="G1067" i="2" s="1"/>
  <c r="E1068" i="2"/>
  <c r="G1068" i="2" s="1"/>
  <c r="E1069" i="2"/>
  <c r="G1069" i="2" s="1"/>
  <c r="E1070" i="2"/>
  <c r="G1070" i="2" s="1"/>
  <c r="E1071" i="2"/>
  <c r="G1071" i="2" s="1"/>
  <c r="E1072" i="2"/>
  <c r="G1072" i="2" s="1"/>
  <c r="E1073" i="2"/>
  <c r="G1073" i="2" s="1"/>
  <c r="E1074" i="2"/>
  <c r="G1074" i="2" s="1"/>
  <c r="E1075" i="2"/>
  <c r="G1075" i="2" s="1"/>
  <c r="E1076" i="2"/>
  <c r="G1076" i="2" s="1"/>
  <c r="E1077" i="2"/>
  <c r="G1077" i="2" s="1"/>
  <c r="E1078" i="2"/>
  <c r="G1078" i="2" s="1"/>
  <c r="E1079" i="2"/>
  <c r="G1079" i="2" s="1"/>
  <c r="E1080" i="2"/>
  <c r="G1080" i="2" s="1"/>
  <c r="E1081" i="2"/>
  <c r="G1081" i="2" s="1"/>
  <c r="E1082" i="2"/>
  <c r="G1082" i="2" s="1"/>
  <c r="E1083" i="2"/>
  <c r="E1084" i="2"/>
  <c r="G1084" i="2" s="1"/>
  <c r="E1085" i="2"/>
  <c r="G1085" i="2" s="1"/>
  <c r="E1086" i="2"/>
  <c r="G1086" i="2" s="1"/>
  <c r="E1087" i="2"/>
  <c r="G1087" i="2" s="1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G1150" i="2" s="1"/>
  <c r="E1151" i="2"/>
  <c r="G1151" i="2" s="1"/>
  <c r="E1152" i="2"/>
  <c r="G1152" i="2" s="1"/>
  <c r="E1153" i="2"/>
  <c r="G1153" i="2" s="1"/>
  <c r="E1154" i="2"/>
  <c r="G1154" i="2" s="1"/>
  <c r="E1155" i="2"/>
  <c r="G1155" i="2" s="1"/>
  <c r="E1156" i="2"/>
  <c r="G1156" i="2" s="1"/>
  <c r="E1157" i="2"/>
  <c r="G1157" i="2" s="1"/>
  <c r="E1158" i="2"/>
  <c r="G1158" i="2" s="1"/>
  <c r="E1159" i="2"/>
  <c r="G1159" i="2" s="1"/>
  <c r="E1160" i="2"/>
  <c r="G1160" i="2" s="1"/>
  <c r="E1161" i="2"/>
  <c r="G1161" i="2" s="1"/>
  <c r="E1162" i="2"/>
  <c r="G1162" i="2" s="1"/>
  <c r="E1163" i="2"/>
  <c r="G1163" i="2" s="1"/>
  <c r="E1164" i="2"/>
  <c r="G1164" i="2" s="1"/>
  <c r="E1165" i="2"/>
  <c r="G1165" i="2" s="1"/>
  <c r="E1166" i="2"/>
  <c r="G1166" i="2" s="1"/>
  <c r="E1167" i="2"/>
  <c r="G1167" i="2" s="1"/>
  <c r="E1168" i="2"/>
  <c r="G1168" i="2" s="1"/>
  <c r="E1169" i="2"/>
  <c r="G1169" i="2" s="1"/>
  <c r="E1170" i="2"/>
  <c r="G1170" i="2" s="1"/>
  <c r="E1171" i="2"/>
  <c r="G1171" i="2" s="1"/>
  <c r="E1172" i="2"/>
  <c r="G1172" i="2" s="1"/>
  <c r="E1173" i="2"/>
  <c r="G1173" i="2" s="1"/>
  <c r="E1174" i="2"/>
  <c r="G1174" i="2" s="1"/>
  <c r="E1175" i="2"/>
  <c r="G1175" i="2" s="1"/>
  <c r="E1176" i="2"/>
  <c r="G1176" i="2" s="1"/>
  <c r="E1177" i="2"/>
  <c r="G1177" i="2" s="1"/>
  <c r="E1178" i="2"/>
  <c r="G1178" i="2" s="1"/>
  <c r="E1179" i="2"/>
  <c r="G1179" i="2" s="1"/>
  <c r="E1180" i="2"/>
  <c r="G1180" i="2" s="1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N228" i="3"/>
  <c r="O400" i="26"/>
  <c r="L400" i="26"/>
  <c r="I400" i="26"/>
  <c r="F400" i="26"/>
  <c r="O414" i="26"/>
  <c r="L414" i="26"/>
  <c r="I414" i="26"/>
  <c r="F414" i="26"/>
  <c r="O396" i="26"/>
  <c r="L396" i="26"/>
  <c r="I396" i="26"/>
  <c r="F396" i="26"/>
  <c r="O388" i="26"/>
  <c r="L388" i="26"/>
  <c r="I388" i="26"/>
  <c r="F388" i="26"/>
  <c r="O417" i="26"/>
  <c r="L417" i="26"/>
  <c r="I417" i="26"/>
  <c r="F417" i="26"/>
  <c r="O418" i="26"/>
  <c r="L418" i="26"/>
  <c r="I418" i="26"/>
  <c r="F418" i="26"/>
  <c r="O398" i="26"/>
  <c r="L398" i="26"/>
  <c r="I398" i="26"/>
  <c r="F398" i="26"/>
  <c r="O395" i="26"/>
  <c r="L395" i="26"/>
  <c r="I395" i="26"/>
  <c r="F395" i="26"/>
  <c r="O420" i="26"/>
  <c r="L420" i="26"/>
  <c r="I420" i="26"/>
  <c r="F420" i="26"/>
  <c r="O413" i="26"/>
  <c r="L413" i="26"/>
  <c r="I413" i="26"/>
  <c r="F413" i="26"/>
  <c r="O403" i="26"/>
  <c r="L403" i="26"/>
  <c r="I403" i="26"/>
  <c r="F403" i="26"/>
  <c r="O421" i="26"/>
  <c r="L421" i="26"/>
  <c r="I421" i="26"/>
  <c r="F421" i="26"/>
  <c r="O412" i="26"/>
  <c r="L412" i="26"/>
  <c r="I412" i="26"/>
  <c r="F412" i="26"/>
  <c r="O415" i="26"/>
  <c r="L415" i="26"/>
  <c r="I415" i="26"/>
  <c r="F415" i="26"/>
  <c r="O393" i="26"/>
  <c r="L393" i="26"/>
  <c r="I393" i="26"/>
  <c r="F393" i="26"/>
  <c r="O391" i="26"/>
  <c r="L391" i="26"/>
  <c r="I391" i="26"/>
  <c r="F391" i="26"/>
  <c r="O411" i="26"/>
  <c r="L411" i="26"/>
  <c r="I411" i="26"/>
  <c r="F411" i="26"/>
  <c r="O410" i="26"/>
  <c r="L410" i="26"/>
  <c r="I410" i="26"/>
  <c r="F410" i="26"/>
  <c r="O401" i="26"/>
  <c r="L401" i="26"/>
  <c r="I401" i="26"/>
  <c r="F401" i="26"/>
  <c r="O409" i="26"/>
  <c r="L409" i="26"/>
  <c r="I409" i="26"/>
  <c r="F409" i="26"/>
  <c r="O390" i="26"/>
  <c r="L390" i="26"/>
  <c r="I390" i="26"/>
  <c r="F390" i="26"/>
  <c r="O408" i="26"/>
  <c r="L408" i="26"/>
  <c r="I408" i="26"/>
  <c r="F408" i="26"/>
  <c r="O407" i="26"/>
  <c r="L407" i="26"/>
  <c r="I407" i="26"/>
  <c r="F407" i="26"/>
  <c r="O406" i="26"/>
  <c r="L406" i="26"/>
  <c r="I406" i="26"/>
  <c r="F406" i="26"/>
  <c r="O419" i="26"/>
  <c r="L419" i="26"/>
  <c r="I419" i="26"/>
  <c r="F419" i="26"/>
  <c r="O402" i="26"/>
  <c r="L402" i="26"/>
  <c r="I402" i="26"/>
  <c r="F402" i="26"/>
  <c r="O399" i="26"/>
  <c r="L399" i="26"/>
  <c r="I399" i="26"/>
  <c r="F399" i="26"/>
  <c r="O392" i="26"/>
  <c r="L392" i="26"/>
  <c r="I392" i="26"/>
  <c r="F392" i="26"/>
  <c r="O397" i="26"/>
  <c r="L397" i="26"/>
  <c r="I397" i="26"/>
  <c r="F397" i="26"/>
  <c r="O394" i="26"/>
  <c r="L394" i="26"/>
  <c r="I394" i="26"/>
  <c r="F394" i="26"/>
  <c r="O405" i="26"/>
  <c r="L405" i="26"/>
  <c r="I405" i="26"/>
  <c r="F405" i="26"/>
  <c r="O404" i="26"/>
  <c r="L404" i="26"/>
  <c r="I404" i="26"/>
  <c r="F404" i="26"/>
  <c r="O389" i="26"/>
  <c r="L389" i="26"/>
  <c r="I389" i="26"/>
  <c r="F389" i="26"/>
  <c r="O416" i="26"/>
  <c r="L416" i="26"/>
  <c r="I416" i="26"/>
  <c r="F416" i="26"/>
  <c r="N212" i="30"/>
  <c r="K212" i="30"/>
  <c r="H212" i="30"/>
  <c r="E212" i="30"/>
  <c r="N211" i="30"/>
  <c r="K211" i="30"/>
  <c r="H211" i="30"/>
  <c r="E211" i="30"/>
  <c r="N210" i="30"/>
  <c r="K210" i="30"/>
  <c r="H210" i="30"/>
  <c r="E210" i="30"/>
  <c r="N185" i="30"/>
  <c r="K185" i="30"/>
  <c r="H185" i="30"/>
  <c r="E185" i="30"/>
  <c r="N192" i="30"/>
  <c r="K192" i="30"/>
  <c r="H192" i="30"/>
  <c r="E192" i="30"/>
  <c r="N194" i="30"/>
  <c r="K194" i="30"/>
  <c r="H194" i="30"/>
  <c r="E194" i="30"/>
  <c r="N188" i="30"/>
  <c r="K188" i="30"/>
  <c r="H188" i="30"/>
  <c r="E188" i="30"/>
  <c r="N190" i="30"/>
  <c r="K190" i="30"/>
  <c r="H190" i="30"/>
  <c r="E190" i="30"/>
  <c r="N195" i="30"/>
  <c r="K195" i="30"/>
  <c r="H195" i="30"/>
  <c r="E195" i="30"/>
  <c r="N187" i="30"/>
  <c r="K187" i="30"/>
  <c r="H187" i="30"/>
  <c r="E187" i="30"/>
  <c r="N191" i="30"/>
  <c r="K191" i="30"/>
  <c r="H191" i="30"/>
  <c r="E191" i="30"/>
  <c r="N184" i="30"/>
  <c r="K184" i="30"/>
  <c r="H184" i="30"/>
  <c r="E184" i="30"/>
  <c r="N198" i="30"/>
  <c r="K198" i="30"/>
  <c r="H198" i="30"/>
  <c r="E198" i="30"/>
  <c r="N209" i="30"/>
  <c r="K209" i="30"/>
  <c r="H209" i="30"/>
  <c r="E209" i="30"/>
  <c r="N182" i="30"/>
  <c r="K182" i="30"/>
  <c r="H182" i="30"/>
  <c r="E182" i="30"/>
  <c r="N183" i="30"/>
  <c r="K183" i="30"/>
  <c r="H183" i="30"/>
  <c r="E183" i="30"/>
  <c r="N208" i="30"/>
  <c r="K208" i="30"/>
  <c r="H208" i="30"/>
  <c r="E208" i="30"/>
  <c r="N207" i="30"/>
  <c r="K207" i="30"/>
  <c r="H207" i="30"/>
  <c r="E207" i="30"/>
  <c r="N206" i="30"/>
  <c r="K206" i="30"/>
  <c r="H206" i="30"/>
  <c r="E206" i="30"/>
  <c r="N205" i="30"/>
  <c r="K205" i="30"/>
  <c r="H205" i="30"/>
  <c r="E205" i="30"/>
  <c r="N193" i="30"/>
  <c r="K193" i="30"/>
  <c r="H193" i="30"/>
  <c r="E193" i="30"/>
  <c r="N204" i="30"/>
  <c r="K204" i="30"/>
  <c r="H204" i="30"/>
  <c r="E204" i="30"/>
  <c r="N203" i="30"/>
  <c r="K203" i="30"/>
  <c r="H203" i="30"/>
  <c r="E203" i="30"/>
  <c r="N202" i="30"/>
  <c r="K202" i="30"/>
  <c r="H202" i="30"/>
  <c r="E202" i="30"/>
  <c r="N197" i="30"/>
  <c r="K197" i="30"/>
  <c r="H197" i="30"/>
  <c r="E197" i="30"/>
  <c r="N196" i="30"/>
  <c r="K196" i="30"/>
  <c r="H196" i="30"/>
  <c r="E196" i="30"/>
  <c r="N179" i="30"/>
  <c r="K179" i="30"/>
  <c r="H179" i="30"/>
  <c r="E179" i="30"/>
  <c r="N181" i="30"/>
  <c r="K181" i="30"/>
  <c r="H181" i="30"/>
  <c r="E181" i="30"/>
  <c r="N186" i="30"/>
  <c r="K186" i="30"/>
  <c r="H186" i="30"/>
  <c r="E186" i="30"/>
  <c r="N180" i="30"/>
  <c r="K180" i="30"/>
  <c r="H180" i="30"/>
  <c r="E180" i="30"/>
  <c r="N201" i="30"/>
  <c r="K201" i="30"/>
  <c r="H201" i="30"/>
  <c r="E201" i="30"/>
  <c r="N200" i="30"/>
  <c r="K200" i="30"/>
  <c r="H200" i="30"/>
  <c r="E200" i="30"/>
  <c r="N189" i="30"/>
  <c r="K189" i="30"/>
  <c r="H189" i="30"/>
  <c r="E189" i="30"/>
  <c r="N199" i="30"/>
  <c r="K199" i="30"/>
  <c r="H199" i="30"/>
  <c r="E199" i="30"/>
  <c r="O379" i="26"/>
  <c r="L379" i="26"/>
  <c r="I379" i="26"/>
  <c r="F379" i="26"/>
  <c r="O378" i="26"/>
  <c r="L378" i="26"/>
  <c r="I378" i="26"/>
  <c r="F378" i="26"/>
  <c r="O377" i="26"/>
  <c r="L377" i="26"/>
  <c r="I377" i="26"/>
  <c r="F377" i="26"/>
  <c r="O376" i="26"/>
  <c r="L376" i="26"/>
  <c r="I376" i="26"/>
  <c r="F376" i="26"/>
  <c r="O375" i="26"/>
  <c r="L375" i="26"/>
  <c r="I375" i="26"/>
  <c r="F375" i="26"/>
  <c r="O374" i="26"/>
  <c r="L374" i="26"/>
  <c r="I374" i="26"/>
  <c r="F374" i="26"/>
  <c r="O373" i="26"/>
  <c r="L373" i="26"/>
  <c r="I373" i="26"/>
  <c r="F373" i="26"/>
  <c r="O372" i="26"/>
  <c r="L372" i="26"/>
  <c r="I372" i="26"/>
  <c r="F372" i="26"/>
  <c r="O371" i="26"/>
  <c r="L371" i="26"/>
  <c r="I371" i="26"/>
  <c r="F371" i="26"/>
  <c r="O370" i="26"/>
  <c r="L370" i="26"/>
  <c r="I370" i="26"/>
  <c r="F370" i="26"/>
  <c r="O369" i="26"/>
  <c r="L369" i="26"/>
  <c r="I369" i="26"/>
  <c r="F369" i="26"/>
  <c r="O368" i="26"/>
  <c r="L368" i="26"/>
  <c r="I368" i="26"/>
  <c r="F368" i="26"/>
  <c r="O367" i="26"/>
  <c r="L367" i="26"/>
  <c r="I367" i="26"/>
  <c r="F367" i="26"/>
  <c r="O366" i="26"/>
  <c r="L366" i="26"/>
  <c r="I366" i="26"/>
  <c r="F366" i="26"/>
  <c r="O365" i="26"/>
  <c r="L365" i="26"/>
  <c r="I365" i="26"/>
  <c r="F365" i="26"/>
  <c r="O364" i="26"/>
  <c r="L364" i="26"/>
  <c r="I364" i="26"/>
  <c r="F364" i="26"/>
  <c r="O363" i="26"/>
  <c r="L363" i="26"/>
  <c r="I363" i="26"/>
  <c r="F363" i="26"/>
  <c r="O362" i="26"/>
  <c r="L362" i="26"/>
  <c r="I362" i="26"/>
  <c r="F362" i="26"/>
  <c r="O361" i="26"/>
  <c r="L361" i="26"/>
  <c r="I361" i="26"/>
  <c r="F361" i="26"/>
  <c r="O360" i="26"/>
  <c r="L360" i="26"/>
  <c r="I360" i="26"/>
  <c r="F360" i="26"/>
  <c r="O359" i="26"/>
  <c r="L359" i="26"/>
  <c r="I359" i="26"/>
  <c r="F359" i="26"/>
  <c r="O358" i="26"/>
  <c r="L358" i="26"/>
  <c r="I358" i="26"/>
  <c r="F358" i="26"/>
  <c r="O357" i="26"/>
  <c r="L357" i="26"/>
  <c r="I357" i="26"/>
  <c r="F357" i="26"/>
  <c r="O356" i="26"/>
  <c r="L356" i="26"/>
  <c r="I356" i="26"/>
  <c r="F356" i="26"/>
  <c r="O355" i="26"/>
  <c r="L355" i="26"/>
  <c r="I355" i="26"/>
  <c r="F355" i="26"/>
  <c r="O354" i="26"/>
  <c r="L354" i="26"/>
  <c r="I354" i="26"/>
  <c r="F354" i="26"/>
  <c r="O353" i="26"/>
  <c r="L353" i="26"/>
  <c r="I353" i="26"/>
  <c r="F353" i="26"/>
  <c r="O352" i="26"/>
  <c r="L352" i="26"/>
  <c r="I352" i="26"/>
  <c r="F352" i="26"/>
  <c r="O351" i="26"/>
  <c r="L351" i="26"/>
  <c r="I351" i="26"/>
  <c r="F351" i="26"/>
  <c r="O350" i="26"/>
  <c r="L350" i="26"/>
  <c r="I350" i="26"/>
  <c r="F350" i="26"/>
  <c r="O349" i="26"/>
  <c r="L349" i="26"/>
  <c r="I349" i="26"/>
  <c r="F349" i="26"/>
  <c r="O348" i="26"/>
  <c r="L348" i="26"/>
  <c r="I348" i="26"/>
  <c r="F348" i="26"/>
  <c r="O347" i="26"/>
  <c r="L347" i="26"/>
  <c r="I347" i="26"/>
  <c r="F347" i="26"/>
  <c r="O346" i="26"/>
  <c r="L346" i="26"/>
  <c r="I346" i="26"/>
  <c r="F346" i="26"/>
  <c r="G1199" i="2" l="1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8" i="2"/>
  <c r="G1197" i="2"/>
  <c r="G1196" i="2"/>
  <c r="G1195" i="2"/>
  <c r="G1194" i="2"/>
  <c r="G1193" i="2"/>
  <c r="G1192" i="2"/>
  <c r="G1191" i="2"/>
  <c r="G1190" i="2"/>
  <c r="G1189" i="2"/>
  <c r="G1188" i="2"/>
  <c r="G1187" i="2"/>
  <c r="G1186" i="2"/>
  <c r="G1185" i="2"/>
  <c r="G1184" i="2"/>
  <c r="G1183" i="2"/>
  <c r="G1182" i="2"/>
  <c r="G1181" i="2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80" i="4"/>
  <c r="G1179" i="4"/>
  <c r="G1178" i="4"/>
  <c r="G1177" i="4"/>
  <c r="G1176" i="4"/>
  <c r="G1175" i="4"/>
  <c r="G1174" i="4"/>
  <c r="G1173" i="4"/>
  <c r="G1172" i="4"/>
  <c r="G1171" i="4"/>
  <c r="G1170" i="4"/>
  <c r="G1169" i="4"/>
  <c r="G1168" i="4"/>
  <c r="G1167" i="4"/>
  <c r="G1166" i="4"/>
  <c r="G1165" i="4"/>
  <c r="G1164" i="4"/>
  <c r="G1163" i="4"/>
  <c r="G1162" i="4"/>
  <c r="G1161" i="4"/>
  <c r="G1160" i="4"/>
  <c r="G1159" i="4"/>
  <c r="G1158" i="4"/>
  <c r="G1157" i="4"/>
  <c r="G1156" i="4"/>
  <c r="G1155" i="4"/>
  <c r="G1154" i="4"/>
  <c r="G1153" i="4"/>
  <c r="G1152" i="4"/>
  <c r="G1151" i="4"/>
  <c r="G1150" i="4"/>
  <c r="G1180" i="3"/>
  <c r="G1179" i="3"/>
  <c r="G1178" i="3"/>
  <c r="G1177" i="3"/>
  <c r="G1176" i="3"/>
  <c r="G1175" i="3"/>
  <c r="G1174" i="3"/>
  <c r="G1173" i="3"/>
  <c r="G1172" i="3"/>
  <c r="G1171" i="3"/>
  <c r="G1170" i="3"/>
  <c r="G1169" i="3"/>
  <c r="G1168" i="3"/>
  <c r="G1167" i="3"/>
  <c r="G1166" i="3"/>
  <c r="G1165" i="3"/>
  <c r="G1164" i="3"/>
  <c r="G1163" i="3"/>
  <c r="G1162" i="3"/>
  <c r="G1161" i="3"/>
  <c r="G1160" i="3"/>
  <c r="G1159" i="3"/>
  <c r="G1158" i="3"/>
  <c r="G1157" i="3"/>
  <c r="G1156" i="3"/>
  <c r="G1155" i="3"/>
  <c r="G1154" i="3"/>
  <c r="G1153" i="3"/>
  <c r="G1152" i="3"/>
  <c r="G1151" i="3"/>
  <c r="G1150" i="3"/>
  <c r="G1133" i="4"/>
  <c r="G1132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18" i="3"/>
  <c r="G1117" i="3"/>
  <c r="G1116" i="3"/>
  <c r="G1115" i="3"/>
  <c r="G1114" i="3"/>
  <c r="G1113" i="3"/>
  <c r="G1112" i="3"/>
  <c r="G1111" i="3"/>
  <c r="G1110" i="3"/>
  <c r="G1109" i="3"/>
  <c r="G1108" i="3"/>
  <c r="G1107" i="3"/>
  <c r="G1106" i="3"/>
  <c r="G1105" i="3"/>
  <c r="G1104" i="3"/>
  <c r="G1103" i="3"/>
  <c r="G1102" i="3"/>
  <c r="G1101" i="3"/>
  <c r="G1100" i="3"/>
  <c r="G1099" i="3"/>
  <c r="G1098" i="3"/>
  <c r="G1097" i="3"/>
  <c r="G1096" i="3"/>
  <c r="G1095" i="3"/>
  <c r="G1094" i="3"/>
  <c r="G1093" i="3"/>
  <c r="G1092" i="3"/>
  <c r="G1091" i="3"/>
  <c r="G1090" i="3"/>
  <c r="G1089" i="3"/>
  <c r="G1088" i="3"/>
  <c r="G1149" i="4"/>
  <c r="G1148" i="4"/>
  <c r="G1147" i="4"/>
  <c r="G1146" i="4"/>
  <c r="G1145" i="4"/>
  <c r="G1144" i="4"/>
  <c r="G1143" i="4"/>
  <c r="G1142" i="4"/>
  <c r="G1141" i="4"/>
  <c r="G1140" i="4"/>
  <c r="G1139" i="4"/>
  <c r="G1138" i="4"/>
  <c r="G1137" i="4"/>
  <c r="G1136" i="4"/>
  <c r="G1135" i="4"/>
  <c r="G1134" i="4"/>
  <c r="G1132" i="4"/>
  <c r="G1131" i="4"/>
  <c r="G1130" i="4"/>
  <c r="G1129" i="4"/>
  <c r="G1128" i="4"/>
  <c r="G1127" i="4"/>
  <c r="G1126" i="4"/>
  <c r="G1125" i="4"/>
  <c r="G1124" i="4"/>
  <c r="G1123" i="4"/>
  <c r="G1122" i="4"/>
  <c r="G1121" i="4"/>
  <c r="G1120" i="4"/>
  <c r="G1119" i="4"/>
  <c r="G1149" i="2"/>
  <c r="G1148" i="2"/>
  <c r="G1147" i="2"/>
  <c r="G1146" i="2"/>
  <c r="G1145" i="2"/>
  <c r="G1144" i="2"/>
  <c r="G1143" i="2"/>
  <c r="G1142" i="2"/>
  <c r="G1141" i="2"/>
  <c r="G1140" i="2"/>
  <c r="G1139" i="2"/>
  <c r="G1138" i="2"/>
  <c r="G1137" i="2"/>
  <c r="G1136" i="2"/>
  <c r="G1135" i="2"/>
  <c r="G1134" i="2"/>
  <c r="G1133" i="2"/>
  <c r="G1132" i="2"/>
  <c r="G1131" i="2"/>
  <c r="G1130" i="2"/>
  <c r="G1129" i="2"/>
  <c r="G1128" i="2"/>
  <c r="G1127" i="2"/>
  <c r="G1126" i="2"/>
  <c r="G1125" i="2"/>
  <c r="G1124" i="2"/>
  <c r="G1123" i="2"/>
  <c r="G1122" i="2"/>
  <c r="G1121" i="2"/>
  <c r="G1120" i="2"/>
  <c r="G1119" i="2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428" i="3"/>
  <c r="G1425" i="3"/>
  <c r="G1424" i="3"/>
  <c r="G1423" i="3"/>
  <c r="G1422" i="3"/>
  <c r="G1421" i="3"/>
  <c r="G1420" i="3"/>
  <c r="G1419" i="3"/>
  <c r="G1418" i="3"/>
  <c r="G1417" i="3"/>
  <c r="G1416" i="3"/>
  <c r="G1426" i="3"/>
  <c r="G1427" i="3"/>
  <c r="G1411" i="3"/>
  <c r="G1410" i="3"/>
  <c r="G1409" i="3"/>
  <c r="G1408" i="3"/>
  <c r="G1407" i="3"/>
  <c r="G1406" i="3"/>
  <c r="G1405" i="3"/>
  <c r="G1404" i="3"/>
  <c r="G1403" i="3"/>
  <c r="G1402" i="3"/>
  <c r="G1401" i="3"/>
  <c r="G1400" i="3"/>
  <c r="G1399" i="3"/>
  <c r="G1398" i="3"/>
  <c r="G1415" i="3"/>
  <c r="G1413" i="3"/>
  <c r="G1414" i="3"/>
  <c r="G1412" i="3"/>
  <c r="G1070" i="3"/>
  <c r="G1070" i="4"/>
  <c r="G1068" i="4"/>
  <c r="G1064" i="4"/>
  <c r="G1078" i="1"/>
  <c r="G1078" i="4"/>
  <c r="G1063" i="1"/>
  <c r="G1068" i="1"/>
  <c r="G1084" i="1"/>
  <c r="G1081" i="1"/>
  <c r="G1074" i="4"/>
  <c r="G1087" i="3"/>
  <c r="G1083" i="2"/>
  <c r="G1058" i="1"/>
  <c r="G1061" i="2"/>
  <c r="G1084" i="4"/>
  <c r="G644" i="1"/>
  <c r="O337" i="26" l="1"/>
  <c r="L337" i="26"/>
  <c r="I337" i="26"/>
  <c r="F337" i="26"/>
  <c r="O336" i="26"/>
  <c r="L336" i="26"/>
  <c r="I336" i="26"/>
  <c r="F336" i="26"/>
  <c r="O335" i="26"/>
  <c r="L335" i="26"/>
  <c r="I335" i="26"/>
  <c r="F335" i="26"/>
  <c r="O334" i="26"/>
  <c r="L334" i="26"/>
  <c r="I334" i="26"/>
  <c r="F334" i="26"/>
  <c r="O333" i="26"/>
  <c r="L333" i="26"/>
  <c r="I333" i="26"/>
  <c r="F333" i="26"/>
  <c r="O332" i="26"/>
  <c r="L332" i="26"/>
  <c r="I332" i="26"/>
  <c r="F332" i="26"/>
  <c r="O331" i="26"/>
  <c r="L331" i="26"/>
  <c r="I331" i="26"/>
  <c r="F331" i="26"/>
  <c r="O330" i="26"/>
  <c r="L330" i="26"/>
  <c r="I330" i="26"/>
  <c r="F330" i="26"/>
  <c r="O329" i="26"/>
  <c r="L329" i="26"/>
  <c r="I329" i="26"/>
  <c r="F329" i="26"/>
  <c r="O328" i="26"/>
  <c r="L328" i="26"/>
  <c r="I328" i="26"/>
  <c r="F328" i="26"/>
  <c r="O327" i="26"/>
  <c r="L327" i="26"/>
  <c r="I327" i="26"/>
  <c r="F327" i="26"/>
  <c r="O326" i="26"/>
  <c r="L326" i="26"/>
  <c r="I326" i="26"/>
  <c r="F326" i="26"/>
  <c r="O325" i="26"/>
  <c r="L325" i="26"/>
  <c r="I325" i="26"/>
  <c r="F325" i="26"/>
  <c r="O324" i="26"/>
  <c r="L324" i="26"/>
  <c r="I324" i="26"/>
  <c r="F324" i="26"/>
  <c r="O323" i="26"/>
  <c r="L323" i="26"/>
  <c r="I323" i="26"/>
  <c r="F323" i="26"/>
  <c r="O322" i="26"/>
  <c r="L322" i="26"/>
  <c r="I322" i="26"/>
  <c r="F322" i="26"/>
  <c r="O321" i="26"/>
  <c r="L321" i="26"/>
  <c r="I321" i="26"/>
  <c r="F321" i="26"/>
  <c r="O320" i="26"/>
  <c r="L320" i="26"/>
  <c r="I320" i="26"/>
  <c r="F320" i="26"/>
  <c r="O319" i="26"/>
  <c r="L319" i="26"/>
  <c r="I319" i="26"/>
  <c r="F319" i="26"/>
  <c r="O318" i="26"/>
  <c r="L318" i="26"/>
  <c r="I318" i="26"/>
  <c r="F318" i="26"/>
  <c r="O317" i="26"/>
  <c r="L317" i="26"/>
  <c r="I317" i="26"/>
  <c r="F317" i="26"/>
  <c r="O316" i="26"/>
  <c r="L316" i="26"/>
  <c r="I316" i="26"/>
  <c r="F316" i="26"/>
  <c r="O315" i="26"/>
  <c r="L315" i="26"/>
  <c r="I315" i="26"/>
  <c r="F315" i="26"/>
  <c r="O314" i="26"/>
  <c r="L314" i="26"/>
  <c r="I314" i="26"/>
  <c r="F314" i="26"/>
  <c r="O313" i="26"/>
  <c r="L313" i="26"/>
  <c r="I313" i="26"/>
  <c r="F313" i="26"/>
  <c r="O312" i="26"/>
  <c r="L312" i="26"/>
  <c r="I312" i="26"/>
  <c r="F312" i="26"/>
  <c r="O311" i="26"/>
  <c r="L311" i="26"/>
  <c r="I311" i="26"/>
  <c r="F311" i="26"/>
  <c r="O310" i="26"/>
  <c r="L310" i="26"/>
  <c r="I310" i="26"/>
  <c r="F310" i="26"/>
  <c r="O309" i="26"/>
  <c r="L309" i="26"/>
  <c r="I309" i="26"/>
  <c r="F309" i="26"/>
  <c r="O308" i="26"/>
  <c r="L308" i="26"/>
  <c r="I308" i="26"/>
  <c r="F308" i="26"/>
  <c r="O307" i="26"/>
  <c r="L307" i="26"/>
  <c r="I307" i="26"/>
  <c r="F307" i="26"/>
  <c r="O306" i="26"/>
  <c r="L306" i="26"/>
  <c r="I306" i="26"/>
  <c r="F306" i="26"/>
  <c r="O305" i="26"/>
  <c r="L305" i="26"/>
  <c r="I305" i="26"/>
  <c r="F305" i="26"/>
  <c r="O304" i="26"/>
  <c r="L304" i="26"/>
  <c r="I304" i="26"/>
  <c r="F304" i="26"/>
  <c r="N159" i="30" l="1"/>
  <c r="K159" i="30"/>
  <c r="H159" i="30"/>
  <c r="E159" i="30"/>
  <c r="N157" i="30"/>
  <c r="K157" i="30"/>
  <c r="H157" i="30"/>
  <c r="E157" i="30"/>
  <c r="N163" i="30"/>
  <c r="K163" i="30"/>
  <c r="H163" i="30"/>
  <c r="E163" i="30"/>
  <c r="N167" i="30"/>
  <c r="K167" i="30"/>
  <c r="H167" i="30"/>
  <c r="E167" i="30"/>
  <c r="N146" i="30"/>
  <c r="K146" i="30"/>
  <c r="H146" i="30"/>
  <c r="E146" i="30"/>
  <c r="N166" i="30"/>
  <c r="K166" i="30"/>
  <c r="H166" i="30"/>
  <c r="E166" i="30"/>
  <c r="N162" i="30"/>
  <c r="K162" i="30"/>
  <c r="F162" i="30"/>
  <c r="H162" i="30" s="1"/>
  <c r="E162" i="30"/>
  <c r="N142" i="30"/>
  <c r="K142" i="30"/>
  <c r="H142" i="30"/>
  <c r="E142" i="30"/>
  <c r="N145" i="30"/>
  <c r="K145" i="30"/>
  <c r="H145" i="30"/>
  <c r="E145" i="30"/>
  <c r="N138" i="30"/>
  <c r="K138" i="30"/>
  <c r="H138" i="30"/>
  <c r="E138" i="30"/>
  <c r="N156" i="30"/>
  <c r="K156" i="30"/>
  <c r="H156" i="30"/>
  <c r="E156" i="30"/>
  <c r="N149" i="30"/>
  <c r="K149" i="30"/>
  <c r="H149" i="30"/>
  <c r="E149" i="30"/>
  <c r="N161" i="30"/>
  <c r="K161" i="30"/>
  <c r="H161" i="30"/>
  <c r="E161" i="30"/>
  <c r="N168" i="30"/>
  <c r="K168" i="30"/>
  <c r="H168" i="30"/>
  <c r="E168" i="30"/>
  <c r="N155" i="30"/>
  <c r="K155" i="30"/>
  <c r="H155" i="30"/>
  <c r="E155" i="30"/>
  <c r="N143" i="30"/>
  <c r="K143" i="30"/>
  <c r="F143" i="30"/>
  <c r="H143" i="30" s="1"/>
  <c r="E143" i="30"/>
  <c r="N144" i="30"/>
  <c r="K144" i="30"/>
  <c r="H144" i="30"/>
  <c r="E144" i="30"/>
  <c r="N154" i="30"/>
  <c r="K154" i="30"/>
  <c r="H154" i="30"/>
  <c r="E154" i="30"/>
  <c r="N139" i="30"/>
  <c r="K139" i="30"/>
  <c r="F139" i="30"/>
  <c r="H139" i="30" s="1"/>
  <c r="E139" i="30"/>
  <c r="N153" i="30"/>
  <c r="K153" i="30"/>
  <c r="H153" i="30"/>
  <c r="E153" i="30"/>
  <c r="N165" i="30"/>
  <c r="K165" i="30"/>
  <c r="H165" i="30"/>
  <c r="E165" i="30"/>
  <c r="N137" i="30"/>
  <c r="K137" i="30"/>
  <c r="H137" i="30"/>
  <c r="E137" i="30"/>
  <c r="N158" i="30"/>
  <c r="K158" i="30"/>
  <c r="H158" i="30"/>
  <c r="E158" i="30"/>
  <c r="N152" i="30"/>
  <c r="K152" i="30"/>
  <c r="H152" i="30"/>
  <c r="E152" i="30"/>
  <c r="N169" i="30"/>
  <c r="K169" i="30"/>
  <c r="H169" i="30"/>
  <c r="E169" i="30"/>
  <c r="N148" i="30"/>
  <c r="K148" i="30"/>
  <c r="H148" i="30"/>
  <c r="E148" i="30"/>
  <c r="N141" i="30"/>
  <c r="K141" i="30"/>
  <c r="H141" i="30"/>
  <c r="E141" i="30"/>
  <c r="N170" i="30"/>
  <c r="K170" i="30"/>
  <c r="H170" i="30"/>
  <c r="E170" i="30"/>
  <c r="N147" i="30"/>
  <c r="K147" i="30"/>
  <c r="H147" i="30"/>
  <c r="E147" i="30"/>
  <c r="N140" i="30"/>
  <c r="K140" i="30"/>
  <c r="H140" i="30"/>
  <c r="E140" i="30"/>
  <c r="N151" i="30"/>
  <c r="K151" i="30"/>
  <c r="H151" i="30"/>
  <c r="E151" i="30"/>
  <c r="N150" i="30"/>
  <c r="K150" i="30"/>
  <c r="H150" i="30"/>
  <c r="E150" i="30"/>
  <c r="N164" i="30"/>
  <c r="K164" i="30"/>
  <c r="H164" i="30"/>
  <c r="E164" i="30"/>
  <c r="N160" i="30"/>
  <c r="K160" i="30"/>
  <c r="H160" i="30"/>
  <c r="E160" i="30"/>
  <c r="G277" i="26"/>
  <c r="G280" i="26"/>
  <c r="G289" i="26"/>
  <c r="O295" i="26" l="1"/>
  <c r="L295" i="26"/>
  <c r="I295" i="26"/>
  <c r="F295" i="26"/>
  <c r="O294" i="26"/>
  <c r="L294" i="26"/>
  <c r="I294" i="26"/>
  <c r="F294" i="26"/>
  <c r="O293" i="26"/>
  <c r="L293" i="26"/>
  <c r="I293" i="26"/>
  <c r="F293" i="26"/>
  <c r="O292" i="26"/>
  <c r="L292" i="26"/>
  <c r="I292" i="26"/>
  <c r="F292" i="26"/>
  <c r="O291" i="26"/>
  <c r="L291" i="26"/>
  <c r="I291" i="26"/>
  <c r="F291" i="26"/>
  <c r="O290" i="26"/>
  <c r="L290" i="26"/>
  <c r="I290" i="26"/>
  <c r="F290" i="26"/>
  <c r="O289" i="26"/>
  <c r="L289" i="26"/>
  <c r="I289" i="26"/>
  <c r="F289" i="26"/>
  <c r="O288" i="26"/>
  <c r="L288" i="26"/>
  <c r="I288" i="26"/>
  <c r="F288" i="26"/>
  <c r="O287" i="26"/>
  <c r="L287" i="26"/>
  <c r="I287" i="26"/>
  <c r="F287" i="26"/>
  <c r="O286" i="26"/>
  <c r="L286" i="26"/>
  <c r="I286" i="26"/>
  <c r="F286" i="26"/>
  <c r="O285" i="26"/>
  <c r="L285" i="26"/>
  <c r="I285" i="26"/>
  <c r="F285" i="26"/>
  <c r="O284" i="26"/>
  <c r="L284" i="26"/>
  <c r="I284" i="26"/>
  <c r="F284" i="26"/>
  <c r="O283" i="26"/>
  <c r="L283" i="26"/>
  <c r="I283" i="26"/>
  <c r="F283" i="26"/>
  <c r="O282" i="26"/>
  <c r="L282" i="26"/>
  <c r="I282" i="26"/>
  <c r="F282" i="26"/>
  <c r="O281" i="26"/>
  <c r="L281" i="26"/>
  <c r="I281" i="26"/>
  <c r="F281" i="26"/>
  <c r="O280" i="26"/>
  <c r="L280" i="26"/>
  <c r="I280" i="26"/>
  <c r="F280" i="26"/>
  <c r="O279" i="26"/>
  <c r="L279" i="26"/>
  <c r="I279" i="26"/>
  <c r="F279" i="26"/>
  <c r="O278" i="26"/>
  <c r="L278" i="26"/>
  <c r="I278" i="26"/>
  <c r="F278" i="26"/>
  <c r="O277" i="26"/>
  <c r="L277" i="26"/>
  <c r="I277" i="26"/>
  <c r="F277" i="26"/>
  <c r="O276" i="26"/>
  <c r="L276" i="26"/>
  <c r="I276" i="26"/>
  <c r="F276" i="26"/>
  <c r="O275" i="26"/>
  <c r="L275" i="26"/>
  <c r="I275" i="26"/>
  <c r="F275" i="26"/>
  <c r="O274" i="26"/>
  <c r="L274" i="26"/>
  <c r="I274" i="26"/>
  <c r="F274" i="26"/>
  <c r="O273" i="26"/>
  <c r="L273" i="26"/>
  <c r="I273" i="26"/>
  <c r="F273" i="26"/>
  <c r="O272" i="26"/>
  <c r="L272" i="26"/>
  <c r="I272" i="26"/>
  <c r="F272" i="26"/>
  <c r="O271" i="26"/>
  <c r="L271" i="26"/>
  <c r="I271" i="26"/>
  <c r="F271" i="26"/>
  <c r="O270" i="26"/>
  <c r="L270" i="26"/>
  <c r="I270" i="26"/>
  <c r="F270" i="26"/>
  <c r="O269" i="26"/>
  <c r="L269" i="26"/>
  <c r="I269" i="26"/>
  <c r="F269" i="26"/>
  <c r="O268" i="26"/>
  <c r="L268" i="26"/>
  <c r="I268" i="26"/>
  <c r="F268" i="26"/>
  <c r="O267" i="26"/>
  <c r="L267" i="26"/>
  <c r="I267" i="26"/>
  <c r="F267" i="26"/>
  <c r="O266" i="26"/>
  <c r="L266" i="26"/>
  <c r="I266" i="26"/>
  <c r="F266" i="26"/>
  <c r="O265" i="26"/>
  <c r="L265" i="26"/>
  <c r="I265" i="26"/>
  <c r="F265" i="26"/>
  <c r="O264" i="26"/>
  <c r="L264" i="26"/>
  <c r="I264" i="26"/>
  <c r="F264" i="26"/>
  <c r="O263" i="26"/>
  <c r="L263" i="26"/>
  <c r="I263" i="26"/>
  <c r="F263" i="26"/>
  <c r="O262" i="26"/>
  <c r="L262" i="26"/>
  <c r="I262" i="26"/>
  <c r="F262" i="26"/>
  <c r="N98" i="30"/>
  <c r="K98" i="30"/>
  <c r="H98" i="30"/>
  <c r="E98" i="30"/>
  <c r="N109" i="30"/>
  <c r="K109" i="30"/>
  <c r="H109" i="30"/>
  <c r="E109" i="30"/>
  <c r="N110" i="30"/>
  <c r="K110" i="30"/>
  <c r="H110" i="30"/>
  <c r="E110" i="30"/>
  <c r="N127" i="30"/>
  <c r="K127" i="30"/>
  <c r="H127" i="30"/>
  <c r="E127" i="30"/>
  <c r="N117" i="30"/>
  <c r="K117" i="30"/>
  <c r="H117" i="30"/>
  <c r="E117" i="30"/>
  <c r="N128" i="30"/>
  <c r="K128" i="30"/>
  <c r="H128" i="30"/>
  <c r="E128" i="30"/>
  <c r="N126" i="30"/>
  <c r="K126" i="30"/>
  <c r="H126" i="30"/>
  <c r="E126" i="30"/>
  <c r="N121" i="30"/>
  <c r="K121" i="30"/>
  <c r="H121" i="30"/>
  <c r="E121" i="30"/>
  <c r="N99" i="30"/>
  <c r="K99" i="30"/>
  <c r="H99" i="30"/>
  <c r="E99" i="30"/>
  <c r="N96" i="30"/>
  <c r="K96" i="30"/>
  <c r="H96" i="30"/>
  <c r="E96" i="30"/>
  <c r="N125" i="30"/>
  <c r="K125" i="30"/>
  <c r="H125" i="30"/>
  <c r="E125" i="30"/>
  <c r="N123" i="30"/>
  <c r="K123" i="30"/>
  <c r="H123" i="30"/>
  <c r="E123" i="30"/>
  <c r="N108" i="30"/>
  <c r="K108" i="30"/>
  <c r="H108" i="30"/>
  <c r="E108" i="30"/>
  <c r="N120" i="30"/>
  <c r="K120" i="30"/>
  <c r="H120" i="30"/>
  <c r="E120" i="30"/>
  <c r="N104" i="30"/>
  <c r="K104" i="30"/>
  <c r="H104" i="30"/>
  <c r="E104" i="30"/>
  <c r="N122" i="30"/>
  <c r="K122" i="30"/>
  <c r="H122" i="30"/>
  <c r="E122" i="30"/>
  <c r="N101" i="30"/>
  <c r="K101" i="30"/>
  <c r="H101" i="30"/>
  <c r="E101" i="30"/>
  <c r="N107" i="30"/>
  <c r="K107" i="30"/>
  <c r="H107" i="30"/>
  <c r="E107" i="30"/>
  <c r="N115" i="30"/>
  <c r="K115" i="30"/>
  <c r="H115" i="30"/>
  <c r="E115" i="30"/>
  <c r="N114" i="30"/>
  <c r="K114" i="30"/>
  <c r="H114" i="30"/>
  <c r="E114" i="30"/>
  <c r="N100" i="30"/>
  <c r="K100" i="30"/>
  <c r="H100" i="30"/>
  <c r="E100" i="30"/>
  <c r="N102" i="30"/>
  <c r="K102" i="30"/>
  <c r="H102" i="30"/>
  <c r="E102" i="30"/>
  <c r="N113" i="30"/>
  <c r="K113" i="30"/>
  <c r="H113" i="30"/>
  <c r="E113" i="30"/>
  <c r="N118" i="30"/>
  <c r="K118" i="30"/>
  <c r="H118" i="30"/>
  <c r="E118" i="30"/>
  <c r="N97" i="30"/>
  <c r="K97" i="30"/>
  <c r="H97" i="30"/>
  <c r="E97" i="30"/>
  <c r="N124" i="30"/>
  <c r="K124" i="30"/>
  <c r="H124" i="30"/>
  <c r="E124" i="30"/>
  <c r="N95" i="30"/>
  <c r="K95" i="30"/>
  <c r="H95" i="30"/>
  <c r="E95" i="30"/>
  <c r="N112" i="30"/>
  <c r="K112" i="30"/>
  <c r="H112" i="30"/>
  <c r="E112" i="30"/>
  <c r="N111" i="30"/>
  <c r="K111" i="30"/>
  <c r="H111" i="30"/>
  <c r="E111" i="30"/>
  <c r="N103" i="30"/>
  <c r="K103" i="30"/>
  <c r="H103" i="30"/>
  <c r="E103" i="30"/>
  <c r="N106" i="30"/>
  <c r="K106" i="30"/>
  <c r="H106" i="30"/>
  <c r="E106" i="30"/>
  <c r="N105" i="30"/>
  <c r="K105" i="30"/>
  <c r="H105" i="30"/>
  <c r="E105" i="30"/>
  <c r="N119" i="30"/>
  <c r="K119" i="30"/>
  <c r="H119" i="30"/>
  <c r="E119" i="30"/>
  <c r="N116" i="30"/>
  <c r="K116" i="30"/>
  <c r="H116" i="30"/>
  <c r="E116" i="30"/>
  <c r="O253" i="26" l="1"/>
  <c r="L253" i="26"/>
  <c r="I253" i="26"/>
  <c r="F253" i="26"/>
  <c r="O252" i="26"/>
  <c r="L252" i="26"/>
  <c r="I252" i="26"/>
  <c r="F252" i="26"/>
  <c r="O251" i="26"/>
  <c r="L251" i="26"/>
  <c r="I251" i="26"/>
  <c r="F251" i="26"/>
  <c r="O250" i="26"/>
  <c r="L250" i="26"/>
  <c r="I250" i="26"/>
  <c r="F250" i="26"/>
  <c r="O249" i="26"/>
  <c r="L249" i="26"/>
  <c r="I249" i="26"/>
  <c r="F249" i="26"/>
  <c r="O248" i="26"/>
  <c r="L248" i="26"/>
  <c r="I248" i="26"/>
  <c r="F248" i="26"/>
  <c r="O247" i="26"/>
  <c r="L247" i="26"/>
  <c r="I247" i="26"/>
  <c r="F247" i="26"/>
  <c r="O246" i="26"/>
  <c r="L246" i="26"/>
  <c r="I246" i="26"/>
  <c r="F246" i="26"/>
  <c r="O245" i="26"/>
  <c r="L245" i="26"/>
  <c r="I245" i="26"/>
  <c r="F245" i="26"/>
  <c r="O244" i="26"/>
  <c r="L244" i="26"/>
  <c r="I244" i="26"/>
  <c r="F244" i="26"/>
  <c r="O243" i="26"/>
  <c r="L243" i="26"/>
  <c r="I243" i="26"/>
  <c r="F243" i="26"/>
  <c r="O242" i="26"/>
  <c r="L242" i="26"/>
  <c r="I242" i="26"/>
  <c r="F242" i="26"/>
  <c r="O241" i="26"/>
  <c r="L241" i="26"/>
  <c r="I241" i="26"/>
  <c r="F241" i="26"/>
  <c r="O240" i="26"/>
  <c r="L240" i="26"/>
  <c r="I240" i="26"/>
  <c r="F240" i="26"/>
  <c r="O239" i="26"/>
  <c r="L239" i="26"/>
  <c r="I239" i="26"/>
  <c r="F239" i="26"/>
  <c r="O238" i="26"/>
  <c r="L238" i="26"/>
  <c r="I238" i="26"/>
  <c r="F238" i="26"/>
  <c r="O237" i="26"/>
  <c r="L237" i="26"/>
  <c r="I237" i="26"/>
  <c r="F237" i="26"/>
  <c r="O236" i="26"/>
  <c r="L236" i="26"/>
  <c r="I236" i="26"/>
  <c r="F236" i="26"/>
  <c r="O235" i="26"/>
  <c r="L235" i="26"/>
  <c r="I235" i="26"/>
  <c r="F235" i="26"/>
  <c r="O234" i="26"/>
  <c r="L234" i="26"/>
  <c r="I234" i="26"/>
  <c r="F234" i="26"/>
  <c r="O233" i="26"/>
  <c r="L233" i="26"/>
  <c r="I233" i="26"/>
  <c r="F233" i="26"/>
  <c r="O232" i="26"/>
  <c r="L232" i="26"/>
  <c r="I232" i="26"/>
  <c r="F232" i="26"/>
  <c r="O231" i="26"/>
  <c r="L231" i="26"/>
  <c r="I231" i="26"/>
  <c r="F231" i="26"/>
  <c r="O230" i="26"/>
  <c r="L230" i="26"/>
  <c r="I230" i="26"/>
  <c r="F230" i="26"/>
  <c r="O229" i="26"/>
  <c r="L229" i="26"/>
  <c r="I229" i="26"/>
  <c r="F229" i="26"/>
  <c r="O228" i="26"/>
  <c r="L228" i="26"/>
  <c r="I228" i="26"/>
  <c r="F228" i="26"/>
  <c r="O227" i="26"/>
  <c r="L227" i="26"/>
  <c r="I227" i="26"/>
  <c r="F227" i="26"/>
  <c r="O226" i="26"/>
  <c r="L226" i="26"/>
  <c r="I226" i="26"/>
  <c r="F226" i="26"/>
  <c r="O225" i="26"/>
  <c r="L225" i="26"/>
  <c r="I225" i="26"/>
  <c r="F225" i="26"/>
  <c r="O224" i="26"/>
  <c r="L224" i="26"/>
  <c r="I224" i="26"/>
  <c r="F224" i="26"/>
  <c r="O223" i="26"/>
  <c r="L223" i="26"/>
  <c r="I223" i="26"/>
  <c r="F223" i="26"/>
  <c r="O222" i="26"/>
  <c r="L222" i="26"/>
  <c r="I222" i="26"/>
  <c r="F222" i="26"/>
  <c r="O221" i="26"/>
  <c r="L221" i="26"/>
  <c r="I221" i="26"/>
  <c r="F221" i="26"/>
  <c r="O220" i="26"/>
  <c r="L220" i="26"/>
  <c r="I220" i="26"/>
  <c r="F220" i="26"/>
  <c r="N76" i="30"/>
  <c r="K76" i="30"/>
  <c r="H76" i="30"/>
  <c r="E76" i="30"/>
  <c r="N73" i="30"/>
  <c r="K73" i="30"/>
  <c r="H73" i="30"/>
  <c r="E73" i="30"/>
  <c r="N66" i="30"/>
  <c r="K66" i="30"/>
  <c r="H66" i="30"/>
  <c r="E66" i="30"/>
  <c r="N53" i="30"/>
  <c r="K53" i="30"/>
  <c r="H53" i="30"/>
  <c r="E53" i="30"/>
  <c r="N62" i="30"/>
  <c r="K62" i="30"/>
  <c r="H62" i="30"/>
  <c r="E62" i="30"/>
  <c r="N59" i="30"/>
  <c r="K59" i="30"/>
  <c r="H59" i="30"/>
  <c r="E59" i="30"/>
  <c r="N77" i="30"/>
  <c r="K77" i="30"/>
  <c r="H77" i="30"/>
  <c r="E77" i="30"/>
  <c r="N55" i="30"/>
  <c r="K55" i="30"/>
  <c r="H55" i="30"/>
  <c r="E55" i="30"/>
  <c r="N65" i="30"/>
  <c r="K65" i="30"/>
  <c r="H65" i="30"/>
  <c r="E65" i="30"/>
  <c r="N54" i="30"/>
  <c r="K54" i="30"/>
  <c r="H54" i="30"/>
  <c r="E54" i="30"/>
  <c r="N78" i="30"/>
  <c r="K78" i="30"/>
  <c r="H78" i="30"/>
  <c r="E78" i="30"/>
  <c r="N58" i="30"/>
  <c r="K58" i="30"/>
  <c r="H58" i="30"/>
  <c r="E58" i="30"/>
  <c r="N72" i="30"/>
  <c r="K72" i="30"/>
  <c r="H72" i="30"/>
  <c r="E72" i="30"/>
  <c r="N71" i="30"/>
  <c r="K71" i="30"/>
  <c r="H71" i="30"/>
  <c r="E71" i="30"/>
  <c r="N84" i="30"/>
  <c r="K84" i="30"/>
  <c r="H84" i="30"/>
  <c r="E84" i="30"/>
  <c r="N56" i="30"/>
  <c r="K56" i="30"/>
  <c r="H56" i="30"/>
  <c r="E56" i="30"/>
  <c r="N63" i="30"/>
  <c r="K63" i="30"/>
  <c r="H63" i="30"/>
  <c r="E63" i="30"/>
  <c r="N70" i="30"/>
  <c r="K70" i="30"/>
  <c r="H70" i="30"/>
  <c r="E70" i="30"/>
  <c r="N80" i="30"/>
  <c r="K80" i="30"/>
  <c r="H80" i="30"/>
  <c r="E80" i="30"/>
  <c r="N79" i="30"/>
  <c r="K79" i="30"/>
  <c r="H79" i="30"/>
  <c r="E79" i="30"/>
  <c r="N82" i="30"/>
  <c r="K82" i="30"/>
  <c r="H82" i="30"/>
  <c r="E82" i="30"/>
  <c r="N57" i="30"/>
  <c r="K57" i="30"/>
  <c r="H57" i="30"/>
  <c r="E57" i="30"/>
  <c r="N69" i="30"/>
  <c r="K69" i="30"/>
  <c r="H69" i="30"/>
  <c r="E69" i="30"/>
  <c r="N81" i="30"/>
  <c r="K81" i="30"/>
  <c r="H81" i="30"/>
  <c r="E81" i="30"/>
  <c r="N85" i="30"/>
  <c r="K85" i="30"/>
  <c r="H85" i="30"/>
  <c r="E85" i="30"/>
  <c r="N74" i="30"/>
  <c r="K74" i="30"/>
  <c r="H74" i="30"/>
  <c r="E74" i="30"/>
  <c r="N60" i="30"/>
  <c r="K60" i="30"/>
  <c r="H60" i="30"/>
  <c r="E60" i="30"/>
  <c r="N61" i="30"/>
  <c r="K61" i="30"/>
  <c r="H61" i="30"/>
  <c r="E61" i="30"/>
  <c r="N64" i="30"/>
  <c r="K64" i="30"/>
  <c r="H64" i="30"/>
  <c r="E64" i="30"/>
  <c r="N86" i="30"/>
  <c r="K86" i="30"/>
  <c r="H86" i="30"/>
  <c r="E86" i="30"/>
  <c r="N68" i="30"/>
  <c r="K68" i="30"/>
  <c r="H68" i="30"/>
  <c r="E68" i="30"/>
  <c r="N67" i="30"/>
  <c r="K67" i="30"/>
  <c r="H67" i="30"/>
  <c r="E67" i="30"/>
  <c r="N83" i="30"/>
  <c r="K83" i="30"/>
  <c r="H83" i="30"/>
  <c r="E83" i="30"/>
  <c r="N75" i="30"/>
  <c r="K75" i="30"/>
  <c r="H75" i="30"/>
  <c r="E75" i="30"/>
  <c r="O211" i="26" l="1"/>
  <c r="L211" i="26"/>
  <c r="I211" i="26"/>
  <c r="F211" i="26"/>
  <c r="O210" i="26"/>
  <c r="L210" i="26"/>
  <c r="I210" i="26"/>
  <c r="F210" i="26"/>
  <c r="O209" i="26"/>
  <c r="L209" i="26"/>
  <c r="I209" i="26"/>
  <c r="F209" i="26"/>
  <c r="O208" i="26"/>
  <c r="L208" i="26"/>
  <c r="I208" i="26"/>
  <c r="F208" i="26"/>
  <c r="O207" i="26"/>
  <c r="L207" i="26"/>
  <c r="I207" i="26"/>
  <c r="F207" i="26"/>
  <c r="O206" i="26"/>
  <c r="L206" i="26"/>
  <c r="I206" i="26"/>
  <c r="F206" i="26"/>
  <c r="O205" i="26"/>
  <c r="L205" i="26"/>
  <c r="I205" i="26"/>
  <c r="F205" i="26"/>
  <c r="O204" i="26"/>
  <c r="L204" i="26"/>
  <c r="I204" i="26"/>
  <c r="F204" i="26"/>
  <c r="O203" i="26"/>
  <c r="L203" i="26"/>
  <c r="I203" i="26"/>
  <c r="F203" i="26"/>
  <c r="O202" i="26"/>
  <c r="L202" i="26"/>
  <c r="I202" i="26"/>
  <c r="F202" i="26"/>
  <c r="O201" i="26"/>
  <c r="L201" i="26"/>
  <c r="I201" i="26"/>
  <c r="F201" i="26"/>
  <c r="O200" i="26"/>
  <c r="L200" i="26"/>
  <c r="I200" i="26"/>
  <c r="F200" i="26"/>
  <c r="O199" i="26"/>
  <c r="L199" i="26"/>
  <c r="I199" i="26"/>
  <c r="F199" i="26"/>
  <c r="O198" i="26"/>
  <c r="L198" i="26"/>
  <c r="I198" i="26"/>
  <c r="F198" i="26"/>
  <c r="O197" i="26"/>
  <c r="L197" i="26"/>
  <c r="I197" i="26"/>
  <c r="F197" i="26"/>
  <c r="O196" i="26"/>
  <c r="L196" i="26"/>
  <c r="I196" i="26"/>
  <c r="F196" i="26"/>
  <c r="O195" i="26"/>
  <c r="L195" i="26"/>
  <c r="I195" i="26"/>
  <c r="F195" i="26"/>
  <c r="O194" i="26"/>
  <c r="L194" i="26"/>
  <c r="I194" i="26"/>
  <c r="F194" i="26"/>
  <c r="O193" i="26"/>
  <c r="L193" i="26"/>
  <c r="I193" i="26"/>
  <c r="F193" i="26"/>
  <c r="O192" i="26"/>
  <c r="L192" i="26"/>
  <c r="I192" i="26"/>
  <c r="F192" i="26"/>
  <c r="O191" i="26"/>
  <c r="L191" i="26"/>
  <c r="I191" i="26"/>
  <c r="F191" i="26"/>
  <c r="O190" i="26"/>
  <c r="L190" i="26"/>
  <c r="I190" i="26"/>
  <c r="F190" i="26"/>
  <c r="O189" i="26"/>
  <c r="L189" i="26"/>
  <c r="I189" i="26"/>
  <c r="F189" i="26"/>
  <c r="O188" i="26"/>
  <c r="L188" i="26"/>
  <c r="I188" i="26"/>
  <c r="F188" i="26"/>
  <c r="O187" i="26"/>
  <c r="L187" i="26"/>
  <c r="I187" i="26"/>
  <c r="F187" i="26"/>
  <c r="O186" i="26"/>
  <c r="L186" i="26"/>
  <c r="I186" i="26"/>
  <c r="F186" i="26"/>
  <c r="O185" i="26"/>
  <c r="L185" i="26"/>
  <c r="I185" i="26"/>
  <c r="F185" i="26"/>
  <c r="O184" i="26"/>
  <c r="L184" i="26"/>
  <c r="I184" i="26"/>
  <c r="F184" i="26"/>
  <c r="O183" i="26"/>
  <c r="L183" i="26"/>
  <c r="I183" i="26"/>
  <c r="F183" i="26"/>
  <c r="O182" i="26"/>
  <c r="L182" i="26"/>
  <c r="I182" i="26"/>
  <c r="F182" i="26"/>
  <c r="O181" i="26"/>
  <c r="L181" i="26"/>
  <c r="I181" i="26"/>
  <c r="F181" i="26"/>
  <c r="O180" i="26"/>
  <c r="L180" i="26"/>
  <c r="I180" i="26"/>
  <c r="F180" i="26"/>
  <c r="O179" i="26"/>
  <c r="L179" i="26"/>
  <c r="I179" i="26"/>
  <c r="F179" i="26"/>
  <c r="O178" i="26"/>
  <c r="L178" i="26"/>
  <c r="I178" i="26"/>
  <c r="F178" i="26"/>
  <c r="N44" i="30"/>
  <c r="K44" i="30"/>
  <c r="H44" i="30"/>
  <c r="E44" i="30"/>
  <c r="N43" i="30"/>
  <c r="K43" i="30"/>
  <c r="H43" i="30"/>
  <c r="E43" i="30"/>
  <c r="N42" i="30"/>
  <c r="K42" i="30"/>
  <c r="H42" i="30"/>
  <c r="E42" i="30"/>
  <c r="N41" i="30"/>
  <c r="K41" i="30"/>
  <c r="H41" i="30"/>
  <c r="E41" i="30"/>
  <c r="N40" i="30"/>
  <c r="K40" i="30"/>
  <c r="H40" i="30"/>
  <c r="E40" i="30"/>
  <c r="N39" i="30"/>
  <c r="K39" i="30"/>
  <c r="H39" i="30"/>
  <c r="E39" i="30"/>
  <c r="N38" i="30"/>
  <c r="K38" i="30"/>
  <c r="H38" i="30"/>
  <c r="E38" i="30"/>
  <c r="N37" i="30"/>
  <c r="K37" i="30"/>
  <c r="H37" i="30"/>
  <c r="E37" i="30"/>
  <c r="N36" i="30"/>
  <c r="K36" i="30"/>
  <c r="H36" i="30"/>
  <c r="E36" i="30"/>
  <c r="N35" i="30"/>
  <c r="K35" i="30"/>
  <c r="H35" i="30"/>
  <c r="E35" i="30"/>
  <c r="N34" i="30"/>
  <c r="K34" i="30"/>
  <c r="H34" i="30"/>
  <c r="E34" i="30"/>
  <c r="N33" i="30"/>
  <c r="K33" i="30"/>
  <c r="H33" i="30"/>
  <c r="E33" i="30"/>
  <c r="N32" i="30"/>
  <c r="K32" i="30"/>
  <c r="H32" i="30"/>
  <c r="E32" i="30"/>
  <c r="N31" i="30"/>
  <c r="K31" i="30"/>
  <c r="H31" i="30"/>
  <c r="E31" i="30"/>
  <c r="N30" i="30"/>
  <c r="K30" i="30"/>
  <c r="H30" i="30"/>
  <c r="E30" i="30"/>
  <c r="N29" i="30"/>
  <c r="K29" i="30"/>
  <c r="H29" i="30"/>
  <c r="E29" i="30"/>
  <c r="N28" i="30"/>
  <c r="K28" i="30"/>
  <c r="H28" i="30"/>
  <c r="E28" i="30"/>
  <c r="N27" i="30"/>
  <c r="K27" i="30"/>
  <c r="H27" i="30"/>
  <c r="E27" i="30"/>
  <c r="N26" i="30"/>
  <c r="K26" i="30"/>
  <c r="H26" i="30"/>
  <c r="E26" i="30"/>
  <c r="N25" i="30"/>
  <c r="K25" i="30"/>
  <c r="H25" i="30"/>
  <c r="E25" i="30"/>
  <c r="N24" i="30"/>
  <c r="K24" i="30"/>
  <c r="H24" i="30"/>
  <c r="E24" i="30"/>
  <c r="N23" i="30"/>
  <c r="K23" i="30"/>
  <c r="H23" i="30"/>
  <c r="E23" i="30"/>
  <c r="N22" i="30"/>
  <c r="K22" i="30"/>
  <c r="H22" i="30"/>
  <c r="E22" i="30"/>
  <c r="N21" i="30"/>
  <c r="K21" i="30"/>
  <c r="H21" i="30"/>
  <c r="E21" i="30"/>
  <c r="N20" i="30"/>
  <c r="K20" i="30"/>
  <c r="H20" i="30"/>
  <c r="E20" i="30"/>
  <c r="N19" i="30"/>
  <c r="K19" i="30"/>
  <c r="H19" i="30"/>
  <c r="E19" i="30"/>
  <c r="N18" i="30"/>
  <c r="K18" i="30"/>
  <c r="H18" i="30"/>
  <c r="E18" i="30"/>
  <c r="N17" i="30"/>
  <c r="K17" i="30"/>
  <c r="H17" i="30"/>
  <c r="E17" i="30"/>
  <c r="N16" i="30"/>
  <c r="K16" i="30"/>
  <c r="H16" i="30"/>
  <c r="E16" i="30"/>
  <c r="N15" i="30"/>
  <c r="K15" i="30"/>
  <c r="H15" i="30"/>
  <c r="E15" i="30"/>
  <c r="N14" i="30"/>
  <c r="K14" i="30"/>
  <c r="H14" i="30"/>
  <c r="E14" i="30"/>
  <c r="N13" i="30"/>
  <c r="K13" i="30"/>
  <c r="H13" i="30"/>
  <c r="E13" i="30"/>
  <c r="N12" i="30"/>
  <c r="K12" i="30"/>
  <c r="H12" i="30"/>
  <c r="E12" i="30"/>
  <c r="N11" i="30"/>
  <c r="K11" i="30"/>
  <c r="H11" i="30"/>
  <c r="E11" i="30"/>
  <c r="I139" i="26" l="1"/>
  <c r="I142" i="26"/>
  <c r="I143" i="26"/>
  <c r="I144" i="26"/>
  <c r="I145" i="26"/>
  <c r="I146" i="26"/>
  <c r="I147" i="26"/>
  <c r="I148" i="26"/>
  <c r="I151" i="26"/>
  <c r="I154" i="26"/>
  <c r="I156" i="26"/>
  <c r="I157" i="26"/>
  <c r="I158" i="26"/>
  <c r="I159" i="26"/>
  <c r="I160" i="26"/>
  <c r="I162" i="26"/>
  <c r="I163" i="26"/>
  <c r="I166" i="26"/>
  <c r="I168" i="26"/>
  <c r="I169" i="26"/>
  <c r="O169" i="26"/>
  <c r="L169" i="26"/>
  <c r="F169" i="26"/>
  <c r="O168" i="26"/>
  <c r="L168" i="26"/>
  <c r="F168" i="26"/>
  <c r="O167" i="26"/>
  <c r="L167" i="26"/>
  <c r="I167" i="26"/>
  <c r="F167" i="26"/>
  <c r="O166" i="26"/>
  <c r="L166" i="26"/>
  <c r="F166" i="26"/>
  <c r="O165" i="26"/>
  <c r="L165" i="26"/>
  <c r="I165" i="26"/>
  <c r="F165" i="26"/>
  <c r="O164" i="26"/>
  <c r="L164" i="26"/>
  <c r="I164" i="26"/>
  <c r="F164" i="26"/>
  <c r="O163" i="26"/>
  <c r="L163" i="26"/>
  <c r="F163" i="26"/>
  <c r="O162" i="26"/>
  <c r="L162" i="26"/>
  <c r="F162" i="26"/>
  <c r="O161" i="26"/>
  <c r="L161" i="26"/>
  <c r="I161" i="26"/>
  <c r="F161" i="26"/>
  <c r="O160" i="26"/>
  <c r="L160" i="26"/>
  <c r="F160" i="26"/>
  <c r="O159" i="26"/>
  <c r="L159" i="26"/>
  <c r="F159" i="26"/>
  <c r="O158" i="26"/>
  <c r="L158" i="26"/>
  <c r="F158" i="26"/>
  <c r="O157" i="26"/>
  <c r="L157" i="26"/>
  <c r="F157" i="26"/>
  <c r="O156" i="26"/>
  <c r="L156" i="26"/>
  <c r="F156" i="26"/>
  <c r="O155" i="26"/>
  <c r="L155" i="26"/>
  <c r="I155" i="26"/>
  <c r="F155" i="26"/>
  <c r="O154" i="26"/>
  <c r="L154" i="26"/>
  <c r="F154" i="26"/>
  <c r="O153" i="26"/>
  <c r="L153" i="26"/>
  <c r="I153" i="26"/>
  <c r="F153" i="26"/>
  <c r="O152" i="26"/>
  <c r="L152" i="26"/>
  <c r="I152" i="26"/>
  <c r="F152" i="26"/>
  <c r="O151" i="26"/>
  <c r="L151" i="26"/>
  <c r="F151" i="26"/>
  <c r="O150" i="26"/>
  <c r="L150" i="26"/>
  <c r="I150" i="26"/>
  <c r="F150" i="26"/>
  <c r="O149" i="26"/>
  <c r="L149" i="26"/>
  <c r="I149" i="26"/>
  <c r="F149" i="26"/>
  <c r="O148" i="26"/>
  <c r="L148" i="26"/>
  <c r="F148" i="26"/>
  <c r="O147" i="26"/>
  <c r="L147" i="26"/>
  <c r="F147" i="26"/>
  <c r="O146" i="26"/>
  <c r="L146" i="26"/>
  <c r="F146" i="26"/>
  <c r="O145" i="26"/>
  <c r="L145" i="26"/>
  <c r="F145" i="26"/>
  <c r="O144" i="26"/>
  <c r="L144" i="26"/>
  <c r="F144" i="26"/>
  <c r="O143" i="26"/>
  <c r="L143" i="26"/>
  <c r="F143" i="26"/>
  <c r="O142" i="26"/>
  <c r="L142" i="26"/>
  <c r="F142" i="26"/>
  <c r="O141" i="26"/>
  <c r="L141" i="26"/>
  <c r="I141" i="26"/>
  <c r="F141" i="26"/>
  <c r="O140" i="26"/>
  <c r="L140" i="26"/>
  <c r="I140" i="26"/>
  <c r="F140" i="26"/>
  <c r="O139" i="26"/>
  <c r="L139" i="26"/>
  <c r="F139" i="26"/>
  <c r="O138" i="26"/>
  <c r="L138" i="26"/>
  <c r="I138" i="26"/>
  <c r="F138" i="26"/>
  <c r="O137" i="26"/>
  <c r="L137" i="26"/>
  <c r="I137" i="26"/>
  <c r="F137" i="26"/>
  <c r="O136" i="26"/>
  <c r="L136" i="26"/>
  <c r="I136" i="26"/>
  <c r="F136" i="26"/>
  <c r="O126" i="26" l="1"/>
  <c r="L126" i="26"/>
  <c r="I126" i="26"/>
  <c r="F126" i="26"/>
  <c r="O125" i="26"/>
  <c r="L125" i="26"/>
  <c r="I125" i="26"/>
  <c r="F125" i="26"/>
  <c r="O124" i="26"/>
  <c r="L124" i="26"/>
  <c r="I124" i="26"/>
  <c r="F124" i="26"/>
  <c r="O123" i="26"/>
  <c r="L123" i="26"/>
  <c r="I123" i="26"/>
  <c r="F123" i="26"/>
  <c r="O122" i="26"/>
  <c r="L122" i="26"/>
  <c r="I122" i="26"/>
  <c r="F122" i="26"/>
  <c r="O121" i="26"/>
  <c r="L121" i="26"/>
  <c r="I121" i="26"/>
  <c r="F121" i="26"/>
  <c r="O120" i="26"/>
  <c r="L120" i="26"/>
  <c r="I120" i="26"/>
  <c r="F120" i="26"/>
  <c r="O119" i="26"/>
  <c r="L119" i="26"/>
  <c r="I119" i="26"/>
  <c r="F119" i="26"/>
  <c r="O118" i="26"/>
  <c r="L118" i="26"/>
  <c r="I118" i="26"/>
  <c r="F118" i="26"/>
  <c r="O117" i="26"/>
  <c r="L117" i="26"/>
  <c r="I117" i="26"/>
  <c r="F117" i="26"/>
  <c r="O116" i="26"/>
  <c r="L116" i="26"/>
  <c r="I116" i="26"/>
  <c r="F116" i="26"/>
  <c r="O115" i="26"/>
  <c r="L115" i="26"/>
  <c r="I115" i="26"/>
  <c r="F115" i="26"/>
  <c r="O114" i="26"/>
  <c r="L114" i="26"/>
  <c r="I114" i="26"/>
  <c r="F114" i="26"/>
  <c r="O113" i="26"/>
  <c r="L113" i="26"/>
  <c r="I113" i="26"/>
  <c r="F113" i="26"/>
  <c r="O112" i="26"/>
  <c r="L112" i="26"/>
  <c r="I112" i="26"/>
  <c r="F112" i="26"/>
  <c r="O111" i="26"/>
  <c r="L111" i="26"/>
  <c r="I111" i="26"/>
  <c r="F111" i="26"/>
  <c r="O110" i="26"/>
  <c r="L110" i="26"/>
  <c r="I110" i="26"/>
  <c r="F110" i="26"/>
  <c r="O109" i="26"/>
  <c r="L109" i="26"/>
  <c r="I109" i="26"/>
  <c r="F109" i="26"/>
  <c r="O108" i="26"/>
  <c r="L108" i="26"/>
  <c r="I108" i="26"/>
  <c r="F108" i="26"/>
  <c r="O107" i="26"/>
  <c r="L107" i="26"/>
  <c r="I107" i="26"/>
  <c r="F107" i="26"/>
  <c r="O106" i="26"/>
  <c r="L106" i="26"/>
  <c r="I106" i="26"/>
  <c r="F106" i="26"/>
  <c r="O105" i="26"/>
  <c r="L105" i="26"/>
  <c r="I105" i="26"/>
  <c r="F105" i="26"/>
  <c r="O104" i="26"/>
  <c r="L104" i="26"/>
  <c r="I104" i="26"/>
  <c r="F104" i="26"/>
  <c r="O103" i="26"/>
  <c r="L103" i="26"/>
  <c r="I103" i="26"/>
  <c r="F103" i="26"/>
  <c r="O102" i="26"/>
  <c r="L102" i="26"/>
  <c r="I102" i="26"/>
  <c r="F102" i="26"/>
  <c r="O101" i="26"/>
  <c r="L101" i="26"/>
  <c r="I101" i="26"/>
  <c r="F101" i="26"/>
  <c r="O100" i="26"/>
  <c r="L100" i="26"/>
  <c r="I100" i="26"/>
  <c r="F100" i="26"/>
  <c r="O99" i="26"/>
  <c r="L99" i="26"/>
  <c r="I99" i="26"/>
  <c r="F99" i="26"/>
  <c r="O98" i="26"/>
  <c r="L98" i="26"/>
  <c r="I98" i="26"/>
  <c r="F98" i="26"/>
  <c r="O97" i="26"/>
  <c r="L97" i="26"/>
  <c r="I97" i="26"/>
  <c r="F97" i="26"/>
  <c r="O96" i="26"/>
  <c r="L96" i="26"/>
  <c r="I96" i="26"/>
  <c r="F96" i="26"/>
  <c r="O95" i="26"/>
  <c r="L95" i="26"/>
  <c r="I95" i="26"/>
  <c r="F95" i="26"/>
  <c r="O94" i="26"/>
  <c r="L94" i="26"/>
  <c r="I94" i="26"/>
  <c r="F94" i="26"/>
  <c r="O93" i="26"/>
  <c r="L93" i="26"/>
  <c r="I93" i="26"/>
  <c r="F93" i="26"/>
  <c r="O53" i="26" l="1"/>
  <c r="L53" i="26"/>
  <c r="I53" i="26"/>
  <c r="F53" i="26"/>
  <c r="O72" i="26"/>
  <c r="L72" i="26"/>
  <c r="I72" i="26"/>
  <c r="F72" i="26"/>
  <c r="O78" i="26"/>
  <c r="L78" i="26"/>
  <c r="I78" i="26"/>
  <c r="F78" i="26"/>
  <c r="O54" i="26"/>
  <c r="L54" i="26"/>
  <c r="I54" i="26"/>
  <c r="F54" i="26"/>
  <c r="O51" i="26"/>
  <c r="L51" i="26"/>
  <c r="I51" i="26"/>
  <c r="F51" i="26"/>
  <c r="O56" i="26"/>
  <c r="L56" i="26"/>
  <c r="I56" i="26"/>
  <c r="F56" i="26"/>
  <c r="O58" i="26"/>
  <c r="L58" i="26"/>
  <c r="I58" i="26"/>
  <c r="F58" i="26"/>
  <c r="O65" i="26"/>
  <c r="L65" i="26"/>
  <c r="I65" i="26"/>
  <c r="F65" i="26"/>
  <c r="O73" i="26"/>
  <c r="L73" i="26"/>
  <c r="I73" i="26"/>
  <c r="F73" i="26"/>
  <c r="O59" i="26"/>
  <c r="L59" i="26"/>
  <c r="I59" i="26"/>
  <c r="F59" i="26"/>
  <c r="O67" i="26"/>
  <c r="L67" i="26"/>
  <c r="I67" i="26"/>
  <c r="F67" i="26"/>
  <c r="O68" i="26"/>
  <c r="L68" i="26"/>
  <c r="I68" i="26"/>
  <c r="F68" i="26"/>
  <c r="O69" i="26"/>
  <c r="L69" i="26"/>
  <c r="I69" i="26"/>
  <c r="F69" i="26"/>
  <c r="O82" i="26"/>
  <c r="L82" i="26"/>
  <c r="I82" i="26"/>
  <c r="F82" i="26"/>
  <c r="O83" i="26"/>
  <c r="L83" i="26"/>
  <c r="I83" i="26"/>
  <c r="F83" i="26"/>
  <c r="O63" i="26"/>
  <c r="L63" i="26"/>
  <c r="I63" i="26"/>
  <c r="F63" i="26"/>
  <c r="O66" i="26"/>
  <c r="L66" i="26"/>
  <c r="I66" i="26"/>
  <c r="F66" i="26"/>
  <c r="O50" i="26"/>
  <c r="L50" i="26"/>
  <c r="I50" i="26"/>
  <c r="F50" i="26"/>
  <c r="O79" i="26"/>
  <c r="L79" i="26"/>
  <c r="I79" i="26"/>
  <c r="F79" i="26"/>
  <c r="O74" i="26"/>
  <c r="L74" i="26"/>
  <c r="I74" i="26"/>
  <c r="F74" i="26"/>
  <c r="O57" i="26"/>
  <c r="L57" i="26"/>
  <c r="I57" i="26"/>
  <c r="F57" i="26"/>
  <c r="O80" i="26"/>
  <c r="L80" i="26"/>
  <c r="I80" i="26"/>
  <c r="F80" i="26"/>
  <c r="O76" i="26"/>
  <c r="L76" i="26"/>
  <c r="I76" i="26"/>
  <c r="F76" i="26"/>
  <c r="O75" i="26"/>
  <c r="L75" i="26"/>
  <c r="I75" i="26"/>
  <c r="F75" i="26"/>
  <c r="O77" i="26"/>
  <c r="L77" i="26"/>
  <c r="I77" i="26"/>
  <c r="F77" i="26"/>
  <c r="O55" i="26"/>
  <c r="L55" i="26"/>
  <c r="I55" i="26"/>
  <c r="F55" i="26"/>
  <c r="O60" i="26"/>
  <c r="L60" i="26"/>
  <c r="I60" i="26"/>
  <c r="F60" i="26"/>
  <c r="O81" i="26"/>
  <c r="L81" i="26"/>
  <c r="I81" i="26"/>
  <c r="F81" i="26"/>
  <c r="O71" i="26"/>
  <c r="L71" i="26"/>
  <c r="I71" i="26"/>
  <c r="F71" i="26"/>
  <c r="O70" i="26"/>
  <c r="L70" i="26"/>
  <c r="I70" i="26"/>
  <c r="F70" i="26"/>
  <c r="O64" i="26"/>
  <c r="L64" i="26"/>
  <c r="I64" i="26"/>
  <c r="F64" i="26"/>
  <c r="O62" i="26"/>
  <c r="L62" i="26"/>
  <c r="I62" i="26"/>
  <c r="F62" i="26"/>
  <c r="O61" i="26"/>
  <c r="L61" i="26"/>
  <c r="I61" i="26"/>
  <c r="F61" i="26"/>
  <c r="O52" i="26"/>
  <c r="L52" i="26"/>
  <c r="I52" i="26"/>
  <c r="F52" i="26"/>
  <c r="O27" i="26" l="1"/>
  <c r="L27" i="26"/>
  <c r="I27" i="26"/>
  <c r="F27" i="26"/>
  <c r="O28" i="26"/>
  <c r="L28" i="26"/>
  <c r="I28" i="26"/>
  <c r="F28" i="26"/>
  <c r="O14" i="26"/>
  <c r="L14" i="26"/>
  <c r="I14" i="26"/>
  <c r="F14" i="26"/>
  <c r="O20" i="26"/>
  <c r="L20" i="26"/>
  <c r="I20" i="26"/>
  <c r="F20" i="26"/>
  <c r="O23" i="26"/>
  <c r="L23" i="26"/>
  <c r="I23" i="26"/>
  <c r="F23" i="26"/>
  <c r="O39" i="26"/>
  <c r="L39" i="26"/>
  <c r="I39" i="26"/>
  <c r="F39" i="26"/>
  <c r="O17" i="26"/>
  <c r="L17" i="26"/>
  <c r="I17" i="26"/>
  <c r="F17" i="26"/>
  <c r="O19" i="26"/>
  <c r="L19" i="26"/>
  <c r="I19" i="26"/>
  <c r="F19" i="26"/>
  <c r="O18" i="26"/>
  <c r="L18" i="26"/>
  <c r="I18" i="26"/>
  <c r="F18" i="26"/>
  <c r="O22" i="26"/>
  <c r="L22" i="26"/>
  <c r="I22" i="26"/>
  <c r="F22" i="26"/>
  <c r="O33" i="26"/>
  <c r="L33" i="26"/>
  <c r="I33" i="26"/>
  <c r="F33" i="26"/>
  <c r="O40" i="26"/>
  <c r="L40" i="26"/>
  <c r="I40" i="26"/>
  <c r="F40" i="26"/>
  <c r="O13" i="26"/>
  <c r="L13" i="26"/>
  <c r="I13" i="26"/>
  <c r="F13" i="26"/>
  <c r="O12" i="26"/>
  <c r="L12" i="26"/>
  <c r="I12" i="26"/>
  <c r="F12" i="26"/>
  <c r="O29" i="26"/>
  <c r="L29" i="26"/>
  <c r="I29" i="26"/>
  <c r="F29" i="26"/>
  <c r="O30" i="26"/>
  <c r="L30" i="26"/>
  <c r="I30" i="26"/>
  <c r="F30" i="26"/>
  <c r="O31" i="26"/>
  <c r="L31" i="26"/>
  <c r="I31" i="26"/>
  <c r="F31" i="26"/>
  <c r="O25" i="26"/>
  <c r="L25" i="26"/>
  <c r="I25" i="26"/>
  <c r="F25" i="26"/>
  <c r="O34" i="26"/>
  <c r="L34" i="26"/>
  <c r="I34" i="26"/>
  <c r="F34" i="26"/>
  <c r="O11" i="26"/>
  <c r="L11" i="26"/>
  <c r="I11" i="26"/>
  <c r="F11" i="26"/>
  <c r="O26" i="26"/>
  <c r="L26" i="26"/>
  <c r="I26" i="26"/>
  <c r="F26" i="26"/>
  <c r="O10" i="26"/>
  <c r="L10" i="26"/>
  <c r="I10" i="26"/>
  <c r="F10" i="26"/>
  <c r="O9" i="26"/>
  <c r="L9" i="26"/>
  <c r="I9" i="26"/>
  <c r="F9" i="26"/>
  <c r="O15" i="26"/>
  <c r="L15" i="26"/>
  <c r="I15" i="26"/>
  <c r="F15" i="26"/>
  <c r="O32" i="26"/>
  <c r="L32" i="26"/>
  <c r="I32" i="26"/>
  <c r="F32" i="26"/>
  <c r="O35" i="26"/>
  <c r="L35" i="26"/>
  <c r="I35" i="26"/>
  <c r="F35" i="26"/>
  <c r="O21" i="26"/>
  <c r="L21" i="26"/>
  <c r="I21" i="26"/>
  <c r="F21" i="26"/>
  <c r="O36" i="26"/>
  <c r="L36" i="26"/>
  <c r="I36" i="26"/>
  <c r="F36" i="26"/>
  <c r="O16" i="26"/>
  <c r="L16" i="26"/>
  <c r="I16" i="26"/>
  <c r="F16" i="26"/>
  <c r="O38" i="26"/>
  <c r="L38" i="26"/>
  <c r="I38" i="26"/>
  <c r="F38" i="26"/>
  <c r="O41" i="26"/>
  <c r="L41" i="26"/>
  <c r="I41" i="26"/>
  <c r="F41" i="26"/>
  <c r="O8" i="26"/>
  <c r="L8" i="26"/>
  <c r="I8" i="26"/>
  <c r="F8" i="26"/>
  <c r="O37" i="26"/>
  <c r="L37" i="26"/>
  <c r="I37" i="26"/>
  <c r="F37" i="26"/>
  <c r="O24" i="26"/>
  <c r="L24" i="26"/>
  <c r="I24" i="26"/>
  <c r="F24" i="26"/>
  <c r="G1056" i="3"/>
  <c r="G1055" i="3"/>
  <c r="G1054" i="3"/>
  <c r="G1053" i="3"/>
  <c r="G1052" i="3"/>
  <c r="G1051" i="3"/>
  <c r="G1050" i="3"/>
  <c r="G1049" i="3"/>
  <c r="G1048" i="3"/>
  <c r="G1047" i="3"/>
  <c r="G1046" i="3"/>
  <c r="G1045" i="3"/>
  <c r="G1044" i="3"/>
  <c r="G1043" i="3"/>
  <c r="G1042" i="3"/>
  <c r="G1041" i="3"/>
  <c r="G1040" i="3"/>
  <c r="G1039" i="3"/>
  <c r="G1038" i="3"/>
  <c r="G1037" i="3"/>
  <c r="G1036" i="3"/>
  <c r="G1035" i="3"/>
  <c r="G1034" i="3"/>
  <c r="G1033" i="3"/>
  <c r="G1032" i="3"/>
  <c r="G1031" i="3"/>
  <c r="G1030" i="3"/>
  <c r="G1029" i="3"/>
  <c r="G1028" i="3"/>
  <c r="G1027" i="3"/>
  <c r="G1026" i="3"/>
  <c r="G1056" i="4"/>
  <c r="G1055" i="4"/>
  <c r="G1054" i="4"/>
  <c r="G1053" i="4"/>
  <c r="G1052" i="4"/>
  <c r="G1051" i="4"/>
  <c r="G1050" i="4"/>
  <c r="G1049" i="4"/>
  <c r="G1048" i="4"/>
  <c r="G1047" i="4"/>
  <c r="G1046" i="4"/>
  <c r="G1045" i="4"/>
  <c r="G1044" i="4"/>
  <c r="G1043" i="4"/>
  <c r="G1042" i="4"/>
  <c r="G1041" i="4"/>
  <c r="G1040" i="4"/>
  <c r="G1039" i="4"/>
  <c r="G1038" i="4"/>
  <c r="G1037" i="4"/>
  <c r="G1036" i="4"/>
  <c r="G1035" i="4"/>
  <c r="G1034" i="4"/>
  <c r="G1033" i="4"/>
  <c r="G1032" i="4"/>
  <c r="G1031" i="4"/>
  <c r="G1030" i="4"/>
  <c r="G1029" i="4"/>
  <c r="G1028" i="4"/>
  <c r="G1027" i="4"/>
  <c r="G1026" i="4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56" i="2"/>
  <c r="G1055" i="2"/>
  <c r="G1054" i="2"/>
  <c r="G1053" i="2"/>
  <c r="G1052" i="2"/>
  <c r="G1051" i="2"/>
  <c r="G1050" i="2"/>
  <c r="G1049" i="2"/>
  <c r="G1048" i="2"/>
  <c r="G1047" i="2"/>
  <c r="G1046" i="2"/>
  <c r="G1045" i="2"/>
  <c r="G1044" i="2"/>
  <c r="G1043" i="2"/>
  <c r="G1042" i="2"/>
  <c r="G1041" i="2"/>
  <c r="G1040" i="2"/>
  <c r="G1039" i="2"/>
  <c r="G1038" i="2"/>
  <c r="G1037" i="2"/>
  <c r="G1036" i="2"/>
  <c r="G1035" i="2"/>
  <c r="G1034" i="2"/>
  <c r="G1033" i="2"/>
  <c r="G1032" i="2"/>
  <c r="G1031" i="2"/>
  <c r="G1030" i="2"/>
  <c r="G1029" i="2"/>
  <c r="G1028" i="2"/>
  <c r="G1027" i="2"/>
  <c r="G1026" i="2"/>
  <c r="G1025" i="3" l="1"/>
  <c r="G1024" i="3"/>
  <c r="G1023" i="3"/>
  <c r="G1022" i="3"/>
  <c r="G1021" i="3"/>
  <c r="G1020" i="3"/>
  <c r="G1019" i="3"/>
  <c r="G1018" i="3"/>
  <c r="G1017" i="3"/>
  <c r="G1016" i="3"/>
  <c r="G1015" i="3"/>
  <c r="G1014" i="3"/>
  <c r="G1013" i="3"/>
  <c r="G1012" i="3"/>
  <c r="G1011" i="3"/>
  <c r="G1010" i="3"/>
  <c r="G1009" i="3"/>
  <c r="G1008" i="3"/>
  <c r="G1007" i="3"/>
  <c r="G1006" i="3"/>
  <c r="G1005" i="3"/>
  <c r="G1004" i="3"/>
  <c r="G1003" i="3"/>
  <c r="G1002" i="3"/>
  <c r="G1001" i="3"/>
  <c r="G1000" i="3"/>
  <c r="G999" i="3"/>
  <c r="G998" i="3"/>
  <c r="G997" i="3"/>
  <c r="G996" i="3"/>
  <c r="G995" i="3"/>
  <c r="G1025" i="4"/>
  <c r="G1024" i="4"/>
  <c r="G1023" i="4"/>
  <c r="G1022" i="4"/>
  <c r="G1021" i="4"/>
  <c r="G1020" i="4"/>
  <c r="G1019" i="4"/>
  <c r="G1018" i="4"/>
  <c r="G1017" i="4"/>
  <c r="G1016" i="4"/>
  <c r="G1015" i="4"/>
  <c r="G1014" i="4"/>
  <c r="G1013" i="4"/>
  <c r="G1012" i="4"/>
  <c r="G1011" i="4"/>
  <c r="G1010" i="4"/>
  <c r="G1009" i="4"/>
  <c r="G1008" i="4"/>
  <c r="G1007" i="4"/>
  <c r="G1006" i="4"/>
  <c r="G1005" i="4"/>
  <c r="G1004" i="4"/>
  <c r="G1003" i="4"/>
  <c r="G1002" i="4"/>
  <c r="G1001" i="4"/>
  <c r="G1000" i="4"/>
  <c r="G999" i="4"/>
  <c r="G998" i="4"/>
  <c r="G997" i="4"/>
  <c r="G996" i="4"/>
  <c r="G995" i="4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1013" i="2"/>
  <c r="G1012" i="2"/>
  <c r="G1011" i="2"/>
  <c r="G1010" i="2"/>
  <c r="G1009" i="2"/>
  <c r="G1008" i="2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E3" i="3"/>
  <c r="G106" i="4"/>
  <c r="H40" i="25"/>
  <c r="H17" i="25"/>
  <c r="H23" i="25"/>
  <c r="H10" i="25"/>
  <c r="H21" i="25"/>
  <c r="H28" i="25"/>
  <c r="H29" i="25"/>
  <c r="H30" i="25"/>
  <c r="H14" i="25"/>
  <c r="H31" i="25"/>
  <c r="H18" i="25"/>
  <c r="H19" i="25"/>
  <c r="H33" i="25"/>
  <c r="H22" i="25"/>
  <c r="H12" i="25"/>
  <c r="H20" i="25"/>
  <c r="H39" i="25"/>
  <c r="H24" i="25"/>
  <c r="H38" i="25"/>
  <c r="H32" i="25"/>
  <c r="H9" i="25"/>
  <c r="H26" i="25"/>
  <c r="H13" i="25"/>
  <c r="H11" i="25"/>
  <c r="H15" i="25"/>
  <c r="H37" i="25"/>
  <c r="H34" i="25"/>
  <c r="H36" i="25"/>
  <c r="H35" i="25"/>
  <c r="H16" i="25"/>
  <c r="H27" i="25"/>
  <c r="H41" i="25"/>
  <c r="H25" i="25"/>
  <c r="G4" i="25"/>
  <c r="G43" i="24"/>
  <c r="G21" i="24"/>
  <c r="G13" i="24"/>
  <c r="G37" i="24"/>
  <c r="G32" i="24"/>
  <c r="G38" i="24"/>
  <c r="G33" i="24"/>
  <c r="G17" i="24"/>
  <c r="G11" i="24"/>
  <c r="G19" i="24"/>
  <c r="G26" i="24"/>
  <c r="G10" i="24"/>
  <c r="G34" i="24"/>
  <c r="G41" i="24"/>
  <c r="G36" i="24"/>
  <c r="G42" i="24"/>
  <c r="G28" i="24"/>
  <c r="G14" i="24"/>
  <c r="G18" i="24"/>
  <c r="G40" i="24"/>
  <c r="G27" i="24"/>
  <c r="G30" i="24"/>
  <c r="G35" i="24"/>
  <c r="G15" i="24"/>
  <c r="G16" i="24"/>
  <c r="G23" i="24"/>
  <c r="G31" i="24"/>
  <c r="G39" i="24"/>
  <c r="G12" i="24"/>
  <c r="G20" i="24"/>
  <c r="G25" i="24"/>
  <c r="G22" i="24"/>
  <c r="G24" i="24"/>
  <c r="G29" i="24"/>
  <c r="F4" i="24"/>
  <c r="G32" i="21"/>
  <c r="G37" i="21"/>
  <c r="G16" i="21"/>
  <c r="G21" i="21"/>
  <c r="G19" i="21"/>
  <c r="G31" i="21"/>
  <c r="G29" i="21"/>
  <c r="G10" i="21"/>
  <c r="G11" i="21"/>
  <c r="G38" i="21"/>
  <c r="G33" i="21"/>
  <c r="G18" i="21"/>
  <c r="G25" i="21"/>
  <c r="G13" i="21"/>
  <c r="G15" i="21"/>
  <c r="G30" i="21"/>
  <c r="G40" i="21"/>
  <c r="G36" i="21"/>
  <c r="G39" i="21"/>
  <c r="G20" i="21"/>
  <c r="G27" i="21"/>
  <c r="G22" i="21"/>
  <c r="G17" i="21"/>
  <c r="G9" i="21"/>
  <c r="G14" i="21"/>
  <c r="G34" i="21"/>
  <c r="G23" i="21"/>
  <c r="G28" i="21"/>
  <c r="G26" i="21"/>
  <c r="G35" i="21"/>
  <c r="G12" i="21"/>
  <c r="G41" i="21"/>
  <c r="G24" i="21"/>
  <c r="F4" i="21"/>
  <c r="G36" i="19"/>
  <c r="G22" i="19"/>
  <c r="G30" i="19"/>
  <c r="G13" i="19"/>
  <c r="G12" i="19"/>
  <c r="G25" i="19"/>
  <c r="G26" i="19"/>
  <c r="G32" i="19"/>
  <c r="G20" i="19"/>
  <c r="G9" i="19"/>
  <c r="G41" i="19"/>
  <c r="G19" i="19"/>
  <c r="G11" i="19"/>
  <c r="G31" i="19"/>
  <c r="G18" i="19"/>
  <c r="G34" i="19"/>
  <c r="G33" i="19"/>
  <c r="G37" i="19"/>
  <c r="G10" i="19"/>
  <c r="G38" i="19"/>
  <c r="G27" i="19"/>
  <c r="G40" i="19"/>
  <c r="G28" i="19"/>
  <c r="G23" i="19"/>
  <c r="G14" i="19"/>
  <c r="G15" i="19"/>
  <c r="G35" i="19"/>
  <c r="G21" i="19"/>
  <c r="G39" i="19"/>
  <c r="G24" i="19"/>
  <c r="G29" i="19"/>
  <c r="G16" i="19"/>
  <c r="G42" i="19"/>
  <c r="G17" i="19"/>
  <c r="F4" i="19"/>
  <c r="E3" i="4" l="1"/>
  <c r="G858" i="1"/>
  <c r="E3" i="1"/>
  <c r="B5" i="9"/>
  <c r="B8" i="12"/>
  <c r="B9" i="9"/>
  <c r="B5" i="11"/>
  <c r="B6" i="9"/>
  <c r="B6" i="11"/>
  <c r="B8" i="9"/>
  <c r="B11" i="7"/>
  <c r="B9" i="11"/>
  <c r="B7" i="7"/>
  <c r="B6" i="12"/>
  <c r="B8" i="7"/>
  <c r="B8" i="11"/>
  <c r="B5" i="12"/>
  <c r="B10" i="7"/>
  <c r="B9" i="12"/>
  <c r="B12" i="7" l="1"/>
  <c r="D12" i="7" s="1"/>
  <c r="F5" i="12"/>
  <c r="B12" i="12" s="1"/>
  <c r="F6" i="12"/>
  <c r="B10" i="12"/>
  <c r="C10" i="12" s="1"/>
  <c r="F6" i="11"/>
  <c r="F5" i="11"/>
  <c r="B12" i="11" s="1"/>
  <c r="B10" i="11"/>
  <c r="D10" i="11" s="1"/>
  <c r="F5" i="9"/>
  <c r="B12" i="9" s="1"/>
  <c r="F6" i="9"/>
  <c r="B10" i="9"/>
  <c r="C10" i="9" s="1"/>
  <c r="F7" i="7"/>
  <c r="F8" i="7"/>
  <c r="N4" i="7" l="1"/>
  <c r="M4" i="7"/>
  <c r="B14" i="7" l="1"/>
  <c r="G1149" i="3" l="1"/>
  <c r="G1148" i="3"/>
  <c r="G1147" i="3"/>
  <c r="G1146" i="3"/>
  <c r="G1145" i="3"/>
  <c r="G1144" i="3"/>
  <c r="G1143" i="3"/>
  <c r="G1142" i="3"/>
  <c r="G1141" i="3"/>
  <c r="G1140" i="3"/>
  <c r="G1139" i="3"/>
  <c r="G1138" i="3"/>
  <c r="G1137" i="3"/>
  <c r="G1136" i="3"/>
  <c r="G1135" i="3"/>
  <c r="G1134" i="3"/>
  <c r="G1133" i="3"/>
  <c r="G1132" i="3"/>
  <c r="G1131" i="3"/>
  <c r="G1130" i="3"/>
  <c r="G1129" i="3"/>
  <c r="G1128" i="3"/>
  <c r="G1127" i="3"/>
  <c r="G1126" i="3"/>
  <c r="G1125" i="3"/>
  <c r="G1124" i="3"/>
  <c r="G1123" i="3"/>
  <c r="G1122" i="3"/>
  <c r="G1121" i="3"/>
  <c r="G1120" i="3"/>
  <c r="G1119" i="3"/>
  <c r="G1118" i="4"/>
  <c r="G1117" i="4"/>
  <c r="G1116" i="4"/>
  <c r="G1115" i="4"/>
  <c r="G1114" i="4"/>
  <c r="G1113" i="4"/>
  <c r="G1112" i="4"/>
  <c r="G1111" i="4"/>
  <c r="G1110" i="4"/>
  <c r="G1109" i="4"/>
  <c r="G1108" i="4"/>
  <c r="G1107" i="4"/>
  <c r="G1106" i="4"/>
  <c r="G1105" i="4"/>
  <c r="G1104" i="4"/>
  <c r="G1103" i="4"/>
  <c r="G1102" i="4"/>
  <c r="G1101" i="4"/>
  <c r="G1100" i="4"/>
  <c r="G1099" i="4"/>
  <c r="G1098" i="4"/>
  <c r="G1097" i="4"/>
  <c r="G1096" i="4"/>
  <c r="G1095" i="4"/>
  <c r="G1094" i="4"/>
  <c r="G1093" i="4"/>
  <c r="G1092" i="4"/>
  <c r="G1091" i="4"/>
  <c r="G1090" i="4"/>
  <c r="G1089" i="4"/>
  <c r="G1088" i="4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118" i="2"/>
  <c r="G1117" i="2"/>
  <c r="G1116" i="2"/>
  <c r="G1115" i="2"/>
  <c r="G1114" i="2"/>
  <c r="G1113" i="2"/>
  <c r="G1111" i="2"/>
  <c r="G1110" i="2"/>
  <c r="G1109" i="2"/>
  <c r="G1108" i="2"/>
  <c r="G1107" i="2"/>
  <c r="G1106" i="2"/>
  <c r="G1105" i="2"/>
  <c r="G1104" i="2"/>
  <c r="G1103" i="2"/>
  <c r="G1102" i="2"/>
  <c r="G1101" i="2"/>
  <c r="G1100" i="2"/>
  <c r="G1099" i="2"/>
  <c r="G1098" i="2"/>
  <c r="G1097" i="2"/>
  <c r="G1096" i="2"/>
  <c r="G1095" i="2"/>
  <c r="G1094" i="2"/>
  <c r="G1093" i="2"/>
  <c r="G1092" i="2"/>
  <c r="G1091" i="2"/>
  <c r="G1090" i="2"/>
  <c r="G1089" i="2"/>
  <c r="G1112" i="2"/>
  <c r="G1088" i="2"/>
  <c r="G994" i="4" l="1"/>
  <c r="G993" i="4"/>
  <c r="G992" i="4"/>
  <c r="G991" i="4"/>
  <c r="G990" i="4"/>
  <c r="G989" i="4"/>
  <c r="G988" i="4"/>
  <c r="G987" i="4"/>
  <c r="G986" i="4"/>
  <c r="G985" i="4"/>
  <c r="G984" i="4"/>
  <c r="G983" i="4"/>
  <c r="G982" i="4"/>
  <c r="G981" i="4"/>
  <c r="G980" i="4"/>
  <c r="G979" i="4"/>
  <c r="G978" i="4"/>
  <c r="G977" i="4"/>
  <c r="G976" i="4"/>
  <c r="G975" i="4"/>
  <c r="G974" i="4"/>
  <c r="G973" i="4"/>
  <c r="G972" i="4"/>
  <c r="G971" i="4"/>
  <c r="G970" i="4"/>
  <c r="G969" i="4"/>
  <c r="G968" i="4"/>
  <c r="G967" i="4"/>
  <c r="G966" i="4"/>
  <c r="G965" i="4"/>
  <c r="G964" i="4"/>
  <c r="G963" i="4"/>
  <c r="G962" i="4"/>
  <c r="G961" i="4"/>
  <c r="G960" i="4"/>
  <c r="G959" i="4"/>
  <c r="G958" i="4"/>
  <c r="G957" i="4"/>
  <c r="G956" i="4"/>
  <c r="G955" i="4"/>
  <c r="G954" i="4"/>
  <c r="G953" i="4"/>
  <c r="G952" i="4"/>
  <c r="G951" i="4"/>
  <c r="G950" i="4"/>
  <c r="G949" i="4"/>
  <c r="G948" i="4"/>
  <c r="G947" i="4"/>
  <c r="G946" i="4"/>
  <c r="G945" i="4"/>
  <c r="G944" i="4"/>
  <c r="G943" i="4"/>
  <c r="G942" i="4"/>
  <c r="G941" i="4"/>
  <c r="G940" i="4"/>
  <c r="G939" i="4"/>
  <c r="G938" i="4"/>
  <c r="G937" i="4"/>
  <c r="G936" i="4"/>
  <c r="G935" i="4"/>
  <c r="G934" i="4"/>
  <c r="G933" i="4"/>
  <c r="G932" i="4"/>
  <c r="G931" i="4"/>
  <c r="G930" i="4"/>
  <c r="G929" i="4"/>
  <c r="G928" i="4"/>
  <c r="G927" i="4"/>
  <c r="G926" i="4"/>
  <c r="G925" i="4"/>
  <c r="G924" i="4"/>
  <c r="G923" i="4"/>
  <c r="G922" i="4"/>
  <c r="G921" i="4"/>
  <c r="G920" i="4"/>
  <c r="G919" i="4"/>
  <c r="G918" i="4"/>
  <c r="G917" i="4"/>
  <c r="G916" i="4"/>
  <c r="G915" i="4"/>
  <c r="G914" i="4"/>
  <c r="G913" i="4"/>
  <c r="G912" i="4"/>
  <c r="G911" i="4"/>
  <c r="G910" i="4"/>
  <c r="G909" i="4"/>
  <c r="G908" i="4"/>
  <c r="G907" i="4"/>
  <c r="G906" i="4"/>
  <c r="G905" i="4"/>
  <c r="G904" i="4"/>
  <c r="G903" i="4"/>
  <c r="G902" i="4"/>
  <c r="G901" i="4"/>
  <c r="G900" i="4"/>
  <c r="G899" i="4"/>
  <c r="G898" i="4"/>
  <c r="G897" i="4"/>
  <c r="G896" i="4"/>
  <c r="G895" i="4"/>
  <c r="G894" i="4"/>
  <c r="G893" i="4"/>
  <c r="G892" i="4"/>
  <c r="G891" i="4"/>
  <c r="G890" i="4"/>
  <c r="G889" i="4"/>
  <c r="G888" i="4"/>
  <c r="G887" i="4"/>
  <c r="G886" i="4"/>
  <c r="G885" i="4"/>
  <c r="G884" i="4"/>
  <c r="G883" i="4"/>
  <c r="G882" i="4"/>
  <c r="G881" i="4"/>
  <c r="G880" i="4"/>
  <c r="G879" i="4"/>
  <c r="G878" i="4"/>
  <c r="G877" i="4"/>
  <c r="G876" i="4"/>
  <c r="G875" i="4"/>
  <c r="G874" i="4"/>
  <c r="G873" i="4"/>
  <c r="G872" i="4"/>
  <c r="G871" i="4"/>
  <c r="G870" i="4"/>
  <c r="G869" i="4"/>
  <c r="G868" i="4"/>
  <c r="G867" i="4"/>
  <c r="G866" i="4"/>
  <c r="G865" i="4"/>
  <c r="G864" i="4"/>
  <c r="G863" i="4"/>
  <c r="G862" i="4"/>
  <c r="G861" i="4"/>
  <c r="G860" i="4"/>
  <c r="G859" i="4"/>
  <c r="G858" i="4"/>
  <c r="G857" i="4"/>
  <c r="G856" i="4"/>
  <c r="G855" i="4"/>
  <c r="G854" i="4"/>
  <c r="G853" i="4"/>
  <c r="G852" i="4"/>
  <c r="G851" i="4"/>
  <c r="G850" i="4"/>
  <c r="G849" i="4"/>
  <c r="G848" i="4"/>
  <c r="G847" i="4"/>
  <c r="G846" i="4"/>
  <c r="G845" i="4"/>
  <c r="G844" i="4"/>
  <c r="G843" i="4"/>
  <c r="G842" i="4"/>
  <c r="G841" i="4"/>
  <c r="G840" i="4"/>
  <c r="G839" i="4"/>
  <c r="G838" i="4"/>
  <c r="G837" i="4"/>
  <c r="G836" i="4"/>
  <c r="G835" i="4"/>
  <c r="G834" i="4"/>
  <c r="G833" i="4"/>
  <c r="G832" i="4"/>
  <c r="G831" i="4"/>
  <c r="G830" i="4"/>
  <c r="G829" i="4"/>
  <c r="G828" i="4"/>
  <c r="G827" i="4"/>
  <c r="G826" i="4"/>
  <c r="G825" i="4"/>
  <c r="G824" i="4"/>
  <c r="G823" i="4"/>
  <c r="G822" i="4"/>
  <c r="G821" i="4"/>
  <c r="G820" i="4"/>
  <c r="G819" i="4"/>
  <c r="G818" i="4"/>
  <c r="G817" i="4"/>
  <c r="G816" i="4"/>
  <c r="G815" i="4"/>
  <c r="G814" i="4"/>
  <c r="G813" i="4"/>
  <c r="G812" i="4"/>
  <c r="G811" i="4"/>
  <c r="G810" i="4"/>
  <c r="G809" i="4"/>
  <c r="G808" i="4"/>
  <c r="G807" i="4"/>
  <c r="G806" i="4"/>
  <c r="G805" i="4"/>
  <c r="G804" i="4"/>
  <c r="G803" i="4"/>
  <c r="G802" i="4"/>
  <c r="G801" i="4"/>
  <c r="G800" i="4"/>
  <c r="G799" i="4"/>
  <c r="G798" i="4"/>
  <c r="G797" i="4"/>
  <c r="G796" i="4"/>
  <c r="G795" i="4"/>
  <c r="G794" i="4"/>
  <c r="G793" i="4"/>
  <c r="G792" i="4"/>
  <c r="G791" i="4"/>
  <c r="G790" i="4"/>
  <c r="G789" i="4"/>
  <c r="G788" i="4"/>
  <c r="G787" i="4"/>
  <c r="G786" i="4"/>
  <c r="G785" i="4"/>
  <c r="G784" i="4"/>
  <c r="G783" i="4"/>
  <c r="G782" i="4"/>
  <c r="G781" i="4"/>
  <c r="G780" i="4"/>
  <c r="G779" i="4"/>
  <c r="G778" i="4"/>
  <c r="G777" i="4"/>
  <c r="G776" i="4"/>
  <c r="G775" i="4"/>
  <c r="G774" i="4"/>
  <c r="G773" i="4"/>
  <c r="G772" i="4"/>
  <c r="G771" i="4"/>
  <c r="G770" i="4"/>
  <c r="G769" i="4"/>
  <c r="G768" i="4"/>
  <c r="G767" i="4"/>
  <c r="G766" i="4"/>
  <c r="G765" i="4"/>
  <c r="G764" i="4"/>
  <c r="G763" i="4"/>
  <c r="G762" i="4"/>
  <c r="G761" i="4"/>
  <c r="G760" i="4"/>
  <c r="G759" i="4"/>
  <c r="G758" i="4"/>
  <c r="G757" i="4"/>
  <c r="G756" i="4"/>
  <c r="G755" i="4"/>
  <c r="G754" i="4"/>
  <c r="G753" i="4"/>
  <c r="G752" i="4"/>
  <c r="G751" i="4"/>
  <c r="G750" i="4"/>
  <c r="G749" i="4"/>
  <c r="G748" i="4"/>
  <c r="G747" i="4"/>
  <c r="G746" i="4"/>
  <c r="G745" i="4"/>
  <c r="G744" i="4"/>
  <c r="G743" i="4"/>
  <c r="G742" i="4"/>
  <c r="G741" i="4"/>
  <c r="G740" i="4"/>
  <c r="G739" i="4"/>
  <c r="G738" i="4"/>
  <c r="G737" i="4"/>
  <c r="G736" i="4"/>
  <c r="G735" i="4"/>
  <c r="G734" i="4"/>
  <c r="G733" i="4"/>
  <c r="G732" i="4"/>
  <c r="G731" i="4"/>
  <c r="G730" i="4"/>
  <c r="G729" i="4"/>
  <c r="G728" i="4"/>
  <c r="G727" i="4"/>
  <c r="G726" i="4"/>
  <c r="G725" i="4"/>
  <c r="G724" i="4"/>
  <c r="G723" i="4"/>
  <c r="G722" i="4"/>
  <c r="G721" i="4"/>
  <c r="G720" i="4"/>
  <c r="G719" i="4"/>
  <c r="G718" i="4"/>
  <c r="G717" i="4"/>
  <c r="G716" i="4"/>
  <c r="G715" i="4"/>
  <c r="G714" i="4"/>
  <c r="G713" i="4"/>
  <c r="G712" i="4"/>
  <c r="G711" i="4"/>
  <c r="G710" i="4"/>
  <c r="G709" i="4"/>
  <c r="G708" i="4"/>
  <c r="G707" i="4"/>
  <c r="G706" i="4"/>
  <c r="G705" i="4"/>
  <c r="G704" i="4"/>
  <c r="G703" i="4"/>
  <c r="G702" i="4"/>
  <c r="G701" i="4"/>
  <c r="G700" i="4"/>
  <c r="G699" i="4"/>
  <c r="G698" i="4"/>
  <c r="G697" i="4"/>
  <c r="G696" i="4"/>
  <c r="G695" i="4"/>
  <c r="G694" i="4"/>
  <c r="G693" i="4"/>
  <c r="G692" i="4"/>
  <c r="G691" i="4"/>
  <c r="G690" i="4"/>
  <c r="G689" i="4"/>
  <c r="G688" i="4"/>
  <c r="G687" i="4"/>
  <c r="G686" i="4"/>
  <c r="G685" i="4"/>
  <c r="G684" i="4"/>
  <c r="G683" i="4"/>
  <c r="G682" i="4"/>
  <c r="G681" i="4"/>
  <c r="G680" i="4"/>
  <c r="G679" i="4"/>
  <c r="G678" i="4"/>
  <c r="G677" i="4"/>
  <c r="G676" i="4"/>
  <c r="G675" i="4"/>
  <c r="G674" i="4"/>
  <c r="G673" i="4"/>
  <c r="G672" i="4"/>
  <c r="G671" i="4"/>
  <c r="G670" i="4"/>
  <c r="G669" i="4"/>
  <c r="G668" i="4"/>
  <c r="G667" i="4"/>
  <c r="G666" i="4"/>
  <c r="G665" i="4"/>
  <c r="G664" i="4"/>
  <c r="G663" i="4"/>
  <c r="G662" i="4"/>
  <c r="G661" i="4"/>
  <c r="G660" i="4"/>
  <c r="G659" i="4"/>
  <c r="G658" i="4"/>
  <c r="G657" i="4"/>
  <c r="G656" i="4"/>
  <c r="G655" i="4"/>
  <c r="G654" i="4"/>
  <c r="G653" i="4"/>
  <c r="G652" i="4"/>
  <c r="G651" i="4"/>
  <c r="G650" i="4"/>
  <c r="G649" i="4"/>
  <c r="G648" i="4"/>
  <c r="G647" i="4"/>
  <c r="G646" i="4"/>
  <c r="G645" i="4"/>
  <c r="G644" i="4"/>
  <c r="G643" i="4"/>
  <c r="G642" i="4"/>
  <c r="G641" i="4"/>
  <c r="G640" i="4"/>
  <c r="G639" i="4"/>
  <c r="G638" i="4"/>
  <c r="G637" i="4"/>
  <c r="G636" i="4"/>
  <c r="G635" i="4"/>
  <c r="G634" i="4"/>
  <c r="G633" i="4"/>
  <c r="G632" i="4"/>
  <c r="G631" i="4"/>
  <c r="G630" i="4"/>
  <c r="G629" i="4"/>
  <c r="G62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609" i="4"/>
  <c r="G608" i="4"/>
  <c r="G607" i="4"/>
  <c r="G606" i="4"/>
  <c r="G605" i="4"/>
  <c r="G604" i="4"/>
  <c r="G603" i="4"/>
  <c r="G602" i="4"/>
  <c r="G601" i="4"/>
  <c r="G600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0" i="4"/>
  <c r="G9" i="4"/>
  <c r="G8" i="4"/>
  <c r="G7" i="4"/>
  <c r="G6" i="4"/>
  <c r="G5" i="4"/>
  <c r="G4" i="4"/>
  <c r="G3" i="4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G967" i="3"/>
  <c r="G966" i="3"/>
  <c r="G965" i="3"/>
  <c r="G964" i="3"/>
  <c r="G963" i="3"/>
  <c r="G962" i="3"/>
  <c r="G961" i="3"/>
  <c r="G960" i="3"/>
  <c r="G959" i="3"/>
  <c r="G958" i="3"/>
  <c r="G957" i="3"/>
  <c r="G956" i="3"/>
  <c r="G955" i="3"/>
  <c r="G954" i="3"/>
  <c r="G953" i="3"/>
  <c r="G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E3" i="2"/>
  <c r="G3" i="2" s="1"/>
  <c r="G925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21" i="1"/>
  <c r="G22" i="1"/>
  <c r="G23" i="1"/>
  <c r="G24" i="1"/>
  <c r="G27" i="1"/>
  <c r="G28" i="1"/>
  <c r="G29" i="1"/>
  <c r="G33" i="1"/>
  <c r="G34" i="1"/>
  <c r="G35" i="1"/>
  <c r="G36" i="1"/>
  <c r="G39" i="1"/>
  <c r="G40" i="1"/>
  <c r="G41" i="1"/>
  <c r="G42" i="1"/>
  <c r="G45" i="1"/>
  <c r="G46" i="1"/>
  <c r="G47" i="1"/>
  <c r="G48" i="1"/>
  <c r="G51" i="1"/>
  <c r="G52" i="1"/>
  <c r="G53" i="1"/>
  <c r="G54" i="1"/>
  <c r="G56" i="1"/>
  <c r="G57" i="1"/>
  <c r="G58" i="1"/>
  <c r="G59" i="1"/>
  <c r="G60" i="1"/>
  <c r="G61" i="1"/>
  <c r="G62" i="1"/>
  <c r="G63" i="1"/>
  <c r="G64" i="1"/>
  <c r="G66" i="1"/>
  <c r="G68" i="1"/>
  <c r="G69" i="1"/>
  <c r="G70" i="1"/>
  <c r="G71" i="1"/>
  <c r="G72" i="1"/>
  <c r="G75" i="1"/>
  <c r="G76" i="1"/>
  <c r="G77" i="1"/>
  <c r="G78" i="1"/>
  <c r="G81" i="1"/>
  <c r="G82" i="1"/>
  <c r="G83" i="1"/>
  <c r="G84" i="1"/>
  <c r="G87" i="1"/>
  <c r="G88" i="1"/>
  <c r="G89" i="1"/>
  <c r="G90" i="1"/>
  <c r="G92" i="1"/>
  <c r="G93" i="1"/>
  <c r="G94" i="1"/>
  <c r="G95" i="1"/>
  <c r="G96" i="1"/>
  <c r="G99" i="1"/>
  <c r="G100" i="1"/>
  <c r="G101" i="1"/>
  <c r="G102" i="1"/>
  <c r="G104" i="1"/>
  <c r="G105" i="1"/>
  <c r="G106" i="1"/>
  <c r="G107" i="1"/>
  <c r="G108" i="1"/>
  <c r="G111" i="1"/>
  <c r="G112" i="1"/>
  <c r="G113" i="1"/>
  <c r="G114" i="1"/>
  <c r="G117" i="1"/>
  <c r="G118" i="1"/>
  <c r="G119" i="1"/>
  <c r="G120" i="1"/>
  <c r="G123" i="1"/>
  <c r="G124" i="1"/>
  <c r="G125" i="1"/>
  <c r="G126" i="1"/>
  <c r="G128" i="1"/>
  <c r="G129" i="1"/>
  <c r="G130" i="1"/>
  <c r="G131" i="1"/>
  <c r="G132" i="1"/>
  <c r="G135" i="1"/>
  <c r="G136" i="1"/>
  <c r="G137" i="1"/>
  <c r="G138" i="1"/>
  <c r="G140" i="1"/>
  <c r="G141" i="1"/>
  <c r="G142" i="1"/>
  <c r="G143" i="1"/>
  <c r="G144" i="1"/>
  <c r="G147" i="1"/>
  <c r="G148" i="1"/>
  <c r="G149" i="1"/>
  <c r="G150" i="1"/>
  <c r="G152" i="1"/>
  <c r="G153" i="1"/>
  <c r="G154" i="1"/>
  <c r="G155" i="1"/>
  <c r="G156" i="1"/>
  <c r="G157" i="1"/>
  <c r="G159" i="1"/>
  <c r="G160" i="1"/>
  <c r="G161" i="1"/>
  <c r="G165" i="1"/>
  <c r="G166" i="1"/>
  <c r="G167" i="1"/>
  <c r="G168" i="1"/>
  <c r="G171" i="1"/>
  <c r="G172" i="1"/>
  <c r="G173" i="1"/>
  <c r="G177" i="1"/>
  <c r="G178" i="1"/>
  <c r="G179" i="1"/>
  <c r="G180" i="1"/>
  <c r="G183" i="1"/>
  <c r="G184" i="1"/>
  <c r="G185" i="1"/>
  <c r="G186" i="1"/>
  <c r="G189" i="1"/>
  <c r="G190" i="1"/>
  <c r="G191" i="1"/>
  <c r="G192" i="1"/>
  <c r="G193" i="1"/>
  <c r="G195" i="1"/>
  <c r="G196" i="1"/>
  <c r="G197" i="1"/>
  <c r="G198" i="1"/>
  <c r="G200" i="1"/>
  <c r="G201" i="1"/>
  <c r="G202" i="1"/>
  <c r="G203" i="1"/>
  <c r="G204" i="1"/>
  <c r="G207" i="1"/>
  <c r="G208" i="1"/>
  <c r="G209" i="1"/>
  <c r="G210" i="1"/>
  <c r="G213" i="1"/>
  <c r="G214" i="1"/>
  <c r="G215" i="1"/>
  <c r="G216" i="1"/>
  <c r="G219" i="1"/>
  <c r="G220" i="1"/>
  <c r="G221" i="1"/>
  <c r="G222" i="1"/>
  <c r="G224" i="1"/>
  <c r="G225" i="1"/>
  <c r="G226" i="1"/>
  <c r="G227" i="1"/>
  <c r="G228" i="1"/>
  <c r="G231" i="1"/>
  <c r="G232" i="1"/>
  <c r="G233" i="1"/>
  <c r="G234" i="1"/>
  <c r="G236" i="1"/>
  <c r="G237" i="1"/>
  <c r="G238" i="1"/>
  <c r="G239" i="1"/>
  <c r="G240" i="1"/>
  <c r="G243" i="1"/>
  <c r="G244" i="1"/>
  <c r="G245" i="1"/>
  <c r="G246" i="1"/>
  <c r="G249" i="1"/>
  <c r="G250" i="1"/>
  <c r="G251" i="1"/>
  <c r="G252" i="1"/>
  <c r="G255" i="1"/>
  <c r="G256" i="1"/>
  <c r="G257" i="1"/>
  <c r="G258" i="1"/>
  <c r="G260" i="1"/>
  <c r="G261" i="1"/>
  <c r="G262" i="1"/>
  <c r="G263" i="1"/>
  <c r="G264" i="1"/>
  <c r="G267" i="1"/>
  <c r="G268" i="1"/>
  <c r="G269" i="1"/>
  <c r="G270" i="1"/>
  <c r="G272" i="1"/>
  <c r="G273" i="1"/>
  <c r="G274" i="1"/>
  <c r="G275" i="1"/>
  <c r="G276" i="1"/>
  <c r="G277" i="1"/>
  <c r="G279" i="1"/>
  <c r="G280" i="1"/>
  <c r="G281" i="1"/>
  <c r="G282" i="1"/>
  <c r="G284" i="1"/>
  <c r="G285" i="1"/>
  <c r="G286" i="1"/>
  <c r="G287" i="1"/>
  <c r="G288" i="1"/>
  <c r="G289" i="1"/>
  <c r="G290" i="1"/>
  <c r="G291" i="1"/>
  <c r="G292" i="1"/>
  <c r="G293" i="1"/>
  <c r="G294" i="1"/>
  <c r="G297" i="1"/>
  <c r="G298" i="1"/>
  <c r="G299" i="1"/>
  <c r="G300" i="1"/>
  <c r="G303" i="1"/>
  <c r="G304" i="1"/>
  <c r="G305" i="1"/>
  <c r="G309" i="1"/>
  <c r="G310" i="1"/>
  <c r="G311" i="1"/>
  <c r="G312" i="1"/>
  <c r="G314" i="1"/>
  <c r="G315" i="1"/>
  <c r="G316" i="1"/>
  <c r="G317" i="1"/>
  <c r="G320" i="1"/>
  <c r="G321" i="1"/>
  <c r="G322" i="1"/>
  <c r="G323" i="1"/>
  <c r="G325" i="1"/>
  <c r="G326" i="1"/>
  <c r="G327" i="1"/>
  <c r="G328" i="1"/>
  <c r="G329" i="1"/>
  <c r="G332" i="1"/>
  <c r="G333" i="1"/>
  <c r="G334" i="1"/>
  <c r="G335" i="1"/>
  <c r="G337" i="1"/>
  <c r="G338" i="1"/>
  <c r="G339" i="1"/>
  <c r="G340" i="1"/>
  <c r="G341" i="1"/>
  <c r="G344" i="1"/>
  <c r="G345" i="1"/>
  <c r="G346" i="1"/>
  <c r="G347" i="1"/>
  <c r="G350" i="1"/>
  <c r="G351" i="1"/>
  <c r="G352" i="1"/>
  <c r="G353" i="1"/>
  <c r="G356" i="1"/>
  <c r="G357" i="1"/>
  <c r="G358" i="1"/>
  <c r="G359" i="1"/>
  <c r="G361" i="1"/>
  <c r="G362" i="1"/>
  <c r="G363" i="1"/>
  <c r="G364" i="1"/>
  <c r="G365" i="1"/>
  <c r="G368" i="1"/>
  <c r="G369" i="1"/>
  <c r="G370" i="1"/>
  <c r="G371" i="1"/>
  <c r="G373" i="1"/>
  <c r="G374" i="1"/>
  <c r="G375" i="1"/>
  <c r="G376" i="1"/>
  <c r="G377" i="1"/>
  <c r="G378" i="1"/>
  <c r="G380" i="1"/>
  <c r="G381" i="1"/>
  <c r="G382" i="1"/>
  <c r="G383" i="1"/>
  <c r="G386" i="1"/>
  <c r="G387" i="1"/>
  <c r="G388" i="1"/>
  <c r="G389" i="1"/>
  <c r="G392" i="1"/>
  <c r="G393" i="1"/>
  <c r="G394" i="1"/>
  <c r="G395" i="1"/>
  <c r="G398" i="1"/>
  <c r="G399" i="1"/>
  <c r="G400" i="1"/>
  <c r="G401" i="1"/>
  <c r="G404" i="1"/>
  <c r="G405" i="1"/>
  <c r="G406" i="1"/>
  <c r="G407" i="1"/>
  <c r="G410" i="1"/>
  <c r="G411" i="1"/>
  <c r="G412" i="1"/>
  <c r="G413" i="1"/>
  <c r="G416" i="1"/>
  <c r="G417" i="1"/>
  <c r="G418" i="1"/>
  <c r="G422" i="1"/>
  <c r="G423" i="1"/>
  <c r="G424" i="1"/>
  <c r="G425" i="1"/>
  <c r="G428" i="1"/>
  <c r="G429" i="1"/>
  <c r="G430" i="1"/>
  <c r="G434" i="1"/>
  <c r="G435" i="1"/>
  <c r="G436" i="1"/>
  <c r="G437" i="1"/>
  <c r="G438" i="1"/>
  <c r="G439" i="1"/>
  <c r="G440" i="1"/>
  <c r="G441" i="1"/>
  <c r="G442" i="1"/>
  <c r="G443" i="1"/>
  <c r="G446" i="1"/>
  <c r="G447" i="1"/>
  <c r="G448" i="1"/>
  <c r="G449" i="1"/>
  <c r="G452" i="1"/>
  <c r="G453" i="1"/>
  <c r="G454" i="1"/>
  <c r="G455" i="1"/>
  <c r="G457" i="1"/>
  <c r="G458" i="1"/>
  <c r="G459" i="1"/>
  <c r="G460" i="1"/>
  <c r="G461" i="1"/>
  <c r="G464" i="1"/>
  <c r="G465" i="1"/>
  <c r="G466" i="1"/>
  <c r="G467" i="1"/>
  <c r="G469" i="1"/>
  <c r="G470" i="1"/>
  <c r="G471" i="1"/>
  <c r="G472" i="1"/>
  <c r="G473" i="1"/>
  <c r="G474" i="1"/>
  <c r="G475" i="1"/>
  <c r="G476" i="1"/>
  <c r="G477" i="1"/>
  <c r="G478" i="1"/>
  <c r="G479" i="1"/>
  <c r="G482" i="1"/>
  <c r="G483" i="1"/>
  <c r="G484" i="1"/>
  <c r="G485" i="1"/>
  <c r="G488" i="1"/>
  <c r="G489" i="1"/>
  <c r="G490" i="1"/>
  <c r="G491" i="1"/>
  <c r="G493" i="1"/>
  <c r="G494" i="1"/>
  <c r="G495" i="1"/>
  <c r="G496" i="1"/>
  <c r="G497" i="1"/>
  <c r="G500" i="1"/>
  <c r="G501" i="1"/>
  <c r="G502" i="1"/>
  <c r="G503" i="1"/>
  <c r="G505" i="1"/>
  <c r="G506" i="1"/>
  <c r="G507" i="1"/>
  <c r="G508" i="1"/>
  <c r="G509" i="1"/>
  <c r="G512" i="1"/>
  <c r="G513" i="1"/>
  <c r="G514" i="1"/>
  <c r="G515" i="1"/>
  <c r="G518" i="1"/>
  <c r="G519" i="1"/>
  <c r="G520" i="1"/>
  <c r="G521" i="1"/>
  <c r="G524" i="1"/>
  <c r="G525" i="1"/>
  <c r="G526" i="1"/>
  <c r="G527" i="1"/>
  <c r="G530" i="1"/>
  <c r="G531" i="1"/>
  <c r="G532" i="1"/>
  <c r="G533" i="1"/>
  <c r="G536" i="1"/>
  <c r="G537" i="1"/>
  <c r="G538" i="1"/>
  <c r="G539" i="1"/>
  <c r="G541" i="1"/>
  <c r="G542" i="1"/>
  <c r="G543" i="1"/>
  <c r="G544" i="1"/>
  <c r="G545" i="1"/>
  <c r="G548" i="1"/>
  <c r="G549" i="1"/>
  <c r="G550" i="1"/>
  <c r="G551" i="1"/>
  <c r="G553" i="1"/>
  <c r="G554" i="1"/>
  <c r="G555" i="1"/>
  <c r="G556" i="1"/>
  <c r="G557" i="1"/>
  <c r="G560" i="1"/>
  <c r="G561" i="1"/>
  <c r="G562" i="1"/>
  <c r="G566" i="1"/>
  <c r="G567" i="1"/>
  <c r="G568" i="1"/>
  <c r="G569" i="1"/>
  <c r="G570" i="1"/>
  <c r="G571" i="1"/>
  <c r="G572" i="1"/>
  <c r="G573" i="1"/>
  <c r="G574" i="1"/>
  <c r="G578" i="1"/>
  <c r="G579" i="1"/>
  <c r="G580" i="1"/>
  <c r="G581" i="1"/>
  <c r="G584" i="1"/>
  <c r="G585" i="1"/>
  <c r="G586" i="1"/>
  <c r="G587" i="1"/>
  <c r="G590" i="1"/>
  <c r="G591" i="1"/>
  <c r="G592" i="1"/>
  <c r="G593" i="1"/>
  <c r="G596" i="1"/>
  <c r="G597" i="1"/>
  <c r="G598" i="1"/>
  <c r="G599" i="1"/>
  <c r="G601" i="1"/>
  <c r="G602" i="1"/>
  <c r="G603" i="1"/>
  <c r="G604" i="1"/>
  <c r="G605" i="1"/>
  <c r="G606" i="1"/>
  <c r="G607" i="1"/>
  <c r="G608" i="1"/>
  <c r="G609" i="1"/>
  <c r="G610" i="1"/>
  <c r="G611" i="1"/>
  <c r="G613" i="1"/>
  <c r="G614" i="1"/>
  <c r="G615" i="1"/>
  <c r="G616" i="1"/>
  <c r="G617" i="1"/>
  <c r="G620" i="1"/>
  <c r="G621" i="1"/>
  <c r="G622" i="1"/>
  <c r="G623" i="1"/>
  <c r="G626" i="1"/>
  <c r="G627" i="1"/>
  <c r="G628" i="1"/>
  <c r="G629" i="1"/>
  <c r="G632" i="1"/>
  <c r="G633" i="1"/>
  <c r="G634" i="1"/>
  <c r="G635" i="1"/>
  <c r="G637" i="1"/>
  <c r="G638" i="1"/>
  <c r="G639" i="1"/>
  <c r="G640" i="1"/>
  <c r="G641" i="1"/>
  <c r="G645" i="1"/>
  <c r="G646" i="1"/>
  <c r="G647" i="1"/>
  <c r="G649" i="1"/>
  <c r="G650" i="1"/>
  <c r="G651" i="1"/>
  <c r="G652" i="1"/>
  <c r="G653" i="1"/>
  <c r="G656" i="1"/>
  <c r="G657" i="1"/>
  <c r="G658" i="1"/>
  <c r="G659" i="1"/>
  <c r="G662" i="1"/>
  <c r="G663" i="1"/>
  <c r="G664" i="1"/>
  <c r="G665" i="1"/>
  <c r="G668" i="1"/>
  <c r="G669" i="1"/>
  <c r="G670" i="1"/>
  <c r="G671" i="1"/>
  <c r="G673" i="1"/>
  <c r="G674" i="1"/>
  <c r="G675" i="1"/>
  <c r="G676" i="1"/>
  <c r="G677" i="1"/>
  <c r="G680" i="1"/>
  <c r="G681" i="1"/>
  <c r="G682" i="1"/>
  <c r="G683" i="1"/>
  <c r="G685" i="1"/>
  <c r="G686" i="1"/>
  <c r="G687" i="1"/>
  <c r="G688" i="1"/>
  <c r="G689" i="1"/>
  <c r="G692" i="1"/>
  <c r="G693" i="1"/>
  <c r="G694" i="1"/>
  <c r="G695" i="1"/>
  <c r="G697" i="1"/>
  <c r="G698" i="1"/>
  <c r="G699" i="1"/>
  <c r="G700" i="1"/>
  <c r="G701" i="1"/>
  <c r="G704" i="1"/>
  <c r="G705" i="1"/>
  <c r="G706" i="1"/>
  <c r="G709" i="1"/>
  <c r="G710" i="1"/>
  <c r="G711" i="1"/>
  <c r="G712" i="1"/>
  <c r="G713" i="1"/>
  <c r="G714" i="1"/>
  <c r="G715" i="1"/>
  <c r="G716" i="1"/>
  <c r="G717" i="1"/>
  <c r="G718" i="1"/>
  <c r="G722" i="1"/>
  <c r="G723" i="1"/>
  <c r="G724" i="1"/>
  <c r="G725" i="1"/>
  <c r="G728" i="1"/>
  <c r="G729" i="1"/>
  <c r="G730" i="1"/>
  <c r="G731" i="1"/>
  <c r="G734" i="1"/>
  <c r="G735" i="1"/>
  <c r="G736" i="1"/>
  <c r="G737" i="1"/>
  <c r="G740" i="1"/>
  <c r="G741" i="1"/>
  <c r="G742" i="1"/>
  <c r="G743" i="1"/>
  <c r="G745" i="1"/>
  <c r="G746" i="1"/>
  <c r="G747" i="1"/>
  <c r="G748" i="1"/>
  <c r="G749" i="1"/>
  <c r="G752" i="1"/>
  <c r="G753" i="1"/>
  <c r="G754" i="1"/>
  <c r="G755" i="1"/>
  <c r="G757" i="1"/>
  <c r="G758" i="1"/>
  <c r="G759" i="1"/>
  <c r="G760" i="1"/>
  <c r="G761" i="1"/>
  <c r="G762" i="1"/>
  <c r="G763" i="1"/>
  <c r="G764" i="1"/>
  <c r="G765" i="1"/>
  <c r="G766" i="1"/>
  <c r="G767" i="1"/>
  <c r="G770" i="1"/>
  <c r="G771" i="1"/>
  <c r="G772" i="1"/>
  <c r="G773" i="1"/>
  <c r="G776" i="1"/>
  <c r="G777" i="1"/>
  <c r="G778" i="1"/>
  <c r="G779" i="1"/>
  <c r="G782" i="1"/>
  <c r="G783" i="1"/>
  <c r="G784" i="1"/>
  <c r="G785" i="1"/>
  <c r="G788" i="1"/>
  <c r="G789" i="1"/>
  <c r="G790" i="1"/>
  <c r="G791" i="1"/>
  <c r="G793" i="1"/>
  <c r="G794" i="1"/>
  <c r="G795" i="1"/>
  <c r="G796" i="1"/>
  <c r="G797" i="1"/>
  <c r="G800" i="1"/>
  <c r="G801" i="1"/>
  <c r="G802" i="1"/>
  <c r="G803" i="1"/>
  <c r="G805" i="1"/>
  <c r="G806" i="1"/>
  <c r="G807" i="1"/>
  <c r="G808" i="1"/>
  <c r="G809" i="1"/>
  <c r="G810" i="1"/>
  <c r="G812" i="1"/>
  <c r="G813" i="1"/>
  <c r="G814" i="1"/>
  <c r="G815" i="1"/>
  <c r="G818" i="1"/>
  <c r="G819" i="1"/>
  <c r="G820" i="1"/>
  <c r="G821" i="1"/>
  <c r="G824" i="1"/>
  <c r="G825" i="1"/>
  <c r="G826" i="1"/>
  <c r="G827" i="1"/>
  <c r="G830" i="1"/>
  <c r="G831" i="1"/>
  <c r="G832" i="1"/>
  <c r="G833" i="1"/>
  <c r="G836" i="1"/>
  <c r="G837" i="1"/>
  <c r="G838" i="1"/>
  <c r="G839" i="1"/>
  <c r="G842" i="1"/>
  <c r="G843" i="1"/>
  <c r="G844" i="1"/>
  <c r="G845" i="1"/>
  <c r="G848" i="1"/>
  <c r="G849" i="1"/>
  <c r="G850" i="1"/>
  <c r="G853" i="1"/>
  <c r="G854" i="1"/>
  <c r="G855" i="1"/>
  <c r="G856" i="1"/>
  <c r="G857" i="1"/>
  <c r="G860" i="1"/>
  <c r="G861" i="1"/>
  <c r="G862" i="1"/>
  <c r="G866" i="1"/>
  <c r="G867" i="1"/>
  <c r="G868" i="1"/>
  <c r="G869" i="1"/>
  <c r="G870" i="1"/>
  <c r="G872" i="1"/>
  <c r="G873" i="1"/>
  <c r="G874" i="1"/>
  <c r="G875" i="1"/>
  <c r="G878" i="1"/>
  <c r="G879" i="1"/>
  <c r="G880" i="1"/>
  <c r="G881" i="1"/>
  <c r="G884" i="1"/>
  <c r="G885" i="1"/>
  <c r="G886" i="1"/>
  <c r="G887" i="1"/>
  <c r="G890" i="1"/>
  <c r="G891" i="1"/>
  <c r="G892" i="1"/>
  <c r="G893" i="1"/>
  <c r="G896" i="1"/>
  <c r="G897" i="1"/>
  <c r="G898" i="1"/>
  <c r="G899" i="1"/>
  <c r="G901" i="1"/>
  <c r="G902" i="1"/>
  <c r="G903" i="1"/>
  <c r="G904" i="1"/>
  <c r="G905" i="1"/>
  <c r="G908" i="1"/>
  <c r="G909" i="1"/>
  <c r="G910" i="1"/>
  <c r="G911" i="1"/>
  <c r="G913" i="1"/>
  <c r="G914" i="1"/>
  <c r="G915" i="1"/>
  <c r="G916" i="1"/>
  <c r="G917" i="1"/>
  <c r="G918" i="1"/>
  <c r="G920" i="1"/>
  <c r="G921" i="1"/>
  <c r="G922" i="1"/>
  <c r="G923" i="1"/>
  <c r="G926" i="1"/>
  <c r="G927" i="1"/>
  <c r="G928" i="1"/>
  <c r="G929" i="1"/>
  <c r="G932" i="1"/>
  <c r="G933" i="1"/>
  <c r="G934" i="1"/>
  <c r="G935" i="1"/>
  <c r="G938" i="1"/>
  <c r="G939" i="1"/>
  <c r="G940" i="1"/>
  <c r="G941" i="1"/>
  <c r="G944" i="1"/>
  <c r="G945" i="1"/>
  <c r="G946" i="1"/>
  <c r="G947" i="1"/>
  <c r="G949" i="1"/>
  <c r="G950" i="1"/>
  <c r="G951" i="1"/>
  <c r="G952" i="1"/>
  <c r="G953" i="1"/>
  <c r="G956" i="1"/>
  <c r="G957" i="1"/>
  <c r="G958" i="1"/>
  <c r="G959" i="1"/>
  <c r="G961" i="1"/>
  <c r="G962" i="1"/>
  <c r="G963" i="1"/>
  <c r="G964" i="1"/>
  <c r="G965" i="1"/>
  <c r="G968" i="1"/>
  <c r="G969" i="1"/>
  <c r="G970" i="1"/>
  <c r="G971" i="1"/>
  <c r="G973" i="1"/>
  <c r="G974" i="1"/>
  <c r="G975" i="1"/>
  <c r="G976" i="1"/>
  <c r="G977" i="1"/>
  <c r="G980" i="1"/>
  <c r="G981" i="1"/>
  <c r="G982" i="1"/>
  <c r="G983" i="1"/>
  <c r="G985" i="1"/>
  <c r="G986" i="1"/>
  <c r="G987" i="1"/>
  <c r="G988" i="1"/>
  <c r="G989" i="1"/>
  <c r="G991" i="1"/>
  <c r="G992" i="1"/>
  <c r="G993" i="1"/>
  <c r="G994" i="1"/>
  <c r="G3" i="1"/>
  <c r="G65" i="1"/>
  <c r="G937" i="1" l="1"/>
  <c r="G877" i="1"/>
  <c r="G733" i="1"/>
  <c r="G397" i="1"/>
  <c r="G164" i="1"/>
  <c r="G20" i="1"/>
  <c r="G259" i="1"/>
  <c r="G889" i="1"/>
  <c r="G829" i="1"/>
  <c r="G781" i="1"/>
  <c r="G661" i="1"/>
  <c r="G589" i="1"/>
  <c r="G529" i="1"/>
  <c r="G445" i="1"/>
  <c r="G409" i="1"/>
  <c r="G349" i="1"/>
  <c r="G248" i="1"/>
  <c r="G212" i="1"/>
  <c r="G80" i="1"/>
  <c r="G984" i="1"/>
  <c r="G948" i="1"/>
  <c r="G924" i="1"/>
  <c r="G876" i="1"/>
  <c r="G840" i="1"/>
  <c r="G804" i="1"/>
  <c r="G768" i="1"/>
  <c r="G744" i="1"/>
  <c r="G708" i="1"/>
  <c r="G672" i="1"/>
  <c r="G636" i="1"/>
  <c r="G600" i="1"/>
  <c r="G576" i="1"/>
  <c r="G552" i="1"/>
  <c r="G516" i="1"/>
  <c r="G468" i="1"/>
  <c r="G432" i="1"/>
  <c r="G396" i="1"/>
  <c r="G372" i="1"/>
  <c r="G336" i="1"/>
  <c r="G283" i="1"/>
  <c r="G247" i="1"/>
  <c r="G211" i="1"/>
  <c r="G163" i="1"/>
  <c r="G127" i="1"/>
  <c r="G103" i="1"/>
  <c r="G67" i="1"/>
  <c r="G19" i="1"/>
  <c r="G851" i="1"/>
  <c r="G563" i="1"/>
  <c r="G174" i="1"/>
  <c r="G865" i="1"/>
  <c r="G817" i="1"/>
  <c r="G721" i="1"/>
  <c r="G577" i="1"/>
  <c r="G517" i="1"/>
  <c r="G421" i="1"/>
  <c r="G313" i="1"/>
  <c r="G296" i="1"/>
  <c r="G188" i="1"/>
  <c r="G44" i="1"/>
  <c r="G960" i="1"/>
  <c r="G912" i="1"/>
  <c r="G888" i="1"/>
  <c r="G852" i="1"/>
  <c r="G816" i="1"/>
  <c r="G792" i="1"/>
  <c r="G756" i="1"/>
  <c r="G720" i="1"/>
  <c r="G684" i="1"/>
  <c r="G648" i="1"/>
  <c r="G624" i="1"/>
  <c r="G588" i="1"/>
  <c r="G540" i="1"/>
  <c r="G504" i="1"/>
  <c r="G480" i="1"/>
  <c r="G444" i="1"/>
  <c r="G408" i="1"/>
  <c r="G360" i="1"/>
  <c r="G324" i="1"/>
  <c r="G295" i="1"/>
  <c r="G235" i="1"/>
  <c r="G199" i="1"/>
  <c r="G175" i="1"/>
  <c r="G139" i="1"/>
  <c r="G91" i="1"/>
  <c r="G55" i="1"/>
  <c r="G31" i="1"/>
  <c r="G719" i="1"/>
  <c r="G431" i="1"/>
  <c r="G162" i="1"/>
  <c r="G18" i="1"/>
  <c r="G841" i="1"/>
  <c r="G769" i="1"/>
  <c r="G625" i="1"/>
  <c r="G565" i="1"/>
  <c r="G481" i="1"/>
  <c r="G433" i="1"/>
  <c r="G385" i="1"/>
  <c r="G308" i="1"/>
  <c r="G176" i="1"/>
  <c r="G116" i="1"/>
  <c r="G32" i="1"/>
  <c r="G972" i="1"/>
  <c r="G936" i="1"/>
  <c r="G900" i="1"/>
  <c r="G864" i="1"/>
  <c r="G828" i="1"/>
  <c r="G780" i="1"/>
  <c r="G732" i="1"/>
  <c r="G696" i="1"/>
  <c r="G660" i="1"/>
  <c r="G612" i="1"/>
  <c r="G564" i="1"/>
  <c r="G528" i="1"/>
  <c r="G492" i="1"/>
  <c r="G456" i="1"/>
  <c r="G420" i="1"/>
  <c r="G384" i="1"/>
  <c r="G348" i="1"/>
  <c r="G307" i="1"/>
  <c r="G271" i="1"/>
  <c r="G223" i="1"/>
  <c r="G187" i="1"/>
  <c r="G151" i="1"/>
  <c r="G115" i="1"/>
  <c r="G79" i="1"/>
  <c r="G43" i="1"/>
  <c r="G863" i="1"/>
  <c r="G707" i="1"/>
  <c r="G575" i="1"/>
  <c r="G419" i="1"/>
  <c r="G306" i="1"/>
  <c r="G30" i="1"/>
  <c r="G990" i="1"/>
  <c r="G978" i="1"/>
  <c r="G966" i="1"/>
  <c r="G954" i="1"/>
  <c r="G942" i="1"/>
  <c r="G930" i="1"/>
  <c r="G906" i="1"/>
  <c r="G894" i="1"/>
  <c r="G882" i="1"/>
  <c r="G846" i="1"/>
  <c r="G834" i="1"/>
  <c r="G822" i="1"/>
  <c r="G798" i="1"/>
  <c r="G786" i="1"/>
  <c r="G774" i="1"/>
  <c r="G750" i="1"/>
  <c r="G738" i="1"/>
  <c r="G726" i="1"/>
  <c r="G702" i="1"/>
  <c r="G690" i="1"/>
  <c r="G678" i="1"/>
  <c r="G666" i="1"/>
  <c r="G654" i="1"/>
  <c r="G642" i="1"/>
  <c r="G630" i="1"/>
  <c r="G618" i="1"/>
  <c r="G594" i="1"/>
  <c r="G582" i="1"/>
  <c r="G558" i="1"/>
  <c r="G546" i="1"/>
  <c r="G534" i="1"/>
  <c r="G522" i="1"/>
  <c r="G510" i="1"/>
  <c r="G498" i="1"/>
  <c r="G486" i="1"/>
  <c r="G462" i="1"/>
  <c r="G450" i="1"/>
  <c r="G426" i="1"/>
  <c r="G414" i="1"/>
  <c r="G402" i="1"/>
  <c r="G390" i="1"/>
  <c r="G366" i="1"/>
  <c r="G354" i="1"/>
  <c r="G342" i="1"/>
  <c r="G330" i="1"/>
  <c r="G318" i="1"/>
  <c r="G301" i="1"/>
  <c r="G265" i="1"/>
  <c r="G253" i="1"/>
  <c r="G241" i="1"/>
  <c r="G229" i="1"/>
  <c r="G217" i="1"/>
  <c r="G205" i="1"/>
  <c r="G181" i="1"/>
  <c r="G169" i="1"/>
  <c r="G145" i="1"/>
  <c r="G133" i="1"/>
  <c r="G121" i="1"/>
  <c r="G109" i="1"/>
  <c r="G97" i="1"/>
  <c r="G85" i="1"/>
  <c r="G73" i="1"/>
  <c r="G49" i="1"/>
  <c r="G37" i="1"/>
  <c r="G25" i="1"/>
  <c r="G979" i="1"/>
  <c r="G967" i="1"/>
  <c r="G955" i="1"/>
  <c r="G943" i="1"/>
  <c r="G931" i="1"/>
  <c r="G919" i="1"/>
  <c r="G907" i="1"/>
  <c r="G895" i="1"/>
  <c r="G883" i="1"/>
  <c r="G871" i="1"/>
  <c r="G859" i="1"/>
  <c r="G847" i="1"/>
  <c r="G835" i="1"/>
  <c r="G823" i="1"/>
  <c r="G811" i="1"/>
  <c r="G799" i="1"/>
  <c r="G787" i="1"/>
  <c r="G775" i="1"/>
  <c r="G751" i="1"/>
  <c r="G739" i="1"/>
  <c r="G727" i="1"/>
  <c r="G703" i="1"/>
  <c r="G691" i="1"/>
  <c r="G679" i="1"/>
  <c r="G667" i="1"/>
  <c r="G655" i="1"/>
  <c r="G643" i="1"/>
  <c r="G631" i="1"/>
  <c r="G619" i="1"/>
  <c r="G595" i="1"/>
  <c r="G583" i="1"/>
  <c r="G559" i="1"/>
  <c r="G547" i="1"/>
  <c r="G535" i="1"/>
  <c r="G523" i="1"/>
  <c r="G511" i="1"/>
  <c r="G499" i="1"/>
  <c r="G487" i="1"/>
  <c r="G463" i="1"/>
  <c r="G451" i="1"/>
  <c r="G427" i="1"/>
  <c r="G415" i="1"/>
  <c r="G403" i="1"/>
  <c r="G391" i="1"/>
  <c r="G379" i="1"/>
  <c r="G367" i="1"/>
  <c r="G355" i="1"/>
  <c r="G343" i="1"/>
  <c r="G331" i="1"/>
  <c r="G319" i="1"/>
  <c r="G302" i="1"/>
  <c r="G278" i="1"/>
  <c r="G266" i="1"/>
  <c r="G254" i="1"/>
  <c r="G242" i="1"/>
  <c r="G230" i="1"/>
  <c r="G218" i="1"/>
  <c r="G206" i="1"/>
  <c r="G194" i="1"/>
  <c r="G182" i="1"/>
  <c r="G170" i="1"/>
  <c r="G158" i="1"/>
  <c r="G146" i="1"/>
  <c r="G134" i="1"/>
  <c r="G122" i="1"/>
  <c r="G110" i="1"/>
  <c r="G98" i="1"/>
  <c r="G86" i="1"/>
  <c r="G74" i="1"/>
  <c r="G50" i="1"/>
  <c r="G38" i="1"/>
  <c r="G26" i="1"/>
</calcChain>
</file>

<file path=xl/sharedStrings.xml><?xml version="1.0" encoding="utf-8"?>
<sst xmlns="http://schemas.openxmlformats.org/spreadsheetml/2006/main" count="7679" uniqueCount="140">
  <si>
    <t>TOKO</t>
  </si>
  <si>
    <t>TGL</t>
  </si>
  <si>
    <t>TALY</t>
  </si>
  <si>
    <t>NETTO</t>
  </si>
  <si>
    <t xml:space="preserve">SUSUT 1 </t>
  </si>
  <si>
    <t>SUSUT JUAL</t>
  </si>
  <si>
    <t>%</t>
  </si>
  <si>
    <t>BAHAN RENDANG</t>
  </si>
  <si>
    <t>KRANGGAN</t>
  </si>
  <si>
    <t>DEPOK</t>
  </si>
  <si>
    <t>JATIRAWAMNGUN</t>
  </si>
  <si>
    <t>KOSAMBI</t>
  </si>
  <si>
    <t>CIKUT</t>
  </si>
  <si>
    <t>SOEPOMO</t>
  </si>
  <si>
    <t>CIKAMPEK</t>
  </si>
  <si>
    <t>SOREANG</t>
  </si>
  <si>
    <t>KRANJI</t>
  </si>
  <si>
    <t>KEMANG</t>
  </si>
  <si>
    <t>CEGER</t>
  </si>
  <si>
    <t>MATRAMAN</t>
  </si>
  <si>
    <t>KARAWACI</t>
  </si>
  <si>
    <t>PURWOKERTO</t>
  </si>
  <si>
    <t>SEMARANG</t>
  </si>
  <si>
    <t>BOGOR</t>
  </si>
  <si>
    <t>CIBINONG</t>
  </si>
  <si>
    <t>CILEUNGSI</t>
  </si>
  <si>
    <t>CITAYAM</t>
  </si>
  <si>
    <t xml:space="preserve">GRACIA </t>
  </si>
  <si>
    <t>PENGGILINGAN</t>
  </si>
  <si>
    <t>PORIS</t>
  </si>
  <si>
    <t>JUANDA</t>
  </si>
  <si>
    <t>KEBAGUSAN</t>
  </si>
  <si>
    <t>CILANDAK</t>
  </si>
  <si>
    <t>GRAHA 71</t>
  </si>
  <si>
    <t>MANGUNJAYA</t>
  </si>
  <si>
    <t>TANJUNG DUREN</t>
  </si>
  <si>
    <t>MAKASAR</t>
  </si>
  <si>
    <t>SAWANGAN</t>
  </si>
  <si>
    <t>CITRA RAYA</t>
  </si>
  <si>
    <t>KALISARI</t>
  </si>
  <si>
    <t>SHANKLE</t>
  </si>
  <si>
    <t>RAWON</t>
  </si>
  <si>
    <t>PREMIUM</t>
  </si>
  <si>
    <t>SUSUT %</t>
  </si>
  <si>
    <t>EXPRESS</t>
  </si>
  <si>
    <t>Sum of NETTO</t>
  </si>
  <si>
    <t>Sum of TALY</t>
  </si>
  <si>
    <t xml:space="preserve">Sum of SUSUT 1 </t>
  </si>
  <si>
    <t>Sum of SUSUT JUAL</t>
  </si>
  <si>
    <t xml:space="preserve">HARGA </t>
  </si>
  <si>
    <t xml:space="preserve">BAHAN </t>
  </si>
  <si>
    <t>HASIL</t>
  </si>
  <si>
    <t xml:space="preserve">X </t>
  </si>
  <si>
    <t>=</t>
  </si>
  <si>
    <t>MODAL RAWON - SUSUT JUAL</t>
  </si>
  <si>
    <t>SUSUT PROSES</t>
  </si>
  <si>
    <t>TOTAL SUSUT</t>
  </si>
  <si>
    <t>MODAL PREMIUM - SUSUT JUAL</t>
  </si>
  <si>
    <t>MODAL D RENDANG - SUSUT JUAL</t>
  </si>
  <si>
    <t>MODAL SHANKLE - SUSUT JUAL</t>
  </si>
  <si>
    <t>Grand Total</t>
  </si>
  <si>
    <t xml:space="preserve">TOKO </t>
  </si>
  <si>
    <t>DAGING PREMIUM FRESH APRIL 2026</t>
  </si>
  <si>
    <t>RAWON FRESH APRIL 2026</t>
  </si>
  <si>
    <t>RENDANG FRESH APRIL 2026</t>
  </si>
  <si>
    <t>SHANKLE FRESH APRIL 2026</t>
  </si>
  <si>
    <t>PERUMNAS</t>
  </si>
  <si>
    <t>JATIMAKMUR</t>
  </si>
  <si>
    <t>Barcode</t>
  </si>
  <si>
    <t>SRV</t>
  </si>
  <si>
    <t>Principle</t>
  </si>
  <si>
    <t>DC CIBITUNG</t>
  </si>
  <si>
    <t>Item Desc</t>
  </si>
  <si>
    <t>DAGING RENDANG SHANKLE KG</t>
  </si>
  <si>
    <t>DAGING RENDANG FRESH KG</t>
  </si>
  <si>
    <t>DAGING PREMIUM FRESH KG</t>
  </si>
  <si>
    <t>DAGING RAWON FRESH KG</t>
  </si>
  <si>
    <t>STOK AKHIR LAPORAN</t>
  </si>
  <si>
    <t>SELISIH</t>
  </si>
  <si>
    <t>KRG</t>
  </si>
  <si>
    <t>GDC</t>
  </si>
  <si>
    <t>JTRW</t>
  </si>
  <si>
    <t>KSB</t>
  </si>
  <si>
    <t>CKU</t>
  </si>
  <si>
    <t>SPM</t>
  </si>
  <si>
    <t>CKP</t>
  </si>
  <si>
    <t>BDG</t>
  </si>
  <si>
    <t>KRJ</t>
  </si>
  <si>
    <t>KMG</t>
  </si>
  <si>
    <t>CGR</t>
  </si>
  <si>
    <t>MTM</t>
  </si>
  <si>
    <t>KWC</t>
  </si>
  <si>
    <t>PWT</t>
  </si>
  <si>
    <t>SMG</t>
  </si>
  <si>
    <t>BOG</t>
  </si>
  <si>
    <t>CBN</t>
  </si>
  <si>
    <t>CLS</t>
  </si>
  <si>
    <t>GBT</t>
  </si>
  <si>
    <t>CTY</t>
  </si>
  <si>
    <t>CPR</t>
  </si>
  <si>
    <t>GPR</t>
  </si>
  <si>
    <t>JDA</t>
  </si>
  <si>
    <t>KBG</t>
  </si>
  <si>
    <t>CKO</t>
  </si>
  <si>
    <t>BTS</t>
  </si>
  <si>
    <t>MJA</t>
  </si>
  <si>
    <t>TDG</t>
  </si>
  <si>
    <t>MKS</t>
  </si>
  <si>
    <t>SWN</t>
  </si>
  <si>
    <t>CTR</t>
  </si>
  <si>
    <t>KLS</t>
  </si>
  <si>
    <t>JMR</t>
  </si>
  <si>
    <t>PNS</t>
  </si>
  <si>
    <t>ITEM NAME</t>
  </si>
  <si>
    <t>DAGING RENDANG POTONG FRESH KG</t>
  </si>
  <si>
    <t>DAGING RENDANG FRESH MEMBER KG</t>
  </si>
  <si>
    <t>STOK AKHIR SISTEM</t>
  </si>
  <si>
    <t>RADEN SALAEH</t>
  </si>
  <si>
    <t>RADEN SALEH</t>
  </si>
  <si>
    <t>RADEN SLAEH</t>
  </si>
  <si>
    <t>RDS</t>
  </si>
  <si>
    <t>JATIASIH</t>
  </si>
  <si>
    <t>PANDU RAYA</t>
  </si>
  <si>
    <t>MERUYA UTARA</t>
  </si>
  <si>
    <t>KELAPA DUA DEPOK</t>
  </si>
  <si>
    <t>TDN CIBITUNG</t>
  </si>
  <si>
    <t>TDN BULUH INDAH</t>
  </si>
  <si>
    <t>TDN RAYA BOGOR</t>
  </si>
  <si>
    <t xml:space="preserve"> </t>
  </si>
  <si>
    <t>TDN PROKLAMASI</t>
  </si>
  <si>
    <t>TDN CIMANGGIS</t>
  </si>
  <si>
    <t>TDN KOTA WISATA</t>
  </si>
  <si>
    <t>Row Labels</t>
  </si>
  <si>
    <t>DAGING RENDANG SHANKLE</t>
  </si>
  <si>
    <t>DAGING RENDANG FRESH</t>
  </si>
  <si>
    <t>DAGING PREMIUM</t>
  </si>
  <si>
    <t xml:space="preserve"> SUSUT 1 </t>
  </si>
  <si>
    <t xml:space="preserve"> NETTO</t>
  </si>
  <si>
    <t xml:space="preserve"> TALY</t>
  </si>
  <si>
    <t xml:space="preserve">DAGING RAWON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</si>
</sst>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00_);_(* \(#,##0.000\);_(* &quot;-&quot;??_);_(@_)"/>
    <numFmt numFmtId="165" formatCode="_(* #,##0_);_(* \(#,##0\);_(* &quot;-&quot;??_);_(@_)"/>
    <numFmt numFmtId="166" formatCode="#,##0.000"/>
    <numFmt numFmtId="167" formatCode="0.00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0"/>
    <xf numFmtId="0" fontId="1" fillId="0" borderId="0"/>
    <xf numFmtId="0" fontId="13" fillId="0" borderId="0"/>
    <xf numFmtId="0" fontId="14" fillId="0" borderId="0"/>
    <xf numFmtId="0" fontId="15" fillId="0" borderId="0"/>
    <xf numFmtId="0" fontId="16" fillId="0" borderId="0"/>
  </cellStyleXfs>
  <cellXfs count="132">
    <xf numFmtId="0" fontId="0" fillId="0" borderId="0" xfId="0"/>
    <xf numFmtId="0" fontId="0" fillId="0" borderId="1" xfId="0" applyBorder="1"/>
    <xf numFmtId="43" fontId="0" fillId="0" borderId="1" xfId="1" applyFont="1" applyBorder="1"/>
    <xf numFmtId="10" fontId="0" fillId="0" borderId="1" xfId="2" applyNumberFormat="1" applyFont="1" applyBorder="1"/>
    <xf numFmtId="10" fontId="0" fillId="0" borderId="0" xfId="2" applyNumberFormat="1" applyFont="1"/>
    <xf numFmtId="0" fontId="0" fillId="2" borderId="1" xfId="0" applyFill="1" applyBorder="1"/>
    <xf numFmtId="10" fontId="0" fillId="2" borderId="1" xfId="2" applyNumberFormat="1" applyFont="1" applyFill="1" applyBorder="1" applyAlignment="1">
      <alignment horizontal="center"/>
    </xf>
    <xf numFmtId="10" fontId="0" fillId="2" borderId="1" xfId="2" applyNumberFormat="1" applyFont="1" applyFill="1" applyBorder="1"/>
    <xf numFmtId="43" fontId="0" fillId="2" borderId="1" xfId="1" applyFont="1" applyFill="1" applyBorder="1"/>
    <xf numFmtId="43" fontId="0" fillId="0" borderId="0" xfId="1" applyFont="1"/>
    <xf numFmtId="164" fontId="0" fillId="2" borderId="1" xfId="1" applyNumberFormat="1" applyFont="1" applyFill="1" applyBorder="1"/>
    <xf numFmtId="164" fontId="0" fillId="0" borderId="1" xfId="1" applyNumberFormat="1" applyFont="1" applyBorder="1"/>
    <xf numFmtId="164" fontId="0" fillId="0" borderId="0" xfId="1" applyNumberFormat="1" applyFont="1"/>
    <xf numFmtId="0" fontId="0" fillId="3" borderId="1" xfId="0" applyFill="1" applyBorder="1"/>
    <xf numFmtId="10" fontId="0" fillId="0" borderId="1" xfId="0" applyNumberFormat="1" applyBorder="1"/>
    <xf numFmtId="43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165" fontId="0" fillId="0" borderId="1" xfId="1" applyNumberFormat="1" applyFont="1" applyBorder="1"/>
    <xf numFmtId="43" fontId="2" fillId="0" borderId="1" xfId="1" applyFont="1" applyBorder="1"/>
    <xf numFmtId="164" fontId="0" fillId="0" borderId="0" xfId="0" applyNumberFormat="1"/>
    <xf numFmtId="43" fontId="0" fillId="0" borderId="1" xfId="0" applyNumberFormat="1" applyBorder="1" applyAlignment="1">
      <alignment horizontal="center"/>
    </xf>
    <xf numFmtId="165" fontId="0" fillId="0" borderId="1" xfId="1" applyNumberFormat="1" applyFont="1" applyBorder="1" applyAlignment="1">
      <alignment vertical="center"/>
    </xf>
    <xf numFmtId="165" fontId="0" fillId="0" borderId="1" xfId="0" applyNumberFormat="1" applyBorder="1"/>
    <xf numFmtId="0" fontId="2" fillId="2" borderId="1" xfId="0" applyFont="1" applyFill="1" applyBorder="1"/>
    <xf numFmtId="43" fontId="2" fillId="2" borderId="1" xfId="0" applyNumberFormat="1" applyFont="1" applyFill="1" applyBorder="1"/>
    <xf numFmtId="0" fontId="2" fillId="0" borderId="1" xfId="0" applyFont="1" applyBorder="1"/>
    <xf numFmtId="43" fontId="0" fillId="0" borderId="1" xfId="0" applyNumberFormat="1" applyBorder="1"/>
    <xf numFmtId="10" fontId="0" fillId="0" borderId="1" xfId="2" applyNumberFormat="1" applyFont="1" applyFill="1" applyBorder="1"/>
    <xf numFmtId="10" fontId="2" fillId="0" borderId="1" xfId="2" applyNumberFormat="1" applyFont="1" applyBorder="1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" fontId="5" fillId="0" borderId="1" xfId="1" applyNumberFormat="1" applyFont="1" applyFill="1" applyBorder="1" applyAlignment="1">
      <alignment horizontal="center" vertical="center"/>
    </xf>
    <xf numFmtId="2" fontId="0" fillId="0" borderId="1" xfId="1" applyNumberFormat="1" applyFont="1" applyFill="1" applyBorder="1" applyAlignment="1">
      <alignment horizontal="center" vertical="center"/>
    </xf>
    <xf numFmtId="1" fontId="0" fillId="0" borderId="1" xfId="1" applyNumberFormat="1" applyFont="1" applyFill="1" applyBorder="1"/>
    <xf numFmtId="1" fontId="0" fillId="0" borderId="1" xfId="1" applyNumberFormat="1" applyFont="1" applyFill="1" applyBorder="1" applyAlignment="1">
      <alignment horizontal="center" vertical="center"/>
    </xf>
    <xf numFmtId="1" fontId="0" fillId="0" borderId="0" xfId="1" applyNumberFormat="1" applyFont="1" applyFill="1"/>
    <xf numFmtId="165" fontId="5" fillId="0" borderId="1" xfId="1" applyNumberFormat="1" applyFont="1" applyFill="1" applyBorder="1" applyAlignment="1">
      <alignment horizontal="center" vertical="center"/>
    </xf>
    <xf numFmtId="165" fontId="0" fillId="0" borderId="1" xfId="1" applyNumberFormat="1" applyFont="1" applyFill="1" applyBorder="1"/>
    <xf numFmtId="165" fontId="6" fillId="4" borderId="1" xfId="1" applyNumberFormat="1" applyFont="1" applyFill="1" applyBorder="1" applyAlignment="1">
      <alignment horizontal="center" vertical="center"/>
    </xf>
    <xf numFmtId="9" fontId="5" fillId="4" borderId="1" xfId="2" applyFont="1" applyFill="1" applyBorder="1" applyAlignment="1">
      <alignment horizontal="center" vertical="center" wrapText="1"/>
    </xf>
    <xf numFmtId="2" fontId="1" fillId="5" borderId="1" xfId="2" applyNumberFormat="1" applyFont="1" applyFill="1" applyBorder="1" applyAlignment="1">
      <alignment horizontal="center" vertical="center" wrapText="1"/>
    </xf>
    <xf numFmtId="2" fontId="4" fillId="6" borderId="1" xfId="2" applyNumberFormat="1" applyFont="1" applyFill="1" applyBorder="1" applyAlignment="1">
      <alignment horizontal="center" vertical="center" wrapText="1"/>
    </xf>
    <xf numFmtId="2" fontId="4" fillId="3" borderId="1" xfId="2" applyNumberFormat="1" applyFont="1" applyFill="1" applyBorder="1" applyAlignment="1">
      <alignment horizontal="center" vertical="center" wrapText="1"/>
    </xf>
    <xf numFmtId="2" fontId="4" fillId="7" borderId="1" xfId="2" applyNumberFormat="1" applyFont="1" applyFill="1" applyBorder="1" applyAlignment="1">
      <alignment horizontal="center" vertical="center" wrapText="1"/>
    </xf>
    <xf numFmtId="43" fontId="9" fillId="0" borderId="1" xfId="1" applyFont="1" applyFill="1" applyBorder="1" applyAlignment="1">
      <alignment horizontal="center" vertical="center"/>
    </xf>
    <xf numFmtId="2" fontId="0" fillId="0" borderId="1" xfId="1" applyNumberFormat="1" applyFont="1" applyBorder="1" applyAlignment="1">
      <alignment horizontal="center" vertical="center"/>
    </xf>
    <xf numFmtId="43" fontId="0" fillId="0" borderId="1" xfId="1" applyFont="1" applyFill="1" applyBorder="1"/>
    <xf numFmtId="165" fontId="9" fillId="0" borderId="1" xfId="1" applyNumberFormat="1" applyFont="1" applyFill="1" applyBorder="1" applyAlignment="1">
      <alignment horizontal="center" vertical="center"/>
    </xf>
    <xf numFmtId="2" fontId="0" fillId="0" borderId="1" xfId="1" applyNumberFormat="1" applyFont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2" borderId="1" xfId="1" applyNumberFormat="1" applyFont="1" applyFill="1" applyBorder="1" applyAlignment="1">
      <alignment horizontal="center" vertical="center"/>
    </xf>
    <xf numFmtId="43" fontId="9" fillId="8" borderId="1" xfId="1" applyFont="1" applyFill="1" applyBorder="1" applyAlignment="1">
      <alignment horizontal="center" vertical="center"/>
    </xf>
    <xf numFmtId="2" fontId="0" fillId="8" borderId="1" xfId="1" applyNumberFormat="1" applyFont="1" applyFill="1" applyBorder="1" applyAlignment="1">
      <alignment horizontal="center" vertical="center"/>
    </xf>
    <xf numFmtId="43" fontId="0" fillId="8" borderId="1" xfId="1" applyFont="1" applyFill="1" applyBorder="1"/>
    <xf numFmtId="0" fontId="0" fillId="8" borderId="1" xfId="0" applyFill="1" applyBorder="1"/>
    <xf numFmtId="2" fontId="4" fillId="9" borderId="1" xfId="1" applyNumberFormat="1" applyFont="1" applyFill="1" applyBorder="1" applyAlignment="1">
      <alignment horizontal="center" vertical="center"/>
    </xf>
    <xf numFmtId="14" fontId="0" fillId="0" borderId="0" xfId="0" applyNumberFormat="1"/>
    <xf numFmtId="43" fontId="7" fillId="0" borderId="1" xfId="1" applyFont="1" applyFill="1" applyBorder="1" applyAlignment="1">
      <alignment horizontal="center" vertical="center"/>
    </xf>
    <xf numFmtId="2" fontId="1" fillId="0" borderId="1" xfId="1" applyNumberFormat="1" applyFont="1" applyFill="1" applyBorder="1" applyAlignment="1">
      <alignment horizontal="center" vertical="center"/>
    </xf>
    <xf numFmtId="43" fontId="1" fillId="0" borderId="1" xfId="1" applyFont="1" applyFill="1" applyBorder="1"/>
    <xf numFmtId="2" fontId="1" fillId="0" borderId="1" xfId="1" applyNumberFormat="1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1" fillId="0" borderId="1" xfId="1" applyNumberFormat="1" applyFont="1" applyFill="1" applyBorder="1"/>
    <xf numFmtId="165" fontId="7" fillId="0" borderId="1" xfId="1" applyNumberFormat="1" applyFont="1" applyFill="1" applyBorder="1" applyAlignment="1">
      <alignment horizontal="center" vertical="center"/>
    </xf>
    <xf numFmtId="2" fontId="4" fillId="10" borderId="1" xfId="2" applyNumberFormat="1" applyFont="1" applyFill="1" applyBorder="1" applyAlignment="1">
      <alignment horizontal="center" vertical="center" wrapText="1"/>
    </xf>
    <xf numFmtId="43" fontId="1" fillId="0" borderId="1" xfId="1" applyFont="1" applyBorder="1"/>
    <xf numFmtId="43" fontId="1" fillId="0" borderId="1" xfId="1" applyFont="1" applyFill="1" applyBorder="1" applyAlignment="1">
      <alignment horizontal="center" vertical="center"/>
    </xf>
    <xf numFmtId="2" fontId="10" fillId="0" borderId="1" xfId="1" applyNumberFormat="1" applyFont="1" applyFill="1" applyBorder="1" applyAlignment="1">
      <alignment horizontal="center" vertical="center"/>
    </xf>
    <xf numFmtId="2" fontId="1" fillId="5" borderId="1" xfId="1" applyNumberFormat="1" applyFont="1" applyFill="1" applyBorder="1" applyAlignment="1">
      <alignment horizontal="center" vertical="center"/>
    </xf>
    <xf numFmtId="2" fontId="1" fillId="3" borderId="1" xfId="1" applyNumberFormat="1" applyFont="1" applyFill="1" applyBorder="1" applyAlignment="1">
      <alignment horizontal="center" vertical="center"/>
    </xf>
    <xf numFmtId="16" fontId="0" fillId="0" borderId="0" xfId="0" applyNumberFormat="1"/>
    <xf numFmtId="166" fontId="0" fillId="0" borderId="1" xfId="0" applyNumberFormat="1" applyBorder="1" applyAlignment="1">
      <alignment horizontal="center" vertical="center"/>
    </xf>
    <xf numFmtId="2" fontId="1" fillId="11" borderId="1" xfId="1" applyNumberFormat="1" applyFont="1" applyFill="1" applyBorder="1" applyAlignment="1">
      <alignment horizontal="center" vertical="center"/>
    </xf>
    <xf numFmtId="43" fontId="7" fillId="8" borderId="1" xfId="1" applyFont="1" applyFill="1" applyBorder="1" applyAlignment="1">
      <alignment horizontal="center" vertical="center"/>
    </xf>
    <xf numFmtId="43" fontId="1" fillId="8" borderId="1" xfId="1" applyFont="1" applyFill="1" applyBorder="1"/>
    <xf numFmtId="2" fontId="1" fillId="8" borderId="1" xfId="1" applyNumberFormat="1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 vertical="center"/>
    </xf>
    <xf numFmtId="167" fontId="1" fillId="3" borderId="1" xfId="1" applyNumberFormat="1" applyFont="1" applyFill="1" applyBorder="1" applyAlignment="1">
      <alignment horizontal="center" vertical="center"/>
    </xf>
    <xf numFmtId="165" fontId="7" fillId="5" borderId="1" xfId="1" applyNumberFormat="1" applyFont="1" applyFill="1" applyBorder="1" applyAlignment="1">
      <alignment horizontal="center"/>
    </xf>
    <xf numFmtId="165" fontId="8" fillId="6" borderId="1" xfId="1" applyNumberFormat="1" applyFont="1" applyFill="1" applyBorder="1" applyAlignment="1">
      <alignment horizontal="center"/>
    </xf>
    <xf numFmtId="165" fontId="8" fillId="3" borderId="1" xfId="1" applyNumberFormat="1" applyFont="1" applyFill="1" applyBorder="1" applyAlignment="1">
      <alignment horizontal="center"/>
    </xf>
    <xf numFmtId="165" fontId="8" fillId="7" borderId="1" xfId="1" applyNumberFormat="1" applyFont="1" applyFill="1" applyBorder="1" applyAlignment="1">
      <alignment horizontal="center"/>
    </xf>
    <xf numFmtId="2" fontId="11" fillId="0" borderId="1" xfId="1" applyNumberFormat="1" applyFont="1" applyFill="1" applyBorder="1" applyAlignment="1">
      <alignment horizontal="center" vertical="center"/>
    </xf>
    <xf numFmtId="2" fontId="11" fillId="3" borderId="1" xfId="1" applyNumberFormat="1" applyFont="1" applyFill="1" applyBorder="1" applyAlignment="1">
      <alignment horizontal="center" vertical="center"/>
    </xf>
    <xf numFmtId="167" fontId="11" fillId="3" borderId="1" xfId="1" applyNumberFormat="1" applyFont="1" applyFill="1" applyBorder="1" applyAlignment="1">
      <alignment horizontal="center" vertical="center"/>
    </xf>
    <xf numFmtId="167" fontId="11" fillId="0" borderId="1" xfId="1" applyNumberFormat="1" applyFont="1" applyFill="1" applyBorder="1" applyAlignment="1">
      <alignment horizontal="center" vertical="center"/>
    </xf>
    <xf numFmtId="2" fontId="11" fillId="11" borderId="1" xfId="1" applyNumberFormat="1" applyFont="1" applyFill="1" applyBorder="1" applyAlignment="1">
      <alignment horizontal="center" vertical="center"/>
    </xf>
    <xf numFmtId="43" fontId="11" fillId="0" borderId="1" xfId="1" applyFont="1" applyFill="1" applyBorder="1"/>
    <xf numFmtId="2" fontId="11" fillId="0" borderId="1" xfId="1" applyNumberFormat="1" applyFont="1" applyFill="1" applyBorder="1"/>
    <xf numFmtId="2" fontId="0" fillId="0" borderId="0" xfId="1" applyNumberFormat="1" applyFont="1" applyAlignment="1">
      <alignment horizontal="center" vertical="center"/>
    </xf>
    <xf numFmtId="43" fontId="7" fillId="12" borderId="1" xfId="1" applyFont="1" applyFill="1" applyBorder="1" applyAlignment="1">
      <alignment horizontal="center" vertical="center"/>
    </xf>
    <xf numFmtId="165" fontId="7" fillId="1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/>
    <xf numFmtId="43" fontId="12" fillId="0" borderId="1" xfId="1" applyFont="1" applyFill="1" applyBorder="1" applyAlignment="1">
      <alignment horizontal="center" vertical="center"/>
    </xf>
    <xf numFmtId="2" fontId="1" fillId="4" borderId="1" xfId="2" applyNumberFormat="1" applyFont="1" applyFill="1" applyBorder="1" applyAlignment="1">
      <alignment horizontal="center" vertical="center" wrapText="1"/>
    </xf>
    <xf numFmtId="1" fontId="0" fillId="0" borderId="0" xfId="0" applyNumberFormat="1"/>
    <xf numFmtId="166" fontId="1" fillId="0" borderId="1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2" fillId="13" borderId="1" xfId="0" applyFont="1" applyFill="1" applyBorder="1"/>
    <xf numFmtId="10" fontId="10" fillId="0" borderId="1" xfId="2" applyNumberFormat="1" applyFont="1" applyFill="1" applyBorder="1"/>
    <xf numFmtId="10" fontId="10" fillId="0" borderId="1" xfId="2" applyNumberFormat="1" applyFont="1" applyBorder="1"/>
    <xf numFmtId="0" fontId="2" fillId="13" borderId="1" xfId="0" applyFont="1" applyFill="1" applyBorder="1" applyAlignment="1">
      <alignment horizontal="center" wrapText="1"/>
    </xf>
    <xf numFmtId="0" fontId="2" fillId="13" borderId="1" xfId="0" applyFont="1" applyFill="1" applyBorder="1" applyAlignment="1">
      <alignment horizontal="center"/>
    </xf>
    <xf numFmtId="10" fontId="2" fillId="13" borderId="1" xfId="2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0" fontId="10" fillId="0" borderId="1" xfId="2" applyNumberFormat="1" applyFont="1" applyFill="1" applyBorder="1" applyAlignment="1">
      <alignment horizontal="center"/>
    </xf>
    <xf numFmtId="10" fontId="0" fillId="0" borderId="1" xfId="2" applyNumberFormat="1" applyFont="1" applyFill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64" fontId="2" fillId="13" borderId="1" xfId="1" applyNumberFormat="1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43" fontId="2" fillId="0" borderId="0" xfId="1" applyFont="1" applyAlignment="1">
      <alignment horizontal="center"/>
    </xf>
    <xf numFmtId="164" fontId="2" fillId="0" borderId="0" xfId="1" applyNumberFormat="1" applyFont="1" applyAlignment="1">
      <alignment horizontal="center"/>
    </xf>
    <xf numFmtId="10" fontId="2" fillId="0" borderId="0" xfId="2" applyNumberFormat="1" applyFont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10" fontId="0" fillId="0" borderId="0" xfId="2" applyNumberFormat="1" applyFont="1" applyAlignment="1">
      <alignment horizontal="center"/>
    </xf>
    <xf numFmtId="165" fontId="8" fillId="7" borderId="1" xfId="1" applyNumberFormat="1" applyFont="1" applyFill="1" applyBorder="1" applyAlignment="1">
      <alignment horizontal="center"/>
    </xf>
    <xf numFmtId="165" fontId="7" fillId="4" borderId="1" xfId="1" applyNumberFormat="1" applyFont="1" applyFill="1" applyBorder="1" applyAlignment="1">
      <alignment horizontal="center"/>
    </xf>
    <xf numFmtId="165" fontId="8" fillId="6" borderId="1" xfId="1" applyNumberFormat="1" applyFont="1" applyFill="1" applyBorder="1" applyAlignment="1">
      <alignment horizontal="center"/>
    </xf>
    <xf numFmtId="165" fontId="8" fillId="3" borderId="2" xfId="1" applyNumberFormat="1" applyFont="1" applyFill="1" applyBorder="1" applyAlignment="1">
      <alignment horizontal="center"/>
    </xf>
    <xf numFmtId="165" fontId="8" fillId="3" borderId="4" xfId="1" applyNumberFormat="1" applyFont="1" applyFill="1" applyBorder="1" applyAlignment="1">
      <alignment horizontal="center"/>
    </xf>
    <xf numFmtId="165" fontId="8" fillId="3" borderId="5" xfId="1" applyNumberFormat="1" applyFont="1" applyFill="1" applyBorder="1" applyAlignment="1">
      <alignment horizontal="center"/>
    </xf>
    <xf numFmtId="165" fontId="7" fillId="5" borderId="1" xfId="1" applyNumberFormat="1" applyFont="1" applyFill="1" applyBorder="1" applyAlignment="1">
      <alignment horizontal="center"/>
    </xf>
    <xf numFmtId="165" fontId="8" fillId="3" borderId="1" xfId="1" applyNumberFormat="1" applyFont="1" applyFill="1" applyBorder="1" applyAlignment="1">
      <alignment horizontal="center"/>
    </xf>
    <xf numFmtId="165" fontId="8" fillId="10" borderId="1" xfId="1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0">
    <cellStyle name="Comma" xfId="1" builtinId="3"/>
    <cellStyle name="Comma 2" xfId="3" xr:uid="{1152DC2C-3256-4087-AA21-C16528D28530}"/>
    <cellStyle name="Normal" xfId="0" builtinId="0"/>
    <cellStyle name="Normal 2" xfId="4" xr:uid="{46487B52-75ED-4E9E-922A-FD7F9FCE1405}"/>
    <cellStyle name="Normal 2 2" xfId="5" xr:uid="{3C081D2D-D8F1-4037-96DC-5A4A8D124E0C}"/>
    <cellStyle name="Normal 3" xfId="6" xr:uid="{A71F6A86-E2F7-47B6-B585-E6A6035A5EC1}"/>
    <cellStyle name="Normal 3 2" xfId="7" xr:uid="{2A764FA3-BE69-4F0C-A910-894892297B7F}"/>
    <cellStyle name="Normal 4" xfId="8" xr:uid="{3F74DBEF-C76B-45E1-A0FA-8F27E6335AD8}"/>
    <cellStyle name="Normal 5" xfId="9" xr:uid="{49866DDB-2BD1-44AA-82A9-611263D96A0F}"/>
    <cellStyle name="Percent" xfId="2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(* #,##0_);_(* \(#,##0\);_(* &quot;-&quot;??_);_(@_)"/>
    </dxf>
    <dxf>
      <fill>
        <patternFill patternType="solid">
          <fgColor rgb="FFF4B084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5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Yahya_MD" refreshedDate="46113.672899189813" createdVersion="8" refreshedVersion="8" minRefreshableVersion="3" recordCount="1023" xr:uid="{776F8727-191A-45A5-8CBB-C03E57D06F0A}">
  <cacheSource type="worksheet">
    <worksheetSource ref="U4" sheet="SHANKLE"/>
  </cacheSource>
  <cacheFields count="7">
    <cacheField name="TGL" numFmtId="0">
      <sharedItems containsSemiMixedTypes="0" containsString="0" containsNumber="1" containsInteger="1" minValue="1" maxValue="31" count="3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</sharedItems>
    </cacheField>
    <cacheField name="TOKO" numFmtId="0">
      <sharedItems count="33">
        <s v="KRANGGAN"/>
        <s v="DEPOK"/>
        <s v="JATIRAWAMNGUN"/>
        <s v="KOSAMBI"/>
        <s v="CIKUT"/>
        <s v="SOEPOMO"/>
        <s v="CIKAMPEK"/>
        <s v="SOREANG"/>
        <s v="KRANJI"/>
        <s v="KEMANG"/>
        <s v="CEGER"/>
        <s v="MATRAMAN"/>
        <s v="KARAWACI"/>
        <s v="PURWOKERTO"/>
        <s v="SEMARANG"/>
        <s v="BOGOR"/>
        <s v="CIBINONG"/>
        <s v="CILEUNGSI"/>
        <s v="GRACIA "/>
        <s v="CITAYAM"/>
        <s v="PENGGILINGAN"/>
        <s v="PORIS"/>
        <s v="JUANDA"/>
        <s v="KEBAGUSAN"/>
        <s v="CILANDAK"/>
        <s v="GRAHA 71"/>
        <s v="MANGUNJAYA"/>
        <s v="TANJUNG DUREN"/>
        <s v="MAKASAR"/>
        <s v="SAWANGAN"/>
        <s v="CITRA RAYA"/>
        <s v="KALISARI"/>
        <s v="EXPRESS"/>
      </sharedItems>
    </cacheField>
    <cacheField name="TALY" numFmtId="164">
      <sharedItems containsSemiMixedTypes="0" containsString="0" containsNumber="1" containsInteger="1" minValue="0" maxValue="0"/>
    </cacheField>
    <cacheField name="NETTO" numFmtId="164">
      <sharedItems containsSemiMixedTypes="0" containsString="0" containsNumber="1" containsInteger="1" minValue="0" maxValue="0"/>
    </cacheField>
    <cacheField name="SUSUT 1 " numFmtId="43">
      <sharedItems containsSemiMixedTypes="0" containsString="0" containsNumber="1" containsInteger="1" minValue="0" maxValue="0"/>
    </cacheField>
    <cacheField name="SUSUT JUAL" numFmtId="164">
      <sharedItems containsSemiMixedTypes="0" containsString="0" containsNumber="1" containsInteger="1" minValue="0" maxValue="0"/>
    </cacheField>
    <cacheField name="%" numFmtId="1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Yahya_MD" refreshedDate="46113.673771527778" createdVersion="8" refreshedVersion="8" minRefreshableVersion="3" recordCount="1023" xr:uid="{E7D56411-BFDD-466D-8A80-8153391C77D5}">
  <cacheSource type="worksheet">
    <worksheetSource ref="A2:G1118" sheet="PREMIUM"/>
  </cacheSource>
  <cacheFields count="7">
    <cacheField name="TGL" numFmtId="0">
      <sharedItems containsSemiMixedTypes="0" containsString="0" containsNumber="1" containsInteger="1" minValue="1" maxValue="31"/>
    </cacheField>
    <cacheField name="TOKO" numFmtId="0">
      <sharedItems count="33">
        <s v="KRANGGAN"/>
        <s v="DEPOK"/>
        <s v="JATIRAWAMNGUN"/>
        <s v="KOSAMBI"/>
        <s v="CIKUT"/>
        <s v="SOEPOMO"/>
        <s v="CIKAMPEK"/>
        <s v="SOREANG"/>
        <s v="KRANJI"/>
        <s v="KEMANG"/>
        <s v="CEGER"/>
        <s v="MATRAMAN"/>
        <s v="KARAWACI"/>
        <s v="PURWOKERTO"/>
        <s v="SEMARANG"/>
        <s v="BOGOR"/>
        <s v="CIBINONG"/>
        <s v="CILEUNGSI"/>
        <s v="GRACIA "/>
        <s v="CITAYAM"/>
        <s v="PENGGILINGAN"/>
        <s v="PORIS"/>
        <s v="JUANDA"/>
        <s v="KEBAGUSAN"/>
        <s v="CILANDAK"/>
        <s v="GRAHA 71"/>
        <s v="MANGUNJAYA"/>
        <s v="TANJUNG DUREN"/>
        <s v="MAKASAR"/>
        <s v="SAWANGAN"/>
        <s v="CITRA RAYA"/>
        <s v="KALISARI"/>
        <s v="EXPRESS"/>
      </sharedItems>
    </cacheField>
    <cacheField name="TALY" numFmtId="164">
      <sharedItems containsSemiMixedTypes="0" containsString="0" containsNumber="1" containsInteger="1" minValue="0" maxValue="0"/>
    </cacheField>
    <cacheField name="NETTO" numFmtId="164">
      <sharedItems containsSemiMixedTypes="0" containsString="0" containsNumber="1" containsInteger="1" minValue="0" maxValue="0"/>
    </cacheField>
    <cacheField name="SUSUT 1 " numFmtId="43">
      <sharedItems containsSemiMixedTypes="0" containsString="0" containsNumber="1" containsInteger="1" minValue="0" maxValue="0"/>
    </cacheField>
    <cacheField name="SUSUT JUAL" numFmtId="164">
      <sharedItems containsSemiMixedTypes="0" containsString="0" containsNumber="1" containsInteger="1" minValue="0" maxValue="0"/>
    </cacheField>
    <cacheField name="%" numFmtId="1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Yahya_MD" refreshedDate="46113.673821180557" createdVersion="8" refreshedVersion="8" minRefreshableVersion="3" recordCount="1023" xr:uid="{839C85FD-12CA-4CE5-820A-E5985BF2A9AD}">
  <cacheSource type="worksheet">
    <worksheetSource ref="U8" sheet="RAWON"/>
  </cacheSource>
  <cacheFields count="7">
    <cacheField name="TGL" numFmtId="0">
      <sharedItems containsSemiMixedTypes="0" containsString="0" containsNumber="1" containsInteger="1" minValue="1" maxValue="31"/>
    </cacheField>
    <cacheField name="TOKO" numFmtId="0">
      <sharedItems count="33">
        <s v="KRANGGAN"/>
        <s v="DEPOK"/>
        <s v="JATIRAWAMNGUN"/>
        <s v="KOSAMBI"/>
        <s v="CIKUT"/>
        <s v="SOEPOMO"/>
        <s v="CIKAMPEK"/>
        <s v="SOREANG"/>
        <s v="KRANJI"/>
        <s v="KEMANG"/>
        <s v="CEGER"/>
        <s v="MATRAMAN"/>
        <s v="KARAWACI"/>
        <s v="PURWOKERTO"/>
        <s v="SEMARANG"/>
        <s v="BOGOR"/>
        <s v="CIBINONG"/>
        <s v="CILEUNGSI"/>
        <s v="GRACIA "/>
        <s v="CITAYAM"/>
        <s v="PENGGILINGAN"/>
        <s v="PORIS"/>
        <s v="JUANDA"/>
        <s v="KEBAGUSAN"/>
        <s v="CILANDAK"/>
        <s v="GRAHA 71"/>
        <s v="MANGUNJAYA"/>
        <s v="TANJUNG DUREN"/>
        <s v="MAKASAR"/>
        <s v="SAWANGAN"/>
        <s v="CITRA RAYA"/>
        <s v="KALISARI"/>
        <s v="EXPRESS"/>
      </sharedItems>
    </cacheField>
    <cacheField name="TALY" numFmtId="164">
      <sharedItems containsSemiMixedTypes="0" containsString="0" containsNumber="1" containsInteger="1" minValue="0" maxValue="0"/>
    </cacheField>
    <cacheField name="NETTO" numFmtId="164">
      <sharedItems containsSemiMixedTypes="0" containsString="0" containsNumber="1" containsInteger="1" minValue="0" maxValue="0"/>
    </cacheField>
    <cacheField name="SUSUT 1 " numFmtId="43">
      <sharedItems containsSemiMixedTypes="0" containsString="0" containsNumber="1" containsInteger="1" minValue="0" maxValue="0"/>
    </cacheField>
    <cacheField name="SUSUT JUAL" numFmtId="164">
      <sharedItems containsSemiMixedTypes="0" containsString="0" containsNumber="1" containsInteger="1" minValue="0" maxValue="0"/>
    </cacheField>
    <cacheField name="%" numFmtId="1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hya_MD" refreshedDate="46236.494879050922" createdVersion="8" refreshedVersion="8" minRefreshableVersion="3" recordCount="1426" xr:uid="{EE56B03D-6944-4E2B-AE44-C5A84D527895}">
  <cacheSource type="worksheet">
    <worksheetSource ref="A2:G1428" sheet="RENDANG"/>
  </cacheSource>
  <cacheFields count="7">
    <cacheField name="TGL" numFmtId="0">
      <sharedItems containsSemiMixedTypes="0" containsString="0" containsNumber="1" containsInteger="1" minValue="1" maxValue="31"/>
    </cacheField>
    <cacheField name="TOKO" numFmtId="0">
      <sharedItems count="46">
        <s v="KRANGGAN"/>
        <s v="DEPOK"/>
        <s v="JATIRAWAMNGUN"/>
        <s v="KOSAMBI"/>
        <s v="CIKUT"/>
        <s v="SOEPOMO"/>
        <s v="CIKAMPEK"/>
        <s v="SOREANG"/>
        <s v="KRANJI"/>
        <s v="KEMANG"/>
        <s v="CEGER"/>
        <s v="MATRAMAN"/>
        <s v="KARAWACI"/>
        <s v="PURWOKERTO"/>
        <s v="SEMARANG"/>
        <s v="BOGOR"/>
        <s v="CIBINONG"/>
        <s v="CILEUNGSI"/>
        <s v="GRACIA "/>
        <s v="CITAYAM"/>
        <s v="PENGGILINGAN"/>
        <s v="PORIS"/>
        <s v="JUANDA"/>
        <s v="KEBAGUSAN"/>
        <s v="CILANDAK"/>
        <s v="GRAHA 71"/>
        <s v="MANGUNJAYA"/>
        <s v="TANJUNG DUREN"/>
        <s v="MAKASAR"/>
        <s v="SAWANGAN"/>
        <s v="CITRA RAYA"/>
        <s v="KALISARI"/>
        <s v="PERUMNAS"/>
        <s v="JATIMAKMUR"/>
        <s v="RADEN SALAEH"/>
        <s v="JATIASIH"/>
        <s v="PANDU RAYA"/>
        <s v="MERUYA UTARA"/>
        <s v="KELAPA DUA DEPOK"/>
        <s v="TDN CIBITUNG"/>
        <s v="TDN BULUH INDAH"/>
        <s v="TDN RAYA BOGOR"/>
        <s v="TDN PROKLAMASI"/>
        <s v="TDN CIMANGGIS"/>
        <s v="TDN KOTA WISATA"/>
        <s v="EXPRESS"/>
      </sharedItems>
    </cacheField>
    <cacheField name="TALY" numFmtId="164">
      <sharedItems containsSemiMixedTypes="0" containsString="0" containsNumber="1" minValue="0" maxValue="930"/>
    </cacheField>
    <cacheField name="NETTO" numFmtId="164">
      <sharedItems containsSemiMixedTypes="0" containsString="0" containsNumber="1" minValue="0" maxValue="924.56"/>
    </cacheField>
    <cacheField name="SUSUT 1 " numFmtId="43">
      <sharedItems containsSemiMixedTypes="0" containsString="0" containsNumber="1" minValue="-9.9999999999994316E-2" maxValue="5.4400000000000546"/>
    </cacheField>
    <cacheField name="SUSUT JUAL" numFmtId="164">
      <sharedItems containsSemiMixedTypes="0" containsString="0" containsNumber="1" minValue="-2.58" maxValue="12.997"/>
    </cacheField>
    <cacheField name="SUSUT %" numFmtId="10">
      <sharedItems containsMixedTypes="1" containsNumber="1" minValue="-2.2750000000000048E-2" maxValue="0.10594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hya_MD" refreshedDate="46236.500378356483" createdVersion="8" refreshedVersion="8" minRefreshableVersion="3" recordCount="1426" xr:uid="{41E8E5E7-9F33-4A26-A118-29312CFF4ACC}">
  <cacheSource type="worksheet">
    <worksheetSource ref="A2:G1428" sheet="RAWON"/>
  </cacheSource>
  <cacheFields count="7">
    <cacheField name="TGL" numFmtId="0">
      <sharedItems containsSemiMixedTypes="0" containsString="0" containsNumber="1" containsInteger="1" minValue="1" maxValue="31"/>
    </cacheField>
    <cacheField name="TOKO" numFmtId="0">
      <sharedItems count="46">
        <s v="KRANGGAN"/>
        <s v="DEPOK"/>
        <s v="JATIRAWAMNGUN"/>
        <s v="KOSAMBI"/>
        <s v="CIKUT"/>
        <s v="SOEPOMO"/>
        <s v="CIKAMPEK"/>
        <s v="SOREANG"/>
        <s v="KRANJI"/>
        <s v="KEMANG"/>
        <s v="CEGER"/>
        <s v="MATRAMAN"/>
        <s v="KARAWACI"/>
        <s v="PURWOKERTO"/>
        <s v="SEMARANG"/>
        <s v="BOGOR"/>
        <s v="CIBINONG"/>
        <s v="CILEUNGSI"/>
        <s v="GRACIA "/>
        <s v="CITAYAM"/>
        <s v="PENGGILINGAN"/>
        <s v="PORIS"/>
        <s v="JUANDA"/>
        <s v="KEBAGUSAN"/>
        <s v="CILANDAK"/>
        <s v="GRAHA 71"/>
        <s v="MANGUNJAYA"/>
        <s v="TANJUNG DUREN"/>
        <s v="MAKASAR"/>
        <s v="SAWANGAN"/>
        <s v="CITRA RAYA"/>
        <s v="KALISARI"/>
        <s v="PERUMNAS"/>
        <s v="JATIMAKMUR"/>
        <s v="RADEN SALEH"/>
        <s v="JATIASIH"/>
        <s v="PANDU RAYA"/>
        <s v="MERUYA UTARA"/>
        <s v="KELAPA DUA DEPOK"/>
        <s v="TDN CIBITUNG"/>
        <s v="TDN BULUH INDAH"/>
        <s v="TDN RAYA BOGOR"/>
        <s v="TDN PROKLAMASI"/>
        <s v="TDN CIMANGGIS"/>
        <s v="TDN KOTA WISATA"/>
        <s v="EXPRESS"/>
      </sharedItems>
    </cacheField>
    <cacheField name="TALY" numFmtId="164">
      <sharedItems containsString="0" containsBlank="1" containsNumber="1" minValue="0" maxValue="360"/>
    </cacheField>
    <cacheField name="NETTO" numFmtId="164">
      <sharedItems containsString="0" containsBlank="1" containsNumber="1" minValue="0" maxValue="356.64"/>
    </cacheField>
    <cacheField name="SUSUT 1 " numFmtId="43">
      <sharedItems containsSemiMixedTypes="0" containsString="0" containsNumber="1" minValue="-1.0499999999999972" maxValue="3.3600000000000136"/>
    </cacheField>
    <cacheField name="SUSUT JUAL" numFmtId="164">
      <sharedItems containsSemiMixedTypes="0" containsString="0" containsNumber="1" minValue="-6.0449999999999999" maxValue="2.6249999999999964"/>
    </cacheField>
    <cacheField name="%" numFmtId="10">
      <sharedItems containsMixedTypes="1" containsNumber="1" minValue="-8.1000000000000291E-3" maxValue="0.128749999999999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6">
  <r>
    <n v="1"/>
    <x v="0"/>
    <n v="200"/>
    <n v="198.29000000000002"/>
    <n v="1.7099999999999795"/>
    <n v="8.9000000000012847E-2"/>
    <n v="8.9949999999999614E-3"/>
  </r>
  <r>
    <n v="2"/>
    <x v="0"/>
    <n v="360"/>
    <n v="357.01"/>
    <n v="2.9900000000000091"/>
    <n v="5.8000000000000003E-2"/>
    <n v="8.4666666666666918E-3"/>
  </r>
  <r>
    <n v="3"/>
    <x v="0"/>
    <n v="640"/>
    <n v="635.20000000000005"/>
    <n v="4.7999999999999545"/>
    <n v="0.15"/>
    <n v="7.7343749999999297E-3"/>
  </r>
  <r>
    <n v="4"/>
    <x v="0"/>
    <n v="460"/>
    <n v="457.3"/>
    <n v="2.6999999999999886"/>
    <n v="0.06"/>
    <n v="5.999999999999975E-3"/>
  </r>
  <r>
    <n v="5"/>
    <x v="0"/>
    <n v="160"/>
    <n v="158.5"/>
    <n v="1.5"/>
    <n v="0.05"/>
    <n v="9.6874999999999999E-3"/>
  </r>
  <r>
    <n v="6"/>
    <x v="0"/>
    <n v="200"/>
    <n v="198.03"/>
    <n v="1.9699999999999989"/>
    <n v="0.05"/>
    <n v="1.0099999999999993E-2"/>
  </r>
  <r>
    <n v="7"/>
    <x v="0"/>
    <n v="380"/>
    <n v="376.6"/>
    <n v="3.3999999999999773"/>
    <n v="1"/>
    <n v="1.1578947368420993E-2"/>
  </r>
  <r>
    <n v="10"/>
    <x v="0"/>
    <n v="478.16"/>
    <n v="473.99"/>
    <n v="4.1700000000000159"/>
    <n v="0"/>
    <n v="8.7209302325581724E-3"/>
  </r>
  <r>
    <n v="8"/>
    <x v="0"/>
    <n v="210"/>
    <n v="208.18"/>
    <n v="1.8199999999999932"/>
    <n v="8.5000000000000006E-2"/>
    <n v="9.0714285714285393E-3"/>
  </r>
  <r>
    <n v="9"/>
    <x v="0"/>
    <n v="296.02999999999997"/>
    <n v="293.95999999999998"/>
    <n v="2.0699999999999932"/>
    <n v="0.01"/>
    <n v="7.0263149005168161E-3"/>
  </r>
  <r>
    <n v="11"/>
    <x v="0"/>
    <n v="324.51"/>
    <n v="322.07"/>
    <n v="2.4399999999999977"/>
    <n v="0.01"/>
    <n v="7.5498443807586746E-3"/>
  </r>
  <r>
    <n v="12"/>
    <x v="0"/>
    <n v="63.21"/>
    <n v="62.67"/>
    <n v="0.53999999999999915"/>
    <n v="0.01"/>
    <n v="8.7011548805568609E-3"/>
  </r>
  <r>
    <n v="13"/>
    <x v="0"/>
    <n v="143.07"/>
    <n v="142.08000000000001"/>
    <n v="0.98999999999998067"/>
    <n v="2.1000000000000001E-2"/>
    <n v="7.066470958272039E-3"/>
  </r>
  <r>
    <n v="14"/>
    <x v="0"/>
    <n v="276"/>
    <n v="274.64"/>
    <n v="1.3600000000000136"/>
    <n v="5.1999999999999998E-2"/>
    <n v="5.1159420289855571E-3"/>
  </r>
  <r>
    <n v="15"/>
    <x v="0"/>
    <n v="48.13"/>
    <n v="47.54"/>
    <n v="0.59000000000000341"/>
    <n v="0"/>
    <n v="1.2258466652815362E-2"/>
  </r>
  <r>
    <n v="16"/>
    <x v="0"/>
    <n v="60"/>
    <n v="59.57"/>
    <n v="0.42999999999999972"/>
    <n v="3.0000000000000001E-3"/>
    <n v="7.216666666666662E-3"/>
  </r>
  <r>
    <n v="17"/>
    <x v="0"/>
    <n v="344.64"/>
    <n v="342.63"/>
    <n v="2.0099999999999909"/>
    <n v="0.45100000000000001"/>
    <n v="7.1407845868152013E-3"/>
  </r>
  <r>
    <n v="18"/>
    <x v="0"/>
    <n v="184.35"/>
    <n v="182.78"/>
    <n v="1.5699999999999932"/>
    <n v="0.505"/>
    <n v="1.1255763493354994E-2"/>
  </r>
  <r>
    <n v="19"/>
    <x v="0"/>
    <n v="196.03"/>
    <n v="194.64"/>
    <n v="1.3900000000000148"/>
    <n v="0.30499999999999999"/>
    <n v="8.6466357190226745E-3"/>
  </r>
  <r>
    <n v="20"/>
    <x v="0"/>
    <n v="248.5"/>
    <n v="246.74"/>
    <n v="1.7599999999999909"/>
    <n v="0.46600000000000003"/>
    <n v="8.957746478873204E-3"/>
  </r>
  <r>
    <n v="21"/>
    <x v="0"/>
    <n v="127.68"/>
    <n v="126.52"/>
    <n v="1.1600000000000108"/>
    <n v="0.32500000000000001"/>
    <n v="1.1630639097744444E-2"/>
  </r>
  <r>
    <n v="22"/>
    <x v="0"/>
    <n v="146.44"/>
    <n v="144.94999999999999"/>
    <n v="1.4900000000000091"/>
    <n v="0.42199999999999999"/>
    <n v="1.3056541928434915E-2"/>
  </r>
  <r>
    <n v="23"/>
    <x v="0"/>
    <n v="254.3"/>
    <n v="252.45"/>
    <n v="1.8500000000000227"/>
    <n v="0.46899999999999997"/>
    <n v="9.1191506095164073E-3"/>
  </r>
  <r>
    <n v="24"/>
    <x v="0"/>
    <n v="196.64"/>
    <n v="195.45"/>
    <n v="1.1899999999999977"/>
    <n v="0.52500000000000002"/>
    <n v="8.7215215622457164E-3"/>
  </r>
  <r>
    <n v="25"/>
    <x v="0"/>
    <n v="251.84"/>
    <n v="249.95"/>
    <n v="1.8900000000000148"/>
    <n v="0.51"/>
    <n v="9.5298602287167029E-3"/>
  </r>
  <r>
    <n v="26"/>
    <x v="0"/>
    <n v="132.72"/>
    <n v="131.84"/>
    <n v="0.87999999999999545"/>
    <n v="0.26700000000000002"/>
    <n v="8.6422543701024368E-3"/>
  </r>
  <r>
    <n v="27"/>
    <x v="0"/>
    <n v="206.36"/>
    <n v="204.61"/>
    <n v="1.75"/>
    <n v="0.46800000000000003"/>
    <n v="1.0748207016863732E-2"/>
  </r>
  <r>
    <n v="28"/>
    <x v="0"/>
    <n v="341.69"/>
    <n v="339.11"/>
    <n v="2.5799999999999841"/>
    <n v="0.45"/>
    <n v="8.8676870847844078E-3"/>
  </r>
  <r>
    <n v="29"/>
    <x v="0"/>
    <n v="310.98"/>
    <n v="307.54000000000002"/>
    <n v="3.4399999999999977"/>
    <n v="0.40100000000000002"/>
    <n v="1.235127660942825E-2"/>
  </r>
  <r>
    <n v="30"/>
    <x v="0"/>
    <n v="176.9"/>
    <n v="175.14"/>
    <n v="1.7600000000000193"/>
    <n v="0.35399999999999998"/>
    <n v="1.1950254381006328E-2"/>
  </r>
  <r>
    <n v="31"/>
    <x v="0"/>
    <n v="319.01"/>
    <n v="316.57"/>
    <n v="2.4399999999999977"/>
    <n v="0.51500000000000001"/>
    <n v="9.2630325068179618E-3"/>
  </r>
  <r>
    <n v="1"/>
    <x v="1"/>
    <n v="140"/>
    <n v="139.56"/>
    <n v="0.43999999999999773"/>
    <n v="1.9610000000000001"/>
    <n v="1.7149999999999985E-2"/>
  </r>
  <r>
    <n v="2"/>
    <x v="1"/>
    <n v="300"/>
    <n v="299.10000000000002"/>
    <n v="0.89999999999997726"/>
    <n v="4.8659999999999997"/>
    <n v="1.9219999999999925E-2"/>
  </r>
  <r>
    <n v="3"/>
    <x v="1"/>
    <n v="930"/>
    <n v="924.56"/>
    <n v="5.4400000000000546"/>
    <n v="12.997"/>
    <n v="1.9824731182795756E-2"/>
  </r>
  <r>
    <n v="4"/>
    <x v="1"/>
    <n v="540"/>
    <n v="535.88"/>
    <n v="4.1200000000000045"/>
    <n v="6.5019999999999998"/>
    <n v="1.9670370370370376E-2"/>
  </r>
  <r>
    <n v="5"/>
    <x v="1"/>
    <n v="200"/>
    <n v="198.42"/>
    <n v="1.5800000000000125"/>
    <n v="2.3079999999999998"/>
    <n v="1.9440000000000061E-2"/>
  </r>
  <r>
    <n v="6"/>
    <x v="1"/>
    <n v="20"/>
    <n v="19.84"/>
    <n v="0.16000000000000014"/>
    <n v="0.221"/>
    <n v="1.9050000000000004E-2"/>
  </r>
  <r>
    <n v="7"/>
    <x v="1"/>
    <n v="40"/>
    <n v="39.840000000000003"/>
    <n v="0.15999999999999659"/>
    <n v="0.216"/>
    <n v="9.3999999999999136E-3"/>
  </r>
  <r>
    <n v="10"/>
    <x v="1"/>
    <n v="500"/>
    <n v="496.68"/>
    <n v="3.3199999999999932"/>
    <n v="5.8179999999999996"/>
    <n v="1.8275999999999987E-2"/>
  </r>
  <r>
    <n v="8"/>
    <x v="1"/>
    <n v="300"/>
    <n v="296.3"/>
    <n v="3.6999999999999886"/>
    <n v="1.3360000000000001"/>
    <n v="1.678666666666663E-2"/>
  </r>
  <r>
    <n v="9"/>
    <x v="1"/>
    <n v="240"/>
    <n v="238.54"/>
    <n v="1.460000000000008"/>
    <n v="2.1469999999999998"/>
    <n v="1.5029166666666699E-2"/>
  </r>
  <r>
    <n v="11"/>
    <x v="1"/>
    <n v="140"/>
    <n v="139.38"/>
    <n v="0.62000000000000455"/>
    <n v="1.6950000000000001"/>
    <n v="1.653571428571432E-2"/>
  </r>
  <r>
    <n v="12"/>
    <x v="1"/>
    <n v="20"/>
    <n v="19.760000000000002"/>
    <n v="0.23999999999999844"/>
    <n v="0.25600000000000001"/>
    <n v="2.4799999999999923E-2"/>
  </r>
  <r>
    <n v="13"/>
    <x v="1"/>
    <n v="80"/>
    <n v="79.44"/>
    <n v="0.56000000000000227"/>
    <n v="0.66500000000000004"/>
    <n v="1.5312500000000029E-2"/>
  </r>
  <r>
    <n v="14"/>
    <x v="1"/>
    <n v="50"/>
    <n v="49.7"/>
    <n v="0.29999999999999716"/>
    <n v="0.34499999999999997"/>
    <n v="1.2899999999999943E-2"/>
  </r>
  <r>
    <n v="15"/>
    <x v="1"/>
    <n v="100"/>
    <n v="99.62"/>
    <n v="0.37999999999999545"/>
    <n v="1.2030000000000001"/>
    <n v="1.5829999999999955E-2"/>
  </r>
  <r>
    <n v="16"/>
    <x v="1"/>
    <n v="225"/>
    <n v="223.8"/>
    <n v="1.1999999999999886"/>
    <n v="2.8730000000000002"/>
    <n v="1.8102222222222172E-2"/>
  </r>
  <r>
    <n v="17"/>
    <x v="1"/>
    <n v="215"/>
    <n v="213.54"/>
    <n v="1.460000000000008"/>
    <n v="1.8029999999999999"/>
    <n v="1.5176744186046549E-2"/>
  </r>
  <r>
    <n v="18"/>
    <x v="1"/>
    <n v="425"/>
    <n v="423.36"/>
    <n v="1.6399999999999864"/>
    <n v="6.6909999999999998"/>
    <n v="1.9602352941176435E-2"/>
  </r>
  <r>
    <n v="19"/>
    <x v="1"/>
    <n v="100"/>
    <n v="99.08"/>
    <n v="0.92000000000000171"/>
    <n v="0.51100000000000001"/>
    <n v="1.4310000000000019E-2"/>
  </r>
  <r>
    <n v="20"/>
    <x v="1"/>
    <n v="200"/>
    <n v="197.6"/>
    <n v="2.4000000000000057"/>
    <n v="1.2290000000000001"/>
    <n v="1.8145000000000029E-2"/>
  </r>
  <r>
    <n v="21"/>
    <x v="1"/>
    <n v="100"/>
    <n v="99.6"/>
    <n v="0.40000000000000568"/>
    <n v="1.1910000000000001"/>
    <n v="1.5910000000000056E-2"/>
  </r>
  <r>
    <n v="22"/>
    <x v="1"/>
    <n v="150"/>
    <n v="149.72"/>
    <n v="0.28000000000000114"/>
    <n v="2.5779999999999998"/>
    <n v="1.9053333333333339E-2"/>
  </r>
  <r>
    <n v="23"/>
    <x v="1"/>
    <n v="165"/>
    <n v="164.44"/>
    <n v="0.56000000000000227"/>
    <n v="2.657"/>
    <n v="1.9496969696969711E-2"/>
  </r>
  <r>
    <n v="24"/>
    <x v="1"/>
    <n v="400"/>
    <n v="398.8"/>
    <n v="1.1999999999999886"/>
    <n v="6.2939999999999996"/>
    <n v="1.873499999999997E-2"/>
  </r>
  <r>
    <n v="25"/>
    <x v="1"/>
    <n v="225.82"/>
    <n v="225.4"/>
    <n v="0.41999999999998749"/>
    <n v="4.0620000000000003"/>
    <n v="1.9847666282880115E-2"/>
  </r>
  <r>
    <n v="26"/>
    <x v="1"/>
    <n v="200"/>
    <n v="199.44"/>
    <n v="0.56000000000000227"/>
    <n v="3.274"/>
    <n v="1.917000000000001E-2"/>
  </r>
  <r>
    <n v="27"/>
    <x v="1"/>
    <n v="100"/>
    <n v="99.78"/>
    <n v="0.21999999999999886"/>
    <n v="1.621"/>
    <n v="1.8409999999999989E-2"/>
  </r>
  <r>
    <n v="28"/>
    <x v="1"/>
    <n v="317.08999999999997"/>
    <n v="316.18"/>
    <n v="0.90999999999996817"/>
    <n v="5.0110000000000001"/>
    <n v="1.8672931975148913E-2"/>
  </r>
  <r>
    <n v="29"/>
    <x v="1"/>
    <n v="160"/>
    <n v="159.78"/>
    <n v="0.21999999999999886"/>
    <n v="2.952"/>
    <n v="1.9824999999999992E-2"/>
  </r>
  <r>
    <n v="30"/>
    <x v="1"/>
    <n v="375"/>
    <n v="374.06"/>
    <n v="0.93999999999999773"/>
    <n v="6.4889999999999999"/>
    <n v="1.981066666666666E-2"/>
  </r>
  <r>
    <n v="31"/>
    <x v="1"/>
    <n v="260"/>
    <n v="259.52"/>
    <n v="0.48000000000001819"/>
    <n v="4.2539999999999996"/>
    <n v="1.8207692307692376E-2"/>
  </r>
  <r>
    <n v="1"/>
    <x v="2"/>
    <n v="200"/>
    <n v="196.4"/>
    <n v="3.5999999999999943"/>
    <n v="0.42199999999999999"/>
    <n v="2.0109999999999972E-2"/>
  </r>
  <r>
    <n v="2"/>
    <x v="2"/>
    <n v="200"/>
    <n v="197.26"/>
    <n v="2.7400000000000091"/>
    <n v="0.36899999999999999"/>
    <n v="1.5545000000000045E-2"/>
  </r>
  <r>
    <n v="3"/>
    <x v="2"/>
    <n v="220"/>
    <n v="217.02"/>
    <n v="2.9799999999999898"/>
    <n v="0.52800000000000002"/>
    <n v="1.5945454545454499E-2"/>
  </r>
  <r>
    <n v="4"/>
    <x v="2"/>
    <n v="160"/>
    <n v="157.21"/>
    <n v="2.789999999999992"/>
    <n v="0.41199999999999998"/>
    <n v="2.001249999999995E-2"/>
  </r>
  <r>
    <n v="5"/>
    <x v="2"/>
    <n v="120"/>
    <n v="117.76"/>
    <n v="2.2399999999999949"/>
    <n v="0.36899999999999999"/>
    <n v="2.1741666666666621E-2"/>
  </r>
  <r>
    <n v="6"/>
    <x v="2"/>
    <n v="80"/>
    <n v="78.55"/>
    <n v="1.4500000000000028"/>
    <n v="0.38800000000000001"/>
    <n v="2.2975000000000034E-2"/>
  </r>
  <r>
    <n v="7"/>
    <x v="2"/>
    <n v="80"/>
    <n v="79.27"/>
    <n v="0.73000000000000398"/>
    <n v="0.442"/>
    <n v="1.4650000000000048E-2"/>
  </r>
  <r>
    <n v="10"/>
    <x v="2"/>
    <n v="80"/>
    <n v="78.86"/>
    <n v="1.1400000000000006"/>
    <n v="0.32"/>
    <n v="1.8250000000000009E-2"/>
  </r>
  <r>
    <n v="8"/>
    <x v="2"/>
    <n v="80"/>
    <n v="78.849999999999994"/>
    <n v="1.1500000000000057"/>
    <n v="0.376"/>
    <n v="1.9075000000000071E-2"/>
  </r>
  <r>
    <n v="9"/>
    <x v="2"/>
    <n v="80"/>
    <n v="78.62"/>
    <n v="1.3799999999999955"/>
    <n v="0.38900000000000001"/>
    <n v="2.2112499999999945E-2"/>
  </r>
  <r>
    <n v="11"/>
    <x v="2"/>
    <n v="80"/>
    <n v="78.61"/>
    <n v="1.3900000000000006"/>
    <n v="0.308"/>
    <n v="2.1225000000000008E-2"/>
  </r>
  <r>
    <n v="12"/>
    <x v="2"/>
    <n v="160"/>
    <n v="157.44"/>
    <n v="2.5600000000000023"/>
    <n v="0.46600000000000003"/>
    <n v="1.8912500000000016E-2"/>
  </r>
  <r>
    <n v="13"/>
    <x v="2"/>
    <n v="40"/>
    <n v="39.299999999999997"/>
    <n v="0.70000000000000284"/>
    <n v="0.44200000000000017"/>
    <n v="2.8550000000000075E-2"/>
  </r>
  <r>
    <n v="14"/>
    <x v="2"/>
    <n v="80"/>
    <n v="78.11"/>
    <n v="1.8900000000000006"/>
    <n v="0.33800000000000002"/>
    <n v="2.7850000000000007E-2"/>
  </r>
  <r>
    <n v="15"/>
    <x v="2"/>
    <n v="82.84"/>
    <n v="81.56"/>
    <n v="1.2800000000000011"/>
    <n v="0.30199999999999999"/>
    <n v="1.9097054563013052E-2"/>
  </r>
  <r>
    <n v="16"/>
    <x v="2"/>
    <n v="147.726"/>
    <n v="145.37"/>
    <n v="2.3559999999999945"/>
    <n v="0.32900000000000001"/>
    <n v="1.8175541204662651E-2"/>
  </r>
  <r>
    <n v="17"/>
    <x v="2"/>
    <n v="153.25"/>
    <n v="151.38"/>
    <n v="1.8700000000000045"/>
    <n v="0.32400000000000001"/>
    <n v="1.4316476345840158E-2"/>
  </r>
  <r>
    <n v="18"/>
    <x v="2"/>
    <n v="87.15"/>
    <n v="85.6"/>
    <n v="1.5500000000000114"/>
    <n v="0.35399999999999998"/>
    <n v="2.1847389558233062E-2"/>
  </r>
  <r>
    <n v="19"/>
    <x v="2"/>
    <n v="252.64"/>
    <n v="249.84"/>
    <n v="2.7999999999999829"/>
    <n v="0.38600000000000001"/>
    <n v="1.2610829639011967E-2"/>
  </r>
  <r>
    <n v="20"/>
    <x v="2"/>
    <n v="73.11"/>
    <n v="72.16"/>
    <n v="0.95000000000000284"/>
    <n v="0.48099999999999998"/>
    <n v="1.9573245794009066E-2"/>
  </r>
  <r>
    <n v="21"/>
    <x v="2"/>
    <n v="74.78"/>
    <n v="73.95"/>
    <n v="0.82999999999999829"/>
    <n v="0.36599999999999999"/>
    <n v="1.5993581171436191E-2"/>
  </r>
  <r>
    <n v="22"/>
    <x v="2"/>
    <n v="60"/>
    <n v="59.13"/>
    <n v="0.86999999999999744"/>
    <n v="0.32600000000000101"/>
    <n v="1.9933333333333306E-2"/>
  </r>
  <r>
    <n v="23"/>
    <x v="2"/>
    <n v="120"/>
    <n v="118.33"/>
    <n v="1.6700000000000017"/>
    <n v="0.309"/>
    <n v="1.6491666666666679E-2"/>
  </r>
  <r>
    <n v="24"/>
    <x v="2"/>
    <n v="180"/>
    <n v="177.34"/>
    <n v="2.6599999999999966"/>
    <n v="0.32200000000000001"/>
    <n v="1.656666666666665E-2"/>
  </r>
  <r>
    <n v="25"/>
    <x v="2"/>
    <n v="149.25"/>
    <n v="147.6"/>
    <n v="1.6500000000000057"/>
    <n v="0.316"/>
    <n v="1.3172529313232869E-2"/>
  </r>
  <r>
    <n v="26"/>
    <x v="2"/>
    <n v="160"/>
    <n v="158.38"/>
    <n v="1.6200000000000045"/>
    <n v="0.39600000000000002"/>
    <n v="1.2600000000000028E-2"/>
  </r>
  <r>
    <n v="27"/>
    <x v="2"/>
    <n v="162.35"/>
    <n v="159.72"/>
    <n v="2.6299999999999955"/>
    <n v="0.41199999999999998"/>
    <n v="1.8737295965506592E-2"/>
  </r>
  <r>
    <n v="28"/>
    <x v="2"/>
    <n v="82.45"/>
    <n v="81.48"/>
    <n v="0.96999999999999886"/>
    <n v="0.38200000000000001"/>
    <n v="1.639781685870223E-2"/>
  </r>
  <r>
    <n v="29"/>
    <x v="2"/>
    <n v="100"/>
    <n v="98.81"/>
    <n v="1.1899999999999977"/>
    <n v="0.39400000000000002"/>
    <n v="1.5839999999999979E-2"/>
  </r>
  <r>
    <n v="30"/>
    <x v="2"/>
    <n v="100"/>
    <n v="97.91"/>
    <n v="2.0900000000000034"/>
    <n v="0.27900000000000003"/>
    <n v="2.3690000000000034E-2"/>
  </r>
  <r>
    <n v="31"/>
    <x v="2"/>
    <n v="100"/>
    <n v="98"/>
    <n v="2"/>
    <n v="0.30199999999999999"/>
    <n v="2.3019999999999999E-2"/>
  </r>
  <r>
    <n v="1"/>
    <x v="3"/>
    <n v="0"/>
    <n v="0"/>
    <n v="0"/>
    <n v="0"/>
    <e v="#DIV/0!"/>
  </r>
  <r>
    <n v="2"/>
    <x v="3"/>
    <n v="245"/>
    <n v="243.68"/>
    <n v="1.3199999999999932"/>
    <n v="0.53"/>
    <n v="7.5510204081632379E-3"/>
  </r>
  <r>
    <n v="3"/>
    <x v="3"/>
    <n v="245"/>
    <n v="243.32000000000002"/>
    <n v="1.6799999999999784"/>
    <n v="0"/>
    <n v="6.8571428571427692E-3"/>
  </r>
  <r>
    <n v="4"/>
    <x v="3"/>
    <n v="200"/>
    <n v="198.96"/>
    <n v="1.039999999999992"/>
    <n v="0.45"/>
    <n v="7.4499999999999601E-3"/>
  </r>
  <r>
    <n v="5"/>
    <x v="3"/>
    <n v="140"/>
    <n v="139.22"/>
    <n v="0.78000000000000114"/>
    <n v="0"/>
    <n v="5.5714285714285796E-3"/>
  </r>
  <r>
    <n v="6"/>
    <x v="3"/>
    <n v="120"/>
    <n v="119.54"/>
    <n v="0.45999999999999375"/>
    <n v="0.36699999999999999"/>
    <n v="6.8916666666666146E-3"/>
  </r>
  <r>
    <n v="7"/>
    <x v="3"/>
    <n v="80"/>
    <n v="79.7"/>
    <n v="0.29999999999999716"/>
    <n v="0.48"/>
    <n v="9.7499999999999636E-3"/>
  </r>
  <r>
    <n v="10"/>
    <x v="3"/>
    <n v="160"/>
    <n v="159.24"/>
    <n v="0.75999999999999091"/>
    <n v="0.23"/>
    <n v="6.187499999999943E-3"/>
  </r>
  <r>
    <n v="8"/>
    <x v="3"/>
    <n v="160"/>
    <n v="158.94"/>
    <n v="1.0600000000000023"/>
    <n v="0.51"/>
    <n v="9.8125000000000139E-3"/>
  </r>
  <r>
    <n v="9"/>
    <x v="3"/>
    <n v="160"/>
    <n v="158.66"/>
    <n v="1.3400000000000034"/>
    <n v="0.34100000000000003"/>
    <n v="1.0506250000000021E-2"/>
  </r>
  <r>
    <n v="11"/>
    <x v="3"/>
    <n v="160"/>
    <n v="159.02000000000001"/>
    <n v="0.97999999999998977"/>
    <n v="0.42099999999999999"/>
    <n v="8.756249999999936E-3"/>
  </r>
  <r>
    <n v="12"/>
    <x v="3"/>
    <n v="65.72"/>
    <n v="65.28"/>
    <n v="0.43999999999999773"/>
    <n v="0.24399999999999999"/>
    <n v="1.0407790626901975E-2"/>
  </r>
  <r>
    <n v="13"/>
    <x v="3"/>
    <n v="24.18"/>
    <n v="23.84"/>
    <n v="0.33999999999999986"/>
    <n v="0.37"/>
    <n v="2.9363110008271291E-2"/>
  </r>
  <r>
    <n v="14"/>
    <x v="3"/>
    <n v="98.91"/>
    <n v="97.84"/>
    <n v="1.0699999999999932"/>
    <n v="0.125"/>
    <n v="1.2081690425639401E-2"/>
  </r>
  <r>
    <n v="15"/>
    <x v="3"/>
    <n v="131.27000000000001"/>
    <n v="129.69999999999999"/>
    <n v="1.5700000000000216"/>
    <n v="0.25"/>
    <n v="1.3864553972728129E-2"/>
  </r>
  <r>
    <n v="16"/>
    <x v="3"/>
    <n v="135.02000000000001"/>
    <n v="132.36000000000001"/>
    <n v="2.6599999999999966"/>
    <n v="0.28699999999999998"/>
    <n v="2.1826396089468198E-2"/>
  </r>
  <r>
    <n v="17"/>
    <x v="3"/>
    <n v="152.69999999999999"/>
    <n v="151.66"/>
    <n v="1.039999999999992"/>
    <n v="0.28000000000000003"/>
    <n v="8.6444007858545654E-3"/>
  </r>
  <r>
    <n v="18"/>
    <x v="3"/>
    <n v="60"/>
    <n v="59.62"/>
    <n v="0.38000000000000256"/>
    <n v="0.31"/>
    <n v="1.1500000000000043E-2"/>
  </r>
  <r>
    <n v="19"/>
    <x v="3"/>
    <n v="149.94"/>
    <n v="147.72"/>
    <n v="2.2199999999999989"/>
    <n v="0.222"/>
    <n v="1.628651460584233E-2"/>
  </r>
  <r>
    <n v="20"/>
    <x v="3"/>
    <n v="86.81"/>
    <n v="86.18"/>
    <n v="0.62999999999999545"/>
    <n v="0.24099999999999999"/>
    <n v="1.003340628959792E-2"/>
  </r>
  <r>
    <n v="21"/>
    <x v="3"/>
    <n v="40"/>
    <n v="39.64"/>
    <n v="0.35999999999999943"/>
    <n v="0.32"/>
    <n v="1.6999999999999987E-2"/>
  </r>
  <r>
    <n v="22"/>
    <x v="3"/>
    <n v="66.296000000000006"/>
    <n v="66.06"/>
    <n v="0.23600000000000421"/>
    <n v="0.254000000000005"/>
    <n v="7.39109448533862E-3"/>
  </r>
  <r>
    <n v="23"/>
    <x v="3"/>
    <n v="43.16"/>
    <n v="42.96"/>
    <n v="0.19999999999999574"/>
    <n v="0.36399999999999999"/>
    <n v="1.3067655236329837E-2"/>
  </r>
  <r>
    <n v="24"/>
    <x v="3"/>
    <n v="82.168000000000006"/>
    <n v="81.52000000000001"/>
    <n v="0.64799999999999613"/>
    <n v="0.24099999999999966"/>
    <n v="1.08192970499464E-2"/>
  </r>
  <r>
    <n v="25"/>
    <x v="3"/>
    <n v="200"/>
    <n v="199.48"/>
    <n v="0.52000000000001023"/>
    <n v="0.45900000000000002"/>
    <n v="4.8950000000000512E-3"/>
  </r>
  <r>
    <n v="26"/>
    <x v="3"/>
    <n v="200"/>
    <n v="199.48"/>
    <n v="0.52000000000001023"/>
    <n v="0.35399999999999998"/>
    <n v="4.3700000000000509E-3"/>
  </r>
  <r>
    <n v="27"/>
    <x v="3"/>
    <n v="0"/>
    <n v="0"/>
    <n v="0"/>
    <n v="0.35"/>
    <e v="#DIV/0!"/>
  </r>
  <r>
    <n v="28"/>
    <x v="3"/>
    <n v="154.58000000000001"/>
    <n v="152.74"/>
    <n v="1.8400000000000034"/>
    <n v="0.5"/>
    <n v="1.5137792728684197E-2"/>
  </r>
  <r>
    <n v="29"/>
    <x v="3"/>
    <n v="86.13"/>
    <n v="85.52"/>
    <n v="0.60999999999999943"/>
    <n v="0.41"/>
    <n v="1.1842563566701492E-2"/>
  </r>
  <r>
    <n v="30"/>
    <x v="3"/>
    <n v="160"/>
    <n v="159.18"/>
    <n v="0.81999999999999318"/>
    <n v="0.35"/>
    <n v="7.3124999999999579E-3"/>
  </r>
  <r>
    <n v="31"/>
    <x v="3"/>
    <n v="123.71"/>
    <n v="123.28"/>
    <n v="0.42999999999999261"/>
    <n v="0.43"/>
    <n v="6.951741977204693E-3"/>
  </r>
  <r>
    <n v="1"/>
    <x v="4"/>
    <n v="200"/>
    <n v="196.5"/>
    <n v="3.5"/>
    <n v="0.85899999999996624"/>
    <n v="2.1794999999999832E-2"/>
  </r>
  <r>
    <n v="2"/>
    <x v="4"/>
    <n v="120"/>
    <n v="118.85"/>
    <n v="1.1500000000000057"/>
    <n v="0.33400000000000002"/>
    <n v="1.2366666666666715E-2"/>
  </r>
  <r>
    <n v="3"/>
    <x v="4"/>
    <n v="220"/>
    <n v="214.85"/>
    <n v="5.1500000000000057"/>
    <n v="0.33400000000000002"/>
    <n v="2.4927272727272753E-2"/>
  </r>
  <r>
    <n v="4"/>
    <x v="4"/>
    <n v="200"/>
    <n v="197.79999999999998"/>
    <n v="2.2000000000000171"/>
    <n v="0.75499999999996703"/>
    <n v="1.477499999999992E-2"/>
  </r>
  <r>
    <n v="5"/>
    <x v="4"/>
    <n v="40"/>
    <n v="39.75"/>
    <n v="0.25"/>
    <n v="0.59799999999999998"/>
    <n v="2.12E-2"/>
  </r>
  <r>
    <n v="6"/>
    <x v="4"/>
    <n v="140"/>
    <n v="139.15"/>
    <n v="0.84999999999999432"/>
    <n v="1.1779999999999999"/>
    <n v="1.4485714285714244E-2"/>
  </r>
  <r>
    <n v="7"/>
    <x v="4"/>
    <n v="120"/>
    <n v="118.85"/>
    <n v="1.1500000000000057"/>
    <n v="1.038"/>
    <n v="1.8233333333333383E-2"/>
  </r>
  <r>
    <n v="10"/>
    <x v="4"/>
    <n v="67.408000000000001"/>
    <n v="66.900000000000006"/>
    <n v="0.50799999999999557"/>
    <n v="1.7760000000000034"/>
    <n v="3.3883218609067157E-2"/>
  </r>
  <r>
    <n v="8"/>
    <x v="4"/>
    <n v="100"/>
    <n v="97.75"/>
    <n v="2.25"/>
    <n v="2.2120000000000002"/>
    <n v="4.462E-2"/>
  </r>
  <r>
    <n v="9"/>
    <x v="4"/>
    <n v="21.97"/>
    <n v="21.85"/>
    <n v="0.11999999999999744"/>
    <n v="2.032"/>
    <n v="9.7951752389622102E-2"/>
  </r>
  <r>
    <n v="11"/>
    <x v="4"/>
    <n v="101.44"/>
    <n v="98.4"/>
    <n v="3.039999999999992"/>
    <n v="0.95599999999999996"/>
    <n v="3.9392744479495187E-2"/>
  </r>
  <r>
    <n v="12"/>
    <x v="4"/>
    <n v="50.38"/>
    <n v="49.7"/>
    <n v="0.67999999999999972"/>
    <n v="0.71299999999999997"/>
    <n v="2.7649861055974587E-2"/>
  </r>
  <r>
    <n v="13"/>
    <x v="4"/>
    <n v="84.63"/>
    <n v="84.13"/>
    <n v="0.5"/>
    <n v="1.21"/>
    <n v="2.0205600850762142E-2"/>
  </r>
  <r>
    <n v="14"/>
    <x v="4"/>
    <n v="63.19"/>
    <n v="61.4"/>
    <n v="1.7899999999999991"/>
    <n v="0.93799999999999994"/>
    <n v="4.3171387877828753E-2"/>
  </r>
  <r>
    <n v="15"/>
    <x v="4"/>
    <n v="78.099999999999994"/>
    <n v="77.349999999999994"/>
    <n v="0.75"/>
    <n v="1.0740000000000001"/>
    <n v="2.335467349551857E-2"/>
  </r>
  <r>
    <n v="16"/>
    <x v="4"/>
    <n v="97.71"/>
    <n v="97.3"/>
    <n v="0.40999999999999659"/>
    <n v="0.39400000000000002"/>
    <n v="8.2284310715381916E-3"/>
  </r>
  <r>
    <n v="17"/>
    <x v="4"/>
    <n v="183.5"/>
    <n v="181.95"/>
    <n v="1.5500000000000114"/>
    <n v="0.60399999999999998"/>
    <n v="1.1738419618528673E-2"/>
  </r>
  <r>
    <n v="18"/>
    <x v="4"/>
    <n v="85"/>
    <n v="84.65"/>
    <n v="0.34999999999999432"/>
    <n v="0.58099999999999996"/>
    <n v="1.0952941176470521E-2"/>
  </r>
  <r>
    <n v="19"/>
    <x v="4"/>
    <n v="177.31"/>
    <n v="175.2"/>
    <n v="2.1100000000000136"/>
    <n v="1.6539999999999999"/>
    <n v="2.1228357114658019E-2"/>
  </r>
  <r>
    <n v="20"/>
    <x v="4"/>
    <n v="50"/>
    <n v="49.55"/>
    <n v="0.45000000000000284"/>
    <n v="3.6019999999999999"/>
    <n v="8.1040000000000056E-2"/>
  </r>
  <r>
    <n v="21"/>
    <x v="4"/>
    <n v="125"/>
    <n v="124"/>
    <n v="1"/>
    <n v="0.76400000000000001"/>
    <n v="1.4112E-2"/>
  </r>
  <r>
    <n v="22"/>
    <x v="4"/>
    <n v="122.408"/>
    <n v="120.65"/>
    <n v="1.7579999999999956"/>
    <n v="2.3980000000000201"/>
    <n v="3.3952029279132212E-2"/>
  </r>
  <r>
    <n v="23"/>
    <x v="4"/>
    <n v="70"/>
    <n v="69.25"/>
    <n v="0.75"/>
    <n v="0.9"/>
    <n v="2.357142857142857E-2"/>
  </r>
  <r>
    <n v="24"/>
    <x v="4"/>
    <n v="91.13"/>
    <n v="89.65"/>
    <n v="1.4799999999999898"/>
    <n v="0.68400000000000005"/>
    <n v="2.3746296499506089E-2"/>
  </r>
  <r>
    <n v="25"/>
    <x v="4"/>
    <n v="75"/>
    <n v="74.45"/>
    <n v="0.54999999999999716"/>
    <n v="1.7"/>
    <n v="2.9999999999999964E-2"/>
  </r>
  <r>
    <n v="26"/>
    <x v="4"/>
    <n v="110"/>
    <n v="108.35"/>
    <n v="1.6500000000000057"/>
    <n v="1.3680000000000001"/>
    <n v="2.7436363636363693E-2"/>
  </r>
  <r>
    <n v="27"/>
    <x v="4"/>
    <n v="70"/>
    <n v="69.400000000000006"/>
    <n v="0.59999999999999432"/>
    <n v="0.996"/>
    <n v="2.2799999999999918E-2"/>
  </r>
  <r>
    <n v="28"/>
    <x v="4"/>
    <n v="160"/>
    <n v="158.4"/>
    <n v="1.5999999999999943"/>
    <n v="1.9079999999999999"/>
    <n v="2.1924999999999965E-2"/>
  </r>
  <r>
    <n v="29"/>
    <x v="4"/>
    <n v="110"/>
    <n v="109.3"/>
    <n v="0.70000000000000284"/>
    <n v="1.5489999999999999"/>
    <n v="2.0445454545454572E-2"/>
  </r>
  <r>
    <n v="30"/>
    <x v="4"/>
    <n v="90"/>
    <n v="88.6"/>
    <n v="1.4000000000000057"/>
    <n v="0.77600000000000002"/>
    <n v="2.417777777777784E-2"/>
  </r>
  <r>
    <n v="31"/>
    <x v="4"/>
    <n v="25"/>
    <n v="24.6"/>
    <n v="0.39999999999999858"/>
    <n v="1.363"/>
    <n v="7.0519999999999944E-2"/>
  </r>
  <r>
    <n v="1"/>
    <x v="5"/>
    <n v="100"/>
    <n v="98.64"/>
    <n v="1.3599999999999994"/>
    <n v="0.14199999999999999"/>
    <n v="1.5019999999999993E-2"/>
  </r>
  <r>
    <n v="2"/>
    <x v="5"/>
    <n v="265"/>
    <n v="262.26"/>
    <n v="2.7400000000000091"/>
    <n v="0.21"/>
    <n v="1.1132075471698148E-2"/>
  </r>
  <r>
    <n v="3"/>
    <x v="5"/>
    <n v="265"/>
    <n v="262.18"/>
    <n v="2.8199999999999932"/>
    <n v="0.17599999999999999"/>
    <n v="1.1305660377358466E-2"/>
  </r>
  <r>
    <n v="4"/>
    <x v="5"/>
    <n v="100"/>
    <n v="98.94"/>
    <n v="1.0600000000000023"/>
    <n v="0.245"/>
    <n v="1.3050000000000023E-2"/>
  </r>
  <r>
    <n v="5"/>
    <x v="5"/>
    <n v="60"/>
    <n v="59.52"/>
    <n v="0.47999999999999687"/>
    <n v="0.187"/>
    <n v="1.1116666666666615E-2"/>
  </r>
  <r>
    <n v="6"/>
    <x v="5"/>
    <n v="80"/>
    <n v="79.180000000000007"/>
    <n v="0.81999999999999318"/>
    <n v="0.21"/>
    <n v="1.2874999999999914E-2"/>
  </r>
  <r>
    <n v="7"/>
    <x v="5"/>
    <n v="65"/>
    <n v="64.239999999999995"/>
    <n v="0.76000000000000512"/>
    <n v="0.29199999999999998"/>
    <n v="1.6184615384615464E-2"/>
  </r>
  <r>
    <n v="10"/>
    <x v="5"/>
    <n v="80"/>
    <n v="78.180000000000007"/>
    <n v="1.8199999999999932"/>
    <n v="0.27100000000000002"/>
    <n v="2.6137499999999914E-2"/>
  </r>
  <r>
    <n v="8"/>
    <x v="5"/>
    <n v="120"/>
    <n v="118.14"/>
    <n v="1.8599999999999994"/>
    <n v="0.189"/>
    <n v="1.7074999999999996E-2"/>
  </r>
  <r>
    <n v="9"/>
    <x v="5"/>
    <n v="60"/>
    <n v="59.42"/>
    <n v="0.57999999999999829"/>
    <n v="0.188"/>
    <n v="1.2799999999999971E-2"/>
  </r>
  <r>
    <n v="11"/>
    <x v="5"/>
    <n v="100"/>
    <n v="99.16"/>
    <n v="0.84000000000000341"/>
    <n v="0.19"/>
    <n v="1.0300000000000033E-2"/>
  </r>
  <r>
    <n v="12"/>
    <x v="5"/>
    <n v="85"/>
    <n v="84.12"/>
    <n v="0.87999999999999545"/>
    <n v="0.188"/>
    <n v="1.2564705882352888E-2"/>
  </r>
  <r>
    <n v="13"/>
    <x v="5"/>
    <n v="40"/>
    <n v="39.5"/>
    <n v="0.5"/>
    <n v="0.184"/>
    <n v="1.7099999999999997E-2"/>
  </r>
  <r>
    <n v="14"/>
    <x v="5"/>
    <n v="80"/>
    <n v="77.319999999999993"/>
    <n v="2.6800000000000068"/>
    <n v="0.17499999999999999"/>
    <n v="3.568750000000008E-2"/>
  </r>
  <r>
    <n v="15"/>
    <x v="5"/>
    <n v="60"/>
    <n v="58.92"/>
    <n v="1.0799999999999983"/>
    <n v="0.16600000000000001"/>
    <n v="2.0766666666666638E-2"/>
  </r>
  <r>
    <n v="16"/>
    <x v="5"/>
    <n v="80"/>
    <n v="78.36"/>
    <n v="1.6400000000000006"/>
    <n v="0.152"/>
    <n v="2.2400000000000007E-2"/>
  </r>
  <r>
    <n v="17"/>
    <x v="5"/>
    <n v="60"/>
    <n v="59.14"/>
    <n v="0.85999999999999943"/>
    <n v="0.23899999999999999"/>
    <n v="1.8316666666666655E-2"/>
  </r>
  <r>
    <n v="18"/>
    <x v="5"/>
    <n v="18"/>
    <n v="16.84"/>
    <n v="1.1600000000000001"/>
    <n v="0.249"/>
    <n v="7.8277777777777793E-2"/>
  </r>
  <r>
    <n v="19"/>
    <x v="5"/>
    <n v="40"/>
    <n v="39.700000000000003"/>
    <n v="0.29999999999999716"/>
    <n v="0.24199999999999999"/>
    <n v="1.3549999999999928E-2"/>
  </r>
  <r>
    <n v="20"/>
    <x v="5"/>
    <n v="40"/>
    <n v="39.26"/>
    <n v="0.74000000000000199"/>
    <n v="0.252"/>
    <n v="2.4800000000000051E-2"/>
  </r>
  <r>
    <n v="21"/>
    <x v="5"/>
    <n v="25.15"/>
    <n v="24.96"/>
    <n v="0.18999999999999773"/>
    <n v="0.154"/>
    <n v="1.3677932405566511E-2"/>
  </r>
  <r>
    <n v="22"/>
    <x v="5"/>
    <n v="100"/>
    <n v="98.66"/>
    <n v="1.3400000000000034"/>
    <n v="0.29800000000000199"/>
    <n v="1.6380000000000054E-2"/>
  </r>
  <r>
    <n v="23"/>
    <x v="5"/>
    <n v="155.47999999999999"/>
    <n v="153.12"/>
    <n v="2.3599999999999852"/>
    <n v="0.24399999999999999"/>
    <n v="1.6748134808335383E-2"/>
  </r>
  <r>
    <n v="24"/>
    <x v="5"/>
    <n v="80"/>
    <n v="79.22"/>
    <n v="0.78000000000000114"/>
    <n v="0.22700000000000001"/>
    <n v="1.2587500000000015E-2"/>
  </r>
  <r>
    <n v="25"/>
    <x v="5"/>
    <n v="190.13"/>
    <n v="188.08"/>
    <n v="2.0499999999999829"/>
    <n v="0.154"/>
    <n v="1.1592068584652516E-2"/>
  </r>
  <r>
    <n v="26"/>
    <x v="5"/>
    <n v="333.89"/>
    <n v="329.88"/>
    <n v="4.0099999999999909"/>
    <n v="0.22800000000000001"/>
    <n v="1.2692803018958311E-2"/>
  </r>
  <r>
    <n v="27"/>
    <x v="5"/>
    <n v="0"/>
    <n v="0"/>
    <n v="0"/>
    <n v="0.27800000000000002"/>
    <e v="#DIV/0!"/>
  </r>
  <r>
    <n v="28"/>
    <x v="5"/>
    <n v="60"/>
    <n v="58.78"/>
    <n v="1.2199999999999989"/>
    <n v="0.19600000000000001"/>
    <n v="2.3599999999999979E-2"/>
  </r>
  <r>
    <n v="29"/>
    <x v="5"/>
    <n v="60"/>
    <n v="59.52"/>
    <n v="0.47999999999999687"/>
    <n v="0.10100000000000001"/>
    <n v="9.6833333333332817E-3"/>
  </r>
  <r>
    <n v="30"/>
    <x v="5"/>
    <n v="140"/>
    <n v="138.46"/>
    <n v="1.539999999999992"/>
    <n v="0.222"/>
    <n v="1.2585714285714228E-2"/>
  </r>
  <r>
    <n v="31"/>
    <x v="5"/>
    <n v="120"/>
    <n v="116.86"/>
    <n v="3.1400000000000006"/>
    <n v="0.17300000000001248"/>
    <n v="2.7608333333333443E-2"/>
  </r>
  <r>
    <n v="1"/>
    <x v="6"/>
    <n v="105"/>
    <n v="104.88"/>
    <n v="0.12000000000000455"/>
    <n v="1.448"/>
    <n v="1.4933333333333377E-2"/>
  </r>
  <r>
    <n v="2"/>
    <x v="6"/>
    <n v="215"/>
    <n v="214.26"/>
    <n v="0.74000000000000909"/>
    <n v="2.0569999999999999"/>
    <n v="1.3009302325581437E-2"/>
  </r>
  <r>
    <n v="3"/>
    <x v="6"/>
    <n v="380"/>
    <n v="379.5"/>
    <n v="0.5"/>
    <n v="3.4889999999999999"/>
    <n v="1.0497368421052632E-2"/>
  </r>
  <r>
    <n v="4"/>
    <x v="6"/>
    <n v="220"/>
    <n v="218.9"/>
    <n v="1.0999999999999943"/>
    <n v="1.899"/>
    <n v="1.3631818181818156E-2"/>
  </r>
  <r>
    <n v="5"/>
    <x v="6"/>
    <n v="60"/>
    <n v="59.9"/>
    <n v="0.10000000000000142"/>
    <n v="1.395"/>
    <n v="2.4916666666666691E-2"/>
  </r>
  <r>
    <n v="6"/>
    <x v="6"/>
    <n v="200"/>
    <n v="200.04"/>
    <n v="-3.9999999999992042E-2"/>
    <n v="1.3109999999999999"/>
    <n v="6.3550000000000394E-3"/>
  </r>
  <r>
    <n v="7"/>
    <x v="6"/>
    <n v="200"/>
    <n v="199.3"/>
    <n v="0.69999999999998863"/>
    <n v="2.9209999999999998"/>
    <n v="1.8104999999999941E-2"/>
  </r>
  <r>
    <n v="10"/>
    <x v="6"/>
    <n v="258.86"/>
    <n v="256.60000000000002"/>
    <n v="2.2599999999999909"/>
    <n v="1.5089999999999999"/>
    <n v="1.4559993819052734E-2"/>
  </r>
  <r>
    <n v="8"/>
    <x v="6"/>
    <n v="200"/>
    <n v="198.7"/>
    <n v="1.3000000000000114"/>
    <n v="1.395"/>
    <n v="1.3475000000000056E-2"/>
  </r>
  <r>
    <n v="9"/>
    <x v="6"/>
    <n v="105.98400000000001"/>
    <n v="104.00000000000001"/>
    <n v="1.9839999999999947"/>
    <n v="1.5549999999999999"/>
    <n v="3.3391832729468544E-2"/>
  </r>
  <r>
    <n v="11"/>
    <x v="6"/>
    <n v="96.11"/>
    <n v="94.7"/>
    <n v="1.4099999999999966"/>
    <n v="1.409"/>
    <n v="2.9330974924565566E-2"/>
  </r>
  <r>
    <n v="12"/>
    <x v="6"/>
    <n v="278.39999999999998"/>
    <n v="276.8"/>
    <n v="1.5999999999999659"/>
    <n v="4.1280000000000001"/>
    <n v="2.057471264367804E-2"/>
  </r>
  <r>
    <n v="13"/>
    <x v="6"/>
    <n v="197.15"/>
    <n v="196.5"/>
    <n v="0.65000000000000568"/>
    <n v="1.8680000000000001"/>
    <n v="1.2772001014456028E-2"/>
  </r>
  <r>
    <n v="14"/>
    <x v="6"/>
    <n v="233.14999999999998"/>
    <n v="233.2"/>
    <n v="-5.0000000000011369E-2"/>
    <n v="2.11"/>
    <n v="8.8355136178425425E-3"/>
  </r>
  <r>
    <n v="15"/>
    <x v="6"/>
    <n v="118.18"/>
    <n v="116.24"/>
    <n v="1.9400000000000119"/>
    <n v="1.835"/>
    <n v="3.1942799119986563E-2"/>
  </r>
  <r>
    <n v="16"/>
    <x v="6"/>
    <n v="203.5"/>
    <n v="203"/>
    <n v="0.5"/>
    <n v="1.55"/>
    <n v="1.0073710073710072E-2"/>
  </r>
  <r>
    <n v="17"/>
    <x v="6"/>
    <n v="169.34"/>
    <n v="167.12"/>
    <n v="2.2199999999999989"/>
    <n v="2.42"/>
    <n v="2.7400496043462848E-2"/>
  </r>
  <r>
    <n v="18"/>
    <x v="6"/>
    <n v="168.66"/>
    <n v="167.9"/>
    <n v="0.75999999999999091"/>
    <n v="1.42"/>
    <n v="1.292541207162333E-2"/>
  </r>
  <r>
    <n v="19"/>
    <x v="6"/>
    <n v="65.58"/>
    <n v="65.14"/>
    <n v="0.43999999999999773"/>
    <n v="0.72"/>
    <n v="1.768831960963705E-2"/>
  </r>
  <r>
    <n v="20"/>
    <x v="6"/>
    <n v="326.44"/>
    <n v="324.89999999999998"/>
    <n v="1.5400000000000205"/>
    <n v="4.508"/>
    <n v="1.8527141281705736E-2"/>
  </r>
  <r>
    <n v="21"/>
    <x v="6"/>
    <n v="210.95"/>
    <n v="208.04"/>
    <n v="2.9099999999999966"/>
    <n v="2.1419999999999999"/>
    <n v="2.394880303389427E-2"/>
  </r>
  <r>
    <n v="22"/>
    <x v="6"/>
    <n v="398.04399999999998"/>
    <n v="396.5"/>
    <n v="1.5439999999999827"/>
    <n v="4.3403999999999598"/>
    <n v="1.4783290289515588E-2"/>
  </r>
  <r>
    <n v="23"/>
    <x v="6"/>
    <n v="303.36"/>
    <n v="302.98"/>
    <n v="0.37999999999999545"/>
    <n v="4.0129999999999999"/>
    <n v="1.4481144514767917E-2"/>
  </r>
  <r>
    <n v="24"/>
    <x v="6"/>
    <n v="127.08"/>
    <n v="126.77"/>
    <n v="0.31000000000000227"/>
    <n v="0.96899999999999997"/>
    <n v="1.0064526282656611E-2"/>
  </r>
  <r>
    <n v="25"/>
    <x v="6"/>
    <n v="104.6"/>
    <n v="103.66"/>
    <n v="0.93999999999999773"/>
    <n v="2.1349999999999998"/>
    <n v="2.9397705544933057E-2"/>
  </r>
  <r>
    <n v="26"/>
    <x v="6"/>
    <n v="496.18"/>
    <n v="495.52"/>
    <n v="0.66000000000002501"/>
    <n v="0"/>
    <n v="1.3301624410496694E-3"/>
  </r>
  <r>
    <n v="27"/>
    <x v="6"/>
    <n v="0"/>
    <n v="0"/>
    <n v="0"/>
    <n v="3.2450000000000001"/>
    <e v="#DIV/0!"/>
  </r>
  <r>
    <n v="28"/>
    <x v="6"/>
    <n v="180"/>
    <n v="179.54"/>
    <n v="0.46000000000000796"/>
    <n v="1.625"/>
    <n v="1.1583333333333378E-2"/>
  </r>
  <r>
    <n v="29"/>
    <x v="6"/>
    <n v="140"/>
    <n v="139.38"/>
    <n v="0.62000000000000455"/>
    <n v="1.3839999999999999"/>
    <n v="1.4314285714285746E-2"/>
  </r>
  <r>
    <n v="30"/>
    <x v="6"/>
    <n v="200"/>
    <n v="199.5"/>
    <n v="0.5"/>
    <n v="1.409999999999954"/>
    <n v="9.5499999999997705E-3"/>
  </r>
  <r>
    <n v="31"/>
    <x v="6"/>
    <n v="200"/>
    <n v="198.88"/>
    <n v="1.1200000000000045"/>
    <n v="2.09"/>
    <n v="1.6050000000000023E-2"/>
  </r>
  <r>
    <n v="1"/>
    <x v="7"/>
    <n v="80"/>
    <n v="79.34"/>
    <n v="0.65999999999999659"/>
    <n v="1.1816099999999992"/>
    <n v="2.3020124999999947E-2"/>
  </r>
  <r>
    <n v="2"/>
    <x v="7"/>
    <n v="80"/>
    <n v="79.290000000000006"/>
    <n v="0.70999999999999375"/>
    <n v="0.82199999999999995"/>
    <n v="1.9149999999999924E-2"/>
  </r>
  <r>
    <n v="3"/>
    <x v="7"/>
    <n v="0"/>
    <n v="0"/>
    <n v="0"/>
    <n v="0.24199999999999999"/>
    <e v="#DIV/0!"/>
  </r>
  <r>
    <n v="4"/>
    <x v="7"/>
    <n v="0"/>
    <n v="0"/>
    <n v="0"/>
    <n v="0.36099999999999999"/>
    <e v="#DIV/0!"/>
  </r>
  <r>
    <n v="5"/>
    <x v="7"/>
    <n v="0"/>
    <n v="0"/>
    <n v="0"/>
    <n v="0.16800000000000001"/>
    <e v="#DIV/0!"/>
  </r>
  <r>
    <n v="6"/>
    <x v="7"/>
    <n v="20"/>
    <n v="19.829999999999998"/>
    <n v="0.17000000000000171"/>
    <n v="0.373"/>
    <n v="2.7150000000000084E-2"/>
  </r>
  <r>
    <n v="7"/>
    <x v="7"/>
    <n v="0"/>
    <n v="0"/>
    <n v="0"/>
    <n v="0.31900000000000001"/>
    <e v="#DIV/0!"/>
  </r>
  <r>
    <n v="10"/>
    <x v="7"/>
    <n v="25"/>
    <n v="25"/>
    <n v="0"/>
    <n v="0.108"/>
    <n v="4.3200000000000001E-3"/>
  </r>
  <r>
    <n v="8"/>
    <x v="7"/>
    <n v="20"/>
    <n v="19.809999999999999"/>
    <n v="0.19000000000000128"/>
    <n v="0.42399999999999999"/>
    <n v="3.0700000000000061E-2"/>
  </r>
  <r>
    <n v="9"/>
    <x v="7"/>
    <n v="20"/>
    <n v="19.82"/>
    <n v="0.17999999999999972"/>
    <n v="0.42499999999999999"/>
    <n v="3.0249999999999989E-2"/>
  </r>
  <r>
    <n v="11"/>
    <x v="7"/>
    <n v="0"/>
    <n v="0"/>
    <n v="0"/>
    <n v="0.251"/>
    <e v="#DIV/0!"/>
  </r>
  <r>
    <n v="12"/>
    <x v="7"/>
    <n v="20"/>
    <n v="19.89"/>
    <n v="0.10999999999999943"/>
    <n v="0.22500000000000001"/>
    <n v="1.674999999999997E-2"/>
  </r>
  <r>
    <n v="13"/>
    <x v="7"/>
    <n v="0"/>
    <n v="0"/>
    <n v="0"/>
    <n v="0.182"/>
    <e v="#DIV/0!"/>
  </r>
  <r>
    <n v="14"/>
    <x v="7"/>
    <n v="0"/>
    <n v="0"/>
    <n v="0"/>
    <n v="9.1999999999999998E-2"/>
    <e v="#DIV/0!"/>
  </r>
  <r>
    <n v="15"/>
    <x v="7"/>
    <n v="147.94999999999999"/>
    <n v="146.78"/>
    <n v="1.1699999999999875"/>
    <n v="2.2589999999999999"/>
    <n v="2.3176748901655882E-2"/>
  </r>
  <r>
    <n v="16"/>
    <x v="7"/>
    <n v="0"/>
    <n v="0"/>
    <n v="0"/>
    <n v="0.108"/>
    <e v="#DIV/0!"/>
  </r>
  <r>
    <n v="17"/>
    <x v="7"/>
    <n v="0"/>
    <n v="0"/>
    <n v="0"/>
    <n v="7.0000000000000007E-2"/>
    <e v="#DIV/0!"/>
  </r>
  <r>
    <n v="18"/>
    <x v="7"/>
    <n v="20"/>
    <n v="19.84"/>
    <n v="0.16000000000000014"/>
    <n v="0.19900000000000001"/>
    <n v="1.7950000000000008E-2"/>
  </r>
  <r>
    <n v="19"/>
    <x v="7"/>
    <n v="20"/>
    <n v="19.809999999999999"/>
    <n v="0.19000000000000128"/>
    <n v="0.16600000000000001"/>
    <n v="1.7800000000000066E-2"/>
  </r>
  <r>
    <n v="20"/>
    <x v="7"/>
    <n v="66.91"/>
    <n v="66.45"/>
    <n v="0.45999999999999375"/>
    <n v="0.85899999999999999"/>
    <n v="1.9713047377073589E-2"/>
  </r>
  <r>
    <n v="21"/>
    <x v="7"/>
    <n v="25.15"/>
    <n v="24.96"/>
    <n v="0.18999999999999773"/>
    <n v="0.154"/>
    <n v="1.3677932405566511E-2"/>
  </r>
  <r>
    <n v="22"/>
    <x v="7"/>
    <n v="20"/>
    <n v="19.87"/>
    <n v="0.12999999999999901"/>
    <n v="1.21899"/>
    <n v="6.7449499999999954E-2"/>
  </r>
  <r>
    <n v="23"/>
    <x v="7"/>
    <n v="0"/>
    <n v="0"/>
    <n v="0"/>
    <n v="8.3000000000000004E-2"/>
    <e v="#DIV/0!"/>
  </r>
  <r>
    <n v="24"/>
    <x v="7"/>
    <n v="0"/>
    <n v="0"/>
    <n v="0"/>
    <n v="0.106"/>
    <e v="#DIV/0!"/>
  </r>
  <r>
    <n v="25"/>
    <x v="7"/>
    <n v="0"/>
    <n v="0"/>
    <n v="0"/>
    <n v="0.28399999999999997"/>
    <e v="#DIV/0!"/>
  </r>
  <r>
    <n v="26"/>
    <x v="7"/>
    <n v="120"/>
    <n v="119.06"/>
    <n v="0.93999999999999773"/>
    <n v="2.4209999999999998"/>
    <n v="2.8008333333333312E-2"/>
  </r>
  <r>
    <n v="27"/>
    <x v="7"/>
    <n v="0"/>
    <n v="0"/>
    <n v="0"/>
    <n v="0.12"/>
    <e v="#DIV/0!"/>
  </r>
  <r>
    <n v="28"/>
    <x v="7"/>
    <n v="86.8"/>
    <n v="86.26"/>
    <n v="0.53999999999999204"/>
    <n v="1.31"/>
    <n v="2.131336405529945E-2"/>
  </r>
  <r>
    <n v="29"/>
    <x v="7"/>
    <n v="40"/>
    <n v="39.72"/>
    <n v="0.28000000000000114"/>
    <n v="1.1200000000000001"/>
    <n v="3.5000000000000031E-2"/>
  </r>
  <r>
    <n v="30"/>
    <x v="7"/>
    <n v="0"/>
    <n v="0"/>
    <n v="0"/>
    <n v="0.13700000000000001"/>
    <e v="#DIV/0!"/>
  </r>
  <r>
    <n v="31"/>
    <x v="7"/>
    <n v="0"/>
    <n v="0"/>
    <n v="0"/>
    <n v="2.7E-2"/>
    <e v="#DIV/0!"/>
  </r>
  <r>
    <n v="1"/>
    <x v="8"/>
    <n v="60"/>
    <n v="59.5"/>
    <n v="0.5"/>
    <n v="0.36799999999999999"/>
    <n v="1.4466666666666666E-2"/>
  </r>
  <r>
    <n v="2"/>
    <x v="8"/>
    <n v="180"/>
    <n v="178.45"/>
    <n v="1.5500000000000114"/>
    <n v="0.34200000000000003"/>
    <n v="1.0511111111111174E-2"/>
  </r>
  <r>
    <n v="3"/>
    <x v="8"/>
    <n v="210"/>
    <n v="207.75"/>
    <n v="2.25"/>
    <n v="0.45"/>
    <n v="1.2857142857142859E-2"/>
  </r>
  <r>
    <n v="4"/>
    <x v="8"/>
    <n v="150.91999999999999"/>
    <n v="149.41"/>
    <n v="1.5099999999999909"/>
    <n v="1.2"/>
    <n v="1.7956533262655654E-2"/>
  </r>
  <r>
    <n v="5"/>
    <x v="8"/>
    <n v="80"/>
    <n v="79.290000000000006"/>
    <n v="0.70999999999999375"/>
    <n v="0.75"/>
    <n v="1.8249999999999923E-2"/>
  </r>
  <r>
    <n v="6"/>
    <x v="8"/>
    <n v="40"/>
    <n v="39.51"/>
    <n v="0.49000000000000199"/>
    <n v="0.251"/>
    <n v="1.8525000000000048E-2"/>
  </r>
  <r>
    <n v="7"/>
    <x v="8"/>
    <n v="80"/>
    <n v="79.45"/>
    <n v="0.54999999999999716"/>
    <n v="0.40300000000000225"/>
    <n v="1.1912499999999993E-2"/>
  </r>
  <r>
    <n v="10"/>
    <x v="8"/>
    <n v="100"/>
    <n v="98.99"/>
    <n v="1.0100000000000051"/>
    <n v="0.48499999999999999"/>
    <n v="1.495000000000005E-2"/>
  </r>
  <r>
    <n v="8"/>
    <x v="8"/>
    <n v="40"/>
    <n v="39.479999999999997"/>
    <n v="0.52000000000000313"/>
    <n v="0.22800000000000001"/>
    <n v="1.8700000000000078E-2"/>
  </r>
  <r>
    <n v="9"/>
    <x v="8"/>
    <n v="110"/>
    <n v="108.93"/>
    <n v="1.0699999999999932"/>
    <n v="1"/>
    <n v="1.8818181818181755E-2"/>
  </r>
  <r>
    <n v="11"/>
    <x v="8"/>
    <n v="60"/>
    <n v="59.36"/>
    <n v="0.64000000000000057"/>
    <n v="0.35399999999999998"/>
    <n v="1.6566666666666677E-2"/>
  </r>
  <r>
    <n v="12"/>
    <x v="8"/>
    <n v="80"/>
    <n v="79.23"/>
    <n v="0.76999999999999602"/>
    <n v="0.71"/>
    <n v="1.8499999999999951E-2"/>
  </r>
  <r>
    <n v="13"/>
    <x v="8"/>
    <n v="0"/>
    <n v="0"/>
    <n v="0"/>
    <n v="0.32500000000000001"/>
    <e v="#DIV/0!"/>
  </r>
  <r>
    <n v="14"/>
    <x v="8"/>
    <n v="89.37"/>
    <n v="88.24"/>
    <n v="1.1300000000000097"/>
    <n v="0.26900000000000002"/>
    <n v="1.5654022602663194E-2"/>
  </r>
  <r>
    <n v="15"/>
    <x v="8"/>
    <n v="242.75"/>
    <n v="240.35"/>
    <n v="2.4000000000000057"/>
    <n v="0.27600000000000002"/>
    <n v="1.1023686920700332E-2"/>
  </r>
  <r>
    <n v="16"/>
    <x v="8"/>
    <n v="60"/>
    <n v="59.31"/>
    <n v="0.68999999999999773"/>
    <n v="0.28999999999999998"/>
    <n v="1.6333333333333297E-2"/>
  </r>
  <r>
    <n v="17"/>
    <x v="8"/>
    <n v="40"/>
    <n v="39.5"/>
    <n v="0.5"/>
    <n v="0.29599999999999999"/>
    <n v="1.9900000000000001E-2"/>
  </r>
  <r>
    <n v="18"/>
    <x v="8"/>
    <n v="80"/>
    <n v="79.239999999999995"/>
    <n v="0.76000000000000512"/>
    <n v="0.68"/>
    <n v="1.8000000000000065E-2"/>
  </r>
  <r>
    <n v="19"/>
    <x v="8"/>
    <n v="60"/>
    <n v="59.4"/>
    <n v="0.60000000000000142"/>
    <n v="0.52"/>
    <n v="1.8666666666666689E-2"/>
  </r>
  <r>
    <n v="20"/>
    <x v="8"/>
    <n v="80"/>
    <n v="79.430000000000007"/>
    <n v="0.56999999999999318"/>
    <n v="0.308"/>
    <n v="1.0974999999999915E-2"/>
  </r>
  <r>
    <n v="21"/>
    <x v="8"/>
    <n v="85.63"/>
    <n v="84.96"/>
    <n v="0.67000000000000171"/>
    <n v="0.53300000000000003"/>
    <n v="1.4048814667756647E-2"/>
  </r>
  <r>
    <n v="22"/>
    <x v="8"/>
    <n v="56.01"/>
    <n v="55.36"/>
    <n v="0.64999999999999858"/>
    <n v="0.37599999999998002"/>
    <n v="1.8318157471879638E-2"/>
  </r>
  <r>
    <n v="23"/>
    <x v="8"/>
    <n v="0"/>
    <n v="0"/>
    <n v="0"/>
    <n v="0"/>
    <e v="#DIV/0!"/>
  </r>
  <r>
    <n v="24"/>
    <x v="8"/>
    <n v="91.29"/>
    <n v="90.14"/>
    <n v="1.1500000000000057"/>
    <n v="0.42899999999999999"/>
    <n v="1.7296527549567373E-2"/>
  </r>
  <r>
    <n v="25"/>
    <x v="8"/>
    <n v="184.41"/>
    <n v="183.06"/>
    <n v="1.3499999999999943"/>
    <n v="0.68500000000000005"/>
    <n v="1.1035193319234285E-2"/>
  </r>
  <r>
    <n v="26"/>
    <x v="8"/>
    <n v="85"/>
    <n v="83.87"/>
    <n v="1.1299999999999955"/>
    <n v="0.39600000000000002"/>
    <n v="1.7952941176470533E-2"/>
  </r>
  <r>
    <n v="27"/>
    <x v="8"/>
    <n v="60"/>
    <n v="59.35"/>
    <n v="0.64999999999999858"/>
    <n v="0.312"/>
    <n v="1.6033333333333309E-2"/>
  </r>
  <r>
    <n v="28"/>
    <x v="8"/>
    <n v="65"/>
    <n v="64.55"/>
    <n v="0.45000000000000284"/>
    <n v="0.248"/>
    <n v="1.0738461538461582E-2"/>
  </r>
  <r>
    <n v="29"/>
    <x v="8"/>
    <n v="60"/>
    <n v="59.39"/>
    <n v="0.60999999999999943"/>
    <n v="0.247"/>
    <n v="1.4283333333333323E-2"/>
  </r>
  <r>
    <n v="30"/>
    <x v="8"/>
    <n v="280"/>
    <n v="278.60000000000002"/>
    <n v="1.3999999999999773"/>
    <n v="0.438"/>
    <n v="6.5642857142856328E-3"/>
  </r>
  <r>
    <n v="31"/>
    <x v="8"/>
    <n v="125"/>
    <n v="123.85"/>
    <n v="1.1500000000000057"/>
    <n v="0.317"/>
    <n v="1.1736000000000045E-2"/>
  </r>
  <r>
    <n v="1"/>
    <x v="9"/>
    <n v="100"/>
    <n v="99.52"/>
    <n v="0.48000000000000398"/>
    <n v="0.188"/>
    <n v="6.6800000000000392E-3"/>
  </r>
  <r>
    <n v="2"/>
    <x v="9"/>
    <n v="80"/>
    <n v="79.22"/>
    <n v="0.78000000000000114"/>
    <n v="0.21199999999999999"/>
    <n v="1.2400000000000013E-2"/>
  </r>
  <r>
    <n v="3"/>
    <x v="9"/>
    <n v="180"/>
    <n v="178.78"/>
    <n v="1.2199999999999989"/>
    <n v="0.183"/>
    <n v="7.794444444444438E-3"/>
  </r>
  <r>
    <n v="4"/>
    <x v="9"/>
    <n v="100"/>
    <n v="99.45"/>
    <n v="0.54999999999999716"/>
    <n v="0.24299999999999999"/>
    <n v="7.9299999999999718E-3"/>
  </r>
  <r>
    <n v="5"/>
    <x v="9"/>
    <n v="60"/>
    <n v="59.5"/>
    <n v="0.5"/>
    <n v="0.19600000000000001"/>
    <n v="1.1599999999999999E-2"/>
  </r>
  <r>
    <n v="6"/>
    <x v="9"/>
    <n v="40"/>
    <n v="39.799999999999997"/>
    <n v="0.20000000000000284"/>
    <n v="0.182"/>
    <n v="9.5500000000000706E-3"/>
  </r>
  <r>
    <n v="7"/>
    <x v="9"/>
    <n v="80"/>
    <n v="79.38"/>
    <n v="0.62000000000000455"/>
    <n v="0.21"/>
    <n v="1.0375000000000056E-2"/>
  </r>
  <r>
    <n v="10"/>
    <x v="9"/>
    <n v="73.37"/>
    <n v="72.8"/>
    <n v="0.57000000000000739"/>
    <n v="0.125"/>
    <n v="9.4725364590433053E-3"/>
  </r>
  <r>
    <n v="8"/>
    <x v="9"/>
    <n v="80"/>
    <n v="79.290000000000006"/>
    <n v="0.70999999999999375"/>
    <n v="0.15"/>
    <n v="1.0749999999999923E-2"/>
  </r>
  <r>
    <n v="9"/>
    <x v="9"/>
    <n v="45.4"/>
    <n v="45.12"/>
    <n v="0.28000000000000114"/>
    <n v="0.14299999999999999"/>
    <n v="9.3171806167401134E-3"/>
  </r>
  <r>
    <n v="11"/>
    <x v="9"/>
    <n v="153.46"/>
    <n v="152.41"/>
    <n v="1.0500000000000114"/>
    <n v="0.22900000000000001"/>
    <n v="8.3344193926756897E-3"/>
  </r>
  <r>
    <n v="12"/>
    <x v="9"/>
    <n v="93.5"/>
    <n v="92.74"/>
    <n v="0.76000000000000512"/>
    <n v="0.193"/>
    <n v="1.0192513368984012E-2"/>
  </r>
  <r>
    <n v="13"/>
    <x v="9"/>
    <n v="52.94"/>
    <n v="52.68"/>
    <n v="0.25999999999999801"/>
    <n v="0.13700000000000001"/>
    <n v="7.4990555345673974E-3"/>
  </r>
  <r>
    <n v="14"/>
    <x v="9"/>
    <n v="49.54"/>
    <n v="49.21"/>
    <n v="0.32999999999999829"/>
    <n v="0.14399999999999999"/>
    <n v="9.56802583770687E-3"/>
  </r>
  <r>
    <n v="15"/>
    <x v="9"/>
    <n v="56.15"/>
    <n v="55.59"/>
    <n v="0.55999999999999517"/>
    <n v="0.16200000000000001"/>
    <n v="1.2858414959928677E-2"/>
  </r>
  <r>
    <n v="16"/>
    <x v="9"/>
    <n v="44.3"/>
    <n v="44.06"/>
    <n v="0.23999999999999488"/>
    <n v="0.17899999999999999"/>
    <n v="9.4582392776522556E-3"/>
  </r>
  <r>
    <n v="17"/>
    <x v="9"/>
    <n v="65.48"/>
    <n v="65.08"/>
    <n v="0.40000000000000568"/>
    <n v="0.192"/>
    <n v="9.0409285277948323E-3"/>
  </r>
  <r>
    <n v="18"/>
    <x v="9"/>
    <n v="65.48"/>
    <n v="65.08"/>
    <n v="0.40000000000000568"/>
    <n v="0.192"/>
    <n v="9.0409285277948323E-3"/>
  </r>
  <r>
    <n v="19"/>
    <x v="9"/>
    <n v="75.77"/>
    <n v="75.33"/>
    <n v="0.43999999999999773"/>
    <n v="0.16"/>
    <n v="7.9187013329813614E-3"/>
  </r>
  <r>
    <n v="20"/>
    <x v="9"/>
    <n v="44.25"/>
    <n v="43.98"/>
    <n v="0.27000000000000313"/>
    <n v="6.8000000000000005E-2"/>
    <n v="7.6384180790961161E-3"/>
  </r>
  <r>
    <n v="21"/>
    <x v="9"/>
    <n v="44.82"/>
    <n v="44.13"/>
    <n v="0.68999999999999773"/>
    <n v="0.13800000000000001"/>
    <n v="1.8473895582329265E-2"/>
  </r>
  <r>
    <n v="22"/>
    <x v="9"/>
    <n v="24.92"/>
    <n v="24.79"/>
    <n v="0.13000000000000256"/>
    <n v="0.122"/>
    <n v="1.0112359550561899E-2"/>
  </r>
  <r>
    <n v="23"/>
    <x v="9"/>
    <n v="20"/>
    <n v="19.91"/>
    <n v="8.9999999999999858E-2"/>
    <n v="0.11700000000000001"/>
    <n v="1.0349999999999993E-2"/>
  </r>
  <r>
    <n v="24"/>
    <x v="9"/>
    <n v="58.85"/>
    <n v="58.51"/>
    <n v="0.34000000000000341"/>
    <n v="0.15"/>
    <n v="8.3262531860663277E-3"/>
  </r>
  <r>
    <n v="25"/>
    <x v="9"/>
    <n v="73.75"/>
    <n v="73.319999999999993"/>
    <n v="0.43000000000000682"/>
    <n v="0.16800000000000001"/>
    <n v="8.1084745762712799E-3"/>
  </r>
  <r>
    <n v="26"/>
    <x v="9"/>
    <n v="146.75"/>
    <n v="146.13"/>
    <n v="0.62000000000000455"/>
    <n v="0.152"/>
    <n v="5.2606473594548862E-3"/>
  </r>
  <r>
    <n v="27"/>
    <x v="9"/>
    <n v="63.48"/>
    <n v="63.13"/>
    <n v="0.34999999999999432"/>
    <n v="0.104"/>
    <n v="7.1518588531820151E-3"/>
  </r>
  <r>
    <n v="28"/>
    <x v="9"/>
    <n v="43.16"/>
    <n v="42.79"/>
    <n v="0.36999999999999744"/>
    <n v="0.15"/>
    <n v="1.2048192771084279E-2"/>
  </r>
  <r>
    <n v="29"/>
    <x v="9"/>
    <n v="67.739999999999995"/>
    <n v="67.39"/>
    <n v="0.34999999999999432"/>
    <n v="0.11"/>
    <n v="6.7906702096249532E-3"/>
  </r>
  <r>
    <n v="30"/>
    <x v="9"/>
    <n v="82.66"/>
    <n v="82.07"/>
    <n v="0.59000000000000341"/>
    <n v="0.26"/>
    <n v="1.0283087345753731E-2"/>
  </r>
  <r>
    <n v="31"/>
    <x v="9"/>
    <n v="20"/>
    <n v="19.93"/>
    <n v="7.0000000000000284E-2"/>
    <n v="0.1"/>
    <n v="8.5000000000000145E-3"/>
  </r>
  <r>
    <n v="1"/>
    <x v="10"/>
    <n v="120"/>
    <n v="119.31"/>
    <n v="0.68999999999999773"/>
    <n v="1.075"/>
    <n v="1.4708333333333315E-2"/>
  </r>
  <r>
    <n v="2"/>
    <x v="10"/>
    <n v="240"/>
    <n v="239.21"/>
    <n v="0.78999999999999204"/>
    <n v="2.7509999999999999"/>
    <n v="1.4754166666666632E-2"/>
  </r>
  <r>
    <n v="3"/>
    <x v="10"/>
    <n v="200"/>
    <n v="199.51"/>
    <n v="0.49000000000000909"/>
    <n v="1.72"/>
    <n v="1.1050000000000044E-2"/>
  </r>
  <r>
    <n v="4"/>
    <x v="10"/>
    <n v="200"/>
    <n v="199.1"/>
    <n v="0.90000000000000568"/>
    <n v="1.8440000000000001"/>
    <n v="1.3720000000000031E-2"/>
  </r>
  <r>
    <n v="5"/>
    <x v="10"/>
    <n v="180"/>
    <n v="178.61"/>
    <n v="1.3899999999999864"/>
    <n v="1.151"/>
    <n v="1.411666666666659E-2"/>
  </r>
  <r>
    <n v="6"/>
    <x v="10"/>
    <n v="20"/>
    <n v="19.96"/>
    <n v="3.9999999999999147E-2"/>
    <n v="0.23300000000000001"/>
    <n v="1.3649999999999957E-2"/>
  </r>
  <r>
    <n v="7"/>
    <x v="10"/>
    <n v="100"/>
    <n v="99.37"/>
    <n v="0.62999999999999545"/>
    <n v="0.75"/>
    <n v="1.3799999999999955E-2"/>
  </r>
  <r>
    <n v="10"/>
    <x v="10"/>
    <n v="255.85999999999999"/>
    <n v="255.79"/>
    <n v="6.9999999999993179E-2"/>
    <n v="3.1109999999999758"/>
    <n v="1.2432580317360937E-2"/>
  </r>
  <r>
    <n v="8"/>
    <x v="10"/>
    <n v="100"/>
    <n v="99.84"/>
    <n v="0.15999999999999659"/>
    <n v="1.3340000000000001"/>
    <n v="1.4939999999999967E-2"/>
  </r>
  <r>
    <n v="9"/>
    <x v="10"/>
    <n v="80"/>
    <n v="79.849999999999994"/>
    <n v="0.15000000000000568"/>
    <n v="1.044"/>
    <n v="1.4925000000000072E-2"/>
  </r>
  <r>
    <n v="11"/>
    <x v="10"/>
    <n v="173.18"/>
    <n v="172.32999999999998"/>
    <n v="0.85000000000002274"/>
    <n v="1.7299999999999898"/>
    <n v="1.4897794202563878E-2"/>
  </r>
  <r>
    <n v="12"/>
    <x v="10"/>
    <n v="110.28"/>
    <n v="109.75"/>
    <n v="0.53000000000000114"/>
    <n v="1.1110000000000042"/>
    <n v="1.488030467899896E-2"/>
  </r>
  <r>
    <n v="13"/>
    <x v="10"/>
    <n v="63.290000000000006"/>
    <n v="62.77"/>
    <n v="0.52000000000000313"/>
    <n v="0.40600000000002012"/>
    <n v="1.463106335914083E-2"/>
  </r>
  <r>
    <n v="14"/>
    <x v="10"/>
    <n v="125.57"/>
    <n v="125.24000000000001"/>
    <n v="0.32999999999998408"/>
    <n v="1.5080000000000098"/>
    <n v="1.4637254121207246E-2"/>
  </r>
  <r>
    <n v="15"/>
    <x v="10"/>
    <n v="76.59"/>
    <n v="75.739999999999995"/>
    <n v="0.85000000000000853"/>
    <n v="0.28800000000001091"/>
    <n v="1.4858336597467285E-2"/>
  </r>
  <r>
    <n v="16"/>
    <x v="10"/>
    <n v="169.51"/>
    <n v="168.31"/>
    <n v="1.1999999999999886"/>
    <n v="1.2110000000000001"/>
    <n v="1.4223349654887552E-2"/>
  </r>
  <r>
    <n v="17"/>
    <x v="10"/>
    <n v="79.739999999999995"/>
    <n v="79.36"/>
    <n v="0.37999999999999545"/>
    <n v="0.80800000000000005"/>
    <n v="1.4898419864559764E-2"/>
  </r>
  <r>
    <n v="18"/>
    <x v="10"/>
    <n v="160"/>
    <n v="159.18"/>
    <n v="0.81999999999999318"/>
    <n v="1.4549999999999841"/>
    <n v="1.4218749999999858E-2"/>
  </r>
  <r>
    <n v="19"/>
    <x v="10"/>
    <n v="164.50399999999999"/>
    <n v="164.12"/>
    <n v="0.38399999999998613"/>
    <n v="2.0680000000000121"/>
    <n v="1.4905412634343227E-2"/>
  </r>
  <r>
    <n v="20"/>
    <x v="10"/>
    <n v="0"/>
    <n v="0"/>
    <n v="0"/>
    <n v="0.97699999999999998"/>
    <e v="#DIV/0!"/>
  </r>
  <r>
    <n v="21"/>
    <x v="10"/>
    <n v="80"/>
    <n v="79.66"/>
    <n v="0.34000000000000341"/>
    <n v="0.81599999999999995"/>
    <n v="1.4450000000000041E-2"/>
  </r>
  <r>
    <n v="22"/>
    <x v="10"/>
    <n v="80"/>
    <n v="79.77"/>
    <n v="0.23000000000000398"/>
    <n v="0.95899999999999996"/>
    <n v="1.4862500000000051E-2"/>
  </r>
  <r>
    <n v="23"/>
    <x v="10"/>
    <n v="80"/>
    <n v="79.760000000000005"/>
    <n v="0.23999999999999488"/>
    <n v="0.95299999999999996"/>
    <n v="1.4912499999999934E-2"/>
  </r>
  <r>
    <n v="24"/>
    <x v="10"/>
    <n v="100"/>
    <n v="99.57"/>
    <n v="0.43000000000000682"/>
    <n v="1.056"/>
    <n v="1.4860000000000069E-2"/>
  </r>
  <r>
    <n v="25"/>
    <x v="10"/>
    <n v="146.232"/>
    <n v="145.59"/>
    <n v="0.64199999999999591"/>
    <n v="1.53"/>
    <n v="1.4853110126374502E-2"/>
  </r>
  <r>
    <n v="26"/>
    <x v="10"/>
    <n v="0"/>
    <n v="0"/>
    <n v="0"/>
    <n v="0.76800000000000002"/>
    <e v="#DIV/0!"/>
  </r>
  <r>
    <n v="27"/>
    <x v="10"/>
    <n v="226.03"/>
    <n v="225.29"/>
    <n v="0.74000000000000909"/>
    <n v="2.903"/>
    <n v="1.6117329558023311E-2"/>
  </r>
  <r>
    <n v="28"/>
    <x v="10"/>
    <n v="80"/>
    <n v="79.790000000000006"/>
    <n v="0.20999999999999375"/>
    <n v="0.90700000000000003"/>
    <n v="1.3962499999999923E-2"/>
  </r>
  <r>
    <n v="29"/>
    <x v="10"/>
    <n v="80"/>
    <n v="79.73"/>
    <n v="0.26999999999999602"/>
    <n v="0.91800000000000004"/>
    <n v="1.4849999999999952E-2"/>
  </r>
  <r>
    <n v="30"/>
    <x v="10"/>
    <n v="80"/>
    <n v="79.709999999999994"/>
    <n v="0.29000000000000625"/>
    <n v="0.89700000000000002"/>
    <n v="1.4837500000000078E-2"/>
  </r>
  <r>
    <n v="31"/>
    <x v="10"/>
    <n v="145.54"/>
    <n v="144.88999999999999"/>
    <n v="0.65000000000000568"/>
    <n v="1.619"/>
    <n v="1.5590215748247942E-2"/>
  </r>
  <r>
    <n v="1"/>
    <x v="11"/>
    <n v="80"/>
    <n v="79.02"/>
    <n v="0.98000000000000398"/>
    <n v="0.23400000000000001"/>
    <n v="1.517500000000005E-2"/>
  </r>
  <r>
    <n v="2"/>
    <x v="11"/>
    <n v="205"/>
    <n v="202.04"/>
    <n v="2.960000000000008"/>
    <n v="0.125"/>
    <n v="1.5048780487804917E-2"/>
  </r>
  <r>
    <n v="3"/>
    <x v="11"/>
    <n v="40"/>
    <n v="39.58"/>
    <n v="0.42000000000000171"/>
    <n v="0.12"/>
    <n v="1.3500000000000043E-2"/>
  </r>
  <r>
    <n v="4"/>
    <x v="11"/>
    <n v="80"/>
    <n v="78.95"/>
    <n v="1.0499999999999972"/>
    <n v="0.252"/>
    <n v="1.6274999999999963E-2"/>
  </r>
  <r>
    <n v="5"/>
    <x v="11"/>
    <n v="120"/>
    <n v="118.77"/>
    <n v="1.230000000000004"/>
    <n v="0.252"/>
    <n v="1.2350000000000033E-2"/>
  </r>
  <r>
    <n v="6"/>
    <x v="11"/>
    <n v="120"/>
    <n v="118.48"/>
    <n v="1.519999999999996"/>
    <n v="0.125"/>
    <n v="1.37083333333333E-2"/>
  </r>
  <r>
    <n v="7"/>
    <x v="11"/>
    <n v="60"/>
    <n v="59.37"/>
    <n v="0.63000000000000256"/>
    <n v="0.125"/>
    <n v="1.2583333333333375E-2"/>
  </r>
  <r>
    <n v="10"/>
    <x v="11"/>
    <n v="160"/>
    <n v="157.82"/>
    <n v="2.1800000000000068"/>
    <n v="0.14099999999999999"/>
    <n v="1.4506250000000043E-2"/>
  </r>
  <r>
    <n v="8"/>
    <x v="11"/>
    <n v="80"/>
    <n v="78.959999999999994"/>
    <n v="1.0400000000000063"/>
    <n v="0.252"/>
    <n v="1.6150000000000077E-2"/>
  </r>
  <r>
    <n v="9"/>
    <x v="11"/>
    <n v="200"/>
    <n v="197.47"/>
    <n v="2.5300000000000011"/>
    <n v="0.22500000000000001"/>
    <n v="1.3775000000000006E-2"/>
  </r>
  <r>
    <n v="11"/>
    <x v="11"/>
    <n v="60"/>
    <n v="59.02"/>
    <n v="0.97999999999999687"/>
    <n v="0.13100000000000001"/>
    <n v="1.8516666666666615E-2"/>
  </r>
  <r>
    <n v="12"/>
    <x v="11"/>
    <n v="60"/>
    <n v="59.02"/>
    <n v="0.97999999999999687"/>
    <n v="0.13"/>
    <n v="1.8499999999999947E-2"/>
  </r>
  <r>
    <n v="13"/>
    <x v="11"/>
    <n v="80"/>
    <n v="78.91"/>
    <n v="1.0900000000000034"/>
    <n v="0.14099999999999999"/>
    <n v="1.5387500000000044E-2"/>
  </r>
  <r>
    <n v="14"/>
    <x v="11"/>
    <n v="40"/>
    <n v="39.4"/>
    <n v="0.60000000000000142"/>
    <n v="0.11"/>
    <n v="1.7750000000000037E-2"/>
  </r>
  <r>
    <n v="15"/>
    <x v="11"/>
    <n v="112.86"/>
    <n v="111.11"/>
    <n v="1.75"/>
    <n v="0.252"/>
    <n v="1.7738791423001946E-2"/>
  </r>
  <r>
    <n v="16"/>
    <x v="11"/>
    <n v="100"/>
    <n v="98.78"/>
    <n v="1.2199999999999989"/>
    <n v="0.125"/>
    <n v="1.3449999999999988E-2"/>
  </r>
  <r>
    <n v="17"/>
    <x v="11"/>
    <n v="20"/>
    <n v="19.64"/>
    <n v="0.35999999999999943"/>
    <n v="0.28499999999999998"/>
    <n v="3.2249999999999966E-2"/>
  </r>
  <r>
    <n v="18"/>
    <x v="11"/>
    <n v="20"/>
    <n v="19.690000000000001"/>
    <n v="0.30999999999999872"/>
    <n v="0.25800000000000001"/>
    <n v="2.8399999999999936E-2"/>
  </r>
  <r>
    <n v="19"/>
    <x v="11"/>
    <n v="106.42"/>
    <n v="104.7"/>
    <n v="1.7199999999999989"/>
    <n v="0.28199999999999997"/>
    <n v="1.8812253335839118E-2"/>
  </r>
  <r>
    <n v="20"/>
    <x v="11"/>
    <n v="67.77"/>
    <n v="66.47"/>
    <n v="1.2999999999999972"/>
    <n v="0.28799999999999998"/>
    <n v="2.3432197137376379E-2"/>
  </r>
  <r>
    <n v="21"/>
    <x v="11"/>
    <n v="110.83"/>
    <n v="109.23"/>
    <n v="1.5999999999999943"/>
    <n v="0.14399999999999999"/>
    <n v="1.573581160335644E-2"/>
  </r>
  <r>
    <n v="22"/>
    <x v="11"/>
    <n v="49.72"/>
    <n v="48.51"/>
    <n v="1.2100000000000009"/>
    <n v="0.16200000000000001"/>
    <n v="2.7594529364440887E-2"/>
  </r>
  <r>
    <n v="23"/>
    <x v="11"/>
    <n v="91.29"/>
    <n v="89.78"/>
    <n v="1.5100000000000051"/>
    <n v="0.222"/>
    <n v="1.8972505203198653E-2"/>
  </r>
  <r>
    <n v="24"/>
    <x v="11"/>
    <n v="77.069999999999993"/>
    <n v="75.37"/>
    <n v="1.6999999999999886"/>
    <n v="0.115"/>
    <n v="2.3550019462825856E-2"/>
  </r>
  <r>
    <n v="25"/>
    <x v="11"/>
    <n v="95.45"/>
    <n v="93.51"/>
    <n v="1.9399999999999977"/>
    <n v="0.16"/>
    <n v="2.2001047668936593E-2"/>
  </r>
  <r>
    <n v="26"/>
    <x v="11"/>
    <n v="132.82"/>
    <n v="130.47"/>
    <n v="2.3499999999999943"/>
    <n v="0.182"/>
    <n v="1.9063394067158519E-2"/>
  </r>
  <r>
    <n v="27"/>
    <x v="11"/>
    <n v="80"/>
    <n v="79.290000000000006"/>
    <n v="0.70999999999999375"/>
    <n v="0.13200000000000001"/>
    <n v="1.0524999999999922E-2"/>
  </r>
  <r>
    <n v="28"/>
    <x v="11"/>
    <n v="100"/>
    <n v="98.68"/>
    <n v="1.3199999999999932"/>
    <n v="0.17499999999999999"/>
    <n v="1.4949999999999932E-2"/>
  </r>
  <r>
    <n v="29"/>
    <x v="11"/>
    <n v="40"/>
    <n v="39.6"/>
    <n v="0.39999999999999858"/>
    <n v="0.16500000000000001"/>
    <n v="1.4124999999999966E-2"/>
  </r>
  <r>
    <n v="30"/>
    <x v="11"/>
    <n v="120"/>
    <n v="118.55"/>
    <n v="1.4500000000000028"/>
    <n v="0.18"/>
    <n v="1.3583333333333357E-2"/>
  </r>
  <r>
    <n v="31"/>
    <x v="11"/>
    <n v="80"/>
    <n v="79.239999999999995"/>
    <n v="0.76000000000000512"/>
    <n v="0.16500000000000001"/>
    <n v="1.1562500000000064E-2"/>
  </r>
  <r>
    <n v="1"/>
    <x v="12"/>
    <n v="40"/>
    <n v="39.92"/>
    <n v="7.9999999999998295E-2"/>
    <n v="0.57999999999999996"/>
    <n v="1.6499999999999956E-2"/>
  </r>
  <r>
    <n v="2"/>
    <x v="12"/>
    <n v="60"/>
    <n v="59.86"/>
    <n v="0.14000000000000057"/>
    <n v="0.86"/>
    <n v="1.6666666666666673E-2"/>
  </r>
  <r>
    <n v="3"/>
    <x v="12"/>
    <n v="40"/>
    <n v="39.880000000000003"/>
    <n v="0.11999999999999744"/>
    <n v="1.3580000000000001"/>
    <n v="3.6949999999999941E-2"/>
  </r>
  <r>
    <n v="4"/>
    <x v="12"/>
    <n v="60"/>
    <n v="59.8"/>
    <n v="0.20000000000000284"/>
    <n v="0.67800000000000005"/>
    <n v="1.4633333333333382E-2"/>
  </r>
  <r>
    <n v="5"/>
    <x v="12"/>
    <n v="60"/>
    <n v="59.8"/>
    <n v="0.20000000000000284"/>
    <n v="0.33800000000000002"/>
    <n v="8.9666666666667148E-3"/>
  </r>
  <r>
    <n v="6"/>
    <x v="12"/>
    <n v="60"/>
    <n v="59.92"/>
    <n v="7.9999999999998295E-2"/>
    <n v="0.51800000000000002"/>
    <n v="9.9666666666666393E-3"/>
  </r>
  <r>
    <n v="7"/>
    <x v="12"/>
    <n v="20"/>
    <n v="19.940000000000001"/>
    <n v="5.9999999999998721E-2"/>
    <n v="1.2E-2"/>
    <n v="3.5999999999999357E-3"/>
  </r>
  <r>
    <n v="10"/>
    <x v="12"/>
    <n v="59.496000000000002"/>
    <n v="58.8"/>
    <n v="0.69600000000000506"/>
    <n v="0.46200000000000002"/>
    <n v="1.9463493344090442E-2"/>
  </r>
  <r>
    <n v="8"/>
    <x v="12"/>
    <n v="40"/>
    <n v="39.9"/>
    <n v="0.10000000000000142"/>
    <n v="0.63600000000000001"/>
    <n v="1.8400000000000034E-2"/>
  </r>
  <r>
    <n v="9"/>
    <x v="12"/>
    <n v="40"/>
    <n v="39.799999999999997"/>
    <n v="0.20000000000000284"/>
    <n v="0.27600000000000002"/>
    <n v="1.1900000000000072E-2"/>
  </r>
  <r>
    <n v="11"/>
    <x v="12"/>
    <n v="0"/>
    <n v="0"/>
    <n v="0"/>
    <n v="0"/>
    <e v="#DIV/0!"/>
  </r>
  <r>
    <n v="12"/>
    <x v="12"/>
    <n v="96.54"/>
    <n v="95.5"/>
    <n v="1.0400000000000063"/>
    <n v="0.27800000000000002"/>
    <n v="1.3652372073751877E-2"/>
  </r>
  <r>
    <n v="13"/>
    <x v="12"/>
    <n v="115.01600000000001"/>
    <n v="114.06"/>
    <n v="0.95600000000000307"/>
    <n v="0.314"/>
    <n v="1.1041941990679585E-2"/>
  </r>
  <r>
    <n v="14"/>
    <x v="12"/>
    <n v="24.24"/>
    <n v="23.94"/>
    <n v="0.29999999999999716"/>
    <n v="1.0999999999999999E-2"/>
    <n v="1.2830033003300214E-2"/>
  </r>
  <r>
    <n v="15"/>
    <x v="12"/>
    <n v="24.463999999999999"/>
    <n v="24.02"/>
    <n v="0.44399999999999906"/>
    <n v="8.4000000000000005E-2"/>
    <n v="2.1582733812949603E-2"/>
  </r>
  <r>
    <n v="16"/>
    <x v="12"/>
    <n v="0"/>
    <n v="0"/>
    <n v="0"/>
    <n v="0.45800000000000002"/>
    <e v="#DIV/0!"/>
  </r>
  <r>
    <n v="17"/>
    <x v="12"/>
    <n v="50.09"/>
    <n v="49.46"/>
    <n v="0.63000000000000256"/>
    <n v="0.45800000000000002"/>
    <n v="2.1720902375723748E-2"/>
  </r>
  <r>
    <n v="18"/>
    <x v="12"/>
    <n v="0"/>
    <n v="0"/>
    <n v="0"/>
    <n v="0.45800000000000002"/>
    <e v="#DIV/0!"/>
  </r>
  <r>
    <n v="19"/>
    <x v="12"/>
    <n v="213.44"/>
    <n v="209.11"/>
    <n v="4.3299999999999841"/>
    <n v="5.7999999999999865"/>
    <n v="4.7460644677661035E-2"/>
  </r>
  <r>
    <n v="20"/>
    <x v="12"/>
    <n v="23.472000000000001"/>
    <n v="23.3"/>
    <n v="0.1720000000000006"/>
    <n v="8.6000000000005627E-2"/>
    <n v="1.099182004090006E-2"/>
  </r>
  <r>
    <n v="21"/>
    <x v="12"/>
    <n v="20"/>
    <n v="19.96"/>
    <n v="3.9999999999999147E-2"/>
    <n v="0.51400000000000001"/>
    <n v="2.7699999999999957E-2"/>
  </r>
  <r>
    <n v="22"/>
    <x v="12"/>
    <n v="159.708"/>
    <n v="158.56"/>
    <n v="1.1479999999999961"/>
    <n v="3.12"/>
    <n v="2.6723770881859371E-2"/>
  </r>
  <r>
    <n v="23"/>
    <x v="12"/>
    <n v="60"/>
    <n v="59.8"/>
    <n v="0.20000000000000284"/>
    <n v="1.0999999999999999E-2"/>
    <n v="3.5166666666667143E-3"/>
  </r>
  <r>
    <n v="24"/>
    <x v="12"/>
    <n v="40"/>
    <n v="39.94"/>
    <n v="6.0000000000002274E-2"/>
    <n v="0.53"/>
    <n v="1.4750000000000058E-2"/>
  </r>
  <r>
    <n v="25"/>
    <x v="12"/>
    <n v="20"/>
    <n v="19.98"/>
    <n v="1.9999999999999574E-2"/>
    <n v="0.122"/>
    <n v="7.0999999999999787E-3"/>
  </r>
  <r>
    <n v="26"/>
    <x v="12"/>
    <n v="125.056"/>
    <n v="124.32"/>
    <n v="0.73600000000000421"/>
    <n v="5.26"/>
    <n v="4.7946519959058374E-2"/>
  </r>
  <r>
    <n v="27"/>
    <x v="12"/>
    <n v="40"/>
    <n v="39.9"/>
    <n v="0.10000000000000142"/>
    <n v="0.34399999999999997"/>
    <n v="1.1100000000000035E-2"/>
  </r>
  <r>
    <n v="28"/>
    <x v="12"/>
    <n v="60"/>
    <n v="59.9"/>
    <n v="0.10000000000000142"/>
    <n v="0.66"/>
    <n v="1.2666666666666691E-2"/>
  </r>
  <r>
    <n v="29"/>
    <x v="12"/>
    <n v="162.66800000000001"/>
    <n v="161.32"/>
    <n v="1.3480000000000132"/>
    <n v="1.45"/>
    <n v="1.7200678682961698E-2"/>
  </r>
  <r>
    <n v="30"/>
    <x v="12"/>
    <n v="0"/>
    <n v="0"/>
    <n v="0"/>
    <n v="2.1000000000000001E-2"/>
    <e v="#DIV/0!"/>
  </r>
  <r>
    <n v="31"/>
    <x v="12"/>
    <n v="40"/>
    <n v="39.82"/>
    <n v="0.17999999999999972"/>
    <n v="1.54"/>
    <n v="4.2999999999999997E-2"/>
  </r>
  <r>
    <n v="1"/>
    <x v="13"/>
    <n v="40"/>
    <n v="39.6"/>
    <n v="0.39999999999999858"/>
    <n v="0"/>
    <n v="9.9999999999999638E-3"/>
  </r>
  <r>
    <n v="2"/>
    <x v="13"/>
    <n v="0"/>
    <n v="0"/>
    <n v="0"/>
    <n v="0"/>
    <e v="#DIV/0!"/>
  </r>
  <r>
    <n v="3"/>
    <x v="13"/>
    <n v="40"/>
    <n v="39.229999999999997"/>
    <n v="0.77000000000000313"/>
    <n v="0.19600000000000001"/>
    <n v="2.4150000000000078E-2"/>
  </r>
  <r>
    <n v="4"/>
    <x v="13"/>
    <n v="40"/>
    <n v="39.72"/>
    <n v="0.28000000000000114"/>
    <n v="0.28999999999999998"/>
    <n v="1.425000000000003E-2"/>
  </r>
  <r>
    <n v="5"/>
    <x v="13"/>
    <n v="60"/>
    <n v="59.63"/>
    <n v="0.36999999999999744"/>
    <n v="0.48"/>
    <n v="1.4166666666666624E-2"/>
  </r>
  <r>
    <n v="6"/>
    <x v="13"/>
    <n v="20"/>
    <n v="19.649999999999999"/>
    <n v="0.35000000000000142"/>
    <n v="0.75"/>
    <n v="5.500000000000007E-2"/>
  </r>
  <r>
    <n v="7"/>
    <x v="13"/>
    <n v="20"/>
    <n v="19.86"/>
    <n v="0.14000000000000057"/>
    <n v="0"/>
    <n v="7.0000000000000288E-3"/>
  </r>
  <r>
    <n v="10"/>
    <x v="13"/>
    <n v="40"/>
    <n v="39.64"/>
    <n v="0.35999999999999943"/>
    <n v="0.438"/>
    <n v="1.9949999999999985E-2"/>
  </r>
  <r>
    <n v="8"/>
    <x v="13"/>
    <n v="40"/>
    <n v="39.54"/>
    <n v="0.46000000000000085"/>
    <n v="0"/>
    <n v="1.1500000000000021E-2"/>
  </r>
  <r>
    <n v="9"/>
    <x v="13"/>
    <n v="40"/>
    <n v="39.549999999999997"/>
    <n v="0.45000000000000284"/>
    <n v="1.02"/>
    <n v="3.6750000000000074E-2"/>
  </r>
  <r>
    <n v="11"/>
    <x v="13"/>
    <n v="40"/>
    <n v="39.770000000000003"/>
    <n v="0.22999999999999687"/>
    <n v="0.89"/>
    <n v="2.7999999999999924E-2"/>
  </r>
  <r>
    <n v="12"/>
    <x v="13"/>
    <n v="160"/>
    <n v="158.63"/>
    <n v="1.3700000000000045"/>
    <n v="5.28"/>
    <n v="4.156250000000003E-2"/>
  </r>
  <r>
    <n v="13"/>
    <x v="13"/>
    <n v="140"/>
    <n v="138.55000000000001"/>
    <n v="1.4499999999999886"/>
    <n v="5.75"/>
    <n v="5.1428571428571344E-2"/>
  </r>
  <r>
    <n v="14"/>
    <x v="13"/>
    <n v="40"/>
    <n v="39.76"/>
    <n v="0.24000000000000199"/>
    <n v="0.27"/>
    <n v="1.2750000000000049E-2"/>
  </r>
  <r>
    <n v="15"/>
    <x v="13"/>
    <n v="40"/>
    <n v="39.520000000000003"/>
    <n v="0.47999999999999687"/>
    <n v="0"/>
    <n v="1.1999999999999922E-2"/>
  </r>
  <r>
    <n v="16"/>
    <x v="13"/>
    <n v="0"/>
    <n v="0"/>
    <n v="0"/>
    <n v="0.21"/>
    <e v="#DIV/0!"/>
  </r>
  <r>
    <n v="17"/>
    <x v="13"/>
    <n v="60"/>
    <n v="58.17"/>
    <n v="1.8299999999999983"/>
    <n v="0.58199999999999996"/>
    <n v="4.0199999999999972E-2"/>
  </r>
  <r>
    <n v="18"/>
    <x v="13"/>
    <n v="42.81"/>
    <n v="42.37"/>
    <n v="0.44000000000000483"/>
    <n v="0.5"/>
    <n v="2.1957486568558858E-2"/>
  </r>
  <r>
    <n v="19"/>
    <x v="13"/>
    <n v="229.41"/>
    <n v="224.45"/>
    <n v="4.960000000000008"/>
    <n v="2.2959999999999998"/>
    <n v="3.1628961248419893E-2"/>
  </r>
  <r>
    <n v="20"/>
    <x v="13"/>
    <n v="130.38"/>
    <n v="129.07"/>
    <n v="1.3100000000000023"/>
    <n v="0.87"/>
    <n v="1.6720355882804131E-2"/>
  </r>
  <r>
    <n v="21"/>
    <x v="13"/>
    <n v="138.22999999999999"/>
    <n v="136.91"/>
    <n v="1.3199999999999932"/>
    <n v="2.4300000000000002"/>
    <n v="2.7128698545901712E-2"/>
  </r>
  <r>
    <n v="22"/>
    <x v="13"/>
    <n v="0"/>
    <n v="0"/>
    <n v="0"/>
    <n v="0.2"/>
    <e v="#DIV/0!"/>
  </r>
  <r>
    <n v="23"/>
    <x v="13"/>
    <n v="0"/>
    <n v="0"/>
    <n v="0"/>
    <n v="1.196"/>
    <e v="#DIV/0!"/>
  </r>
  <r>
    <n v="24"/>
    <x v="13"/>
    <n v="0"/>
    <n v="0"/>
    <n v="0"/>
    <n v="0"/>
    <e v="#DIV/0!"/>
  </r>
  <r>
    <n v="25"/>
    <x v="13"/>
    <n v="48.996000000000002"/>
    <n v="48.39"/>
    <n v="0.60600000000000165"/>
    <n v="0"/>
    <n v="1.2368356600538852E-2"/>
  </r>
  <r>
    <n v="26"/>
    <x v="13"/>
    <n v="0"/>
    <n v="0"/>
    <n v="0"/>
    <n v="1.508"/>
    <e v="#DIV/0!"/>
  </r>
  <r>
    <n v="27"/>
    <x v="13"/>
    <n v="0"/>
    <n v="0"/>
    <n v="0"/>
    <n v="0.84"/>
    <e v="#DIV/0!"/>
  </r>
  <r>
    <n v="28"/>
    <x v="13"/>
    <n v="160"/>
    <n v="158.97"/>
    <n v="1.0300000000000011"/>
    <n v="3.1"/>
    <n v="2.5812500000000006E-2"/>
  </r>
  <r>
    <n v="29"/>
    <x v="13"/>
    <n v="179.18"/>
    <n v="177.79"/>
    <n v="1.3900000000000148"/>
    <n v="10.46"/>
    <n v="6.6134613238084686E-2"/>
  </r>
  <r>
    <n v="30"/>
    <x v="13"/>
    <n v="0"/>
    <n v="0"/>
    <n v="0"/>
    <n v="1.532"/>
    <e v="#DIV/0!"/>
  </r>
  <r>
    <n v="31"/>
    <x v="13"/>
    <n v="0"/>
    <n v="0"/>
    <n v="0"/>
    <n v="0.39"/>
    <e v="#DIV/0!"/>
  </r>
  <r>
    <n v="1"/>
    <x v="14"/>
    <n v="20"/>
    <n v="19.86"/>
    <n v="0.14000000000000057"/>
    <n v="0.13"/>
    <n v="1.3500000000000029E-2"/>
  </r>
  <r>
    <n v="2"/>
    <x v="14"/>
    <n v="20"/>
    <n v="19.87"/>
    <n v="0.12999999999999901"/>
    <n v="0.13"/>
    <n v="1.2999999999999951E-2"/>
  </r>
  <r>
    <n v="3"/>
    <x v="14"/>
    <n v="20"/>
    <n v="19.91"/>
    <n v="8.9999999999999858E-2"/>
    <n v="0.186"/>
    <n v="1.3799999999999993E-2"/>
  </r>
  <r>
    <n v="4"/>
    <x v="14"/>
    <n v="40"/>
    <n v="39.81"/>
    <n v="0.18999999999999773"/>
    <n v="0.14599999999999999"/>
    <n v="8.399999999999944E-3"/>
  </r>
  <r>
    <n v="5"/>
    <x v="14"/>
    <n v="20"/>
    <n v="19.95"/>
    <n v="5.0000000000000711E-2"/>
    <n v="0.114"/>
    <n v="8.2000000000000354E-3"/>
  </r>
  <r>
    <n v="6"/>
    <x v="14"/>
    <n v="20"/>
    <n v="19.95"/>
    <n v="5.0000000000000711E-2"/>
    <n v="0.19800000000000001"/>
    <n v="1.2400000000000036E-2"/>
  </r>
  <r>
    <n v="7"/>
    <x v="14"/>
    <n v="40"/>
    <n v="39.89"/>
    <n v="0.10999999999999943"/>
    <n v="0.17599999999999999"/>
    <n v="7.1499999999999854E-3"/>
  </r>
  <r>
    <n v="10"/>
    <x v="14"/>
    <n v="40"/>
    <n v="39.880000000000003"/>
    <n v="0.11999999999999744"/>
    <n v="0.192"/>
    <n v="7.7999999999999363E-3"/>
  </r>
  <r>
    <n v="8"/>
    <x v="14"/>
    <n v="20"/>
    <n v="19.91"/>
    <n v="8.9999999999999858E-2"/>
    <n v="0.159"/>
    <n v="1.2449999999999992E-2"/>
  </r>
  <r>
    <n v="9"/>
    <x v="14"/>
    <n v="100"/>
    <n v="99.5"/>
    <n v="0.5"/>
    <n v="0.126"/>
    <n v="6.2599999999999999E-3"/>
  </r>
  <r>
    <n v="11"/>
    <x v="14"/>
    <n v="120"/>
    <n v="119.48"/>
    <n v="0.51999999999999602"/>
    <n v="0.248"/>
    <n v="6.3999999999999665E-3"/>
  </r>
  <r>
    <n v="12"/>
    <x v="14"/>
    <n v="299.2"/>
    <n v="297.33999999999997"/>
    <n v="1.8600000000000136"/>
    <n v="0.14599999999999999"/>
    <n v="6.7045454545455003E-3"/>
  </r>
  <r>
    <n v="13"/>
    <x v="14"/>
    <n v="140"/>
    <n v="139.28"/>
    <n v="0.71999999999999886"/>
    <n v="0.9"/>
    <n v="1.1571428571428562E-2"/>
  </r>
  <r>
    <n v="14"/>
    <x v="14"/>
    <n v="160"/>
    <n v="158.72"/>
    <n v="1.2800000000000011"/>
    <n v="1.0720000000000001"/>
    <n v="1.4700000000000008E-2"/>
  </r>
  <r>
    <n v="15"/>
    <x v="14"/>
    <n v="90"/>
    <n v="89.3"/>
    <n v="0.70000000000000284"/>
    <n v="0.124"/>
    <n v="9.1555555555555869E-3"/>
  </r>
  <r>
    <n v="16"/>
    <x v="14"/>
    <n v="25.79"/>
    <n v="25.68"/>
    <n v="0.10999999999999943"/>
    <n v="0.20200000000000001"/>
    <n v="1.2097712291585865E-2"/>
  </r>
  <r>
    <n v="17"/>
    <x v="14"/>
    <n v="0"/>
    <n v="0"/>
    <n v="0"/>
    <n v="0.19800000000000001"/>
    <e v="#DIV/0!"/>
  </r>
  <r>
    <n v="18"/>
    <x v="14"/>
    <n v="125.67"/>
    <n v="125.12"/>
    <n v="0.54999999999999716"/>
    <n v="0.26200000000000001"/>
    <n v="6.4613670724914234E-3"/>
  </r>
  <r>
    <n v="19"/>
    <x v="14"/>
    <n v="188.04"/>
    <n v="187.07"/>
    <n v="0.96999999999999886"/>
    <n v="0.80200000000000005"/>
    <n v="9.4235269091682561E-3"/>
  </r>
  <r>
    <n v="20"/>
    <x v="14"/>
    <n v="216.06"/>
    <n v="215.06"/>
    <n v="1"/>
    <n v="0.29399999999999998"/>
    <n v="5.9890771082106824E-3"/>
  </r>
  <r>
    <n v="21"/>
    <x v="14"/>
    <n v="221.03"/>
    <n v="220.22"/>
    <n v="0.81000000000000227"/>
    <n v="1.6180000000000001"/>
    <n v="1.0984934171831889E-2"/>
  </r>
  <r>
    <n v="22"/>
    <x v="14"/>
    <n v="100"/>
    <n v="99.35"/>
    <n v="0.65000000000000568"/>
    <n v="0.26600000000000001"/>
    <n v="9.160000000000057E-3"/>
  </r>
  <r>
    <n v="23"/>
    <x v="14"/>
    <n v="44.2"/>
    <n v="44.04"/>
    <n v="0.16000000000000369"/>
    <n v="0.16200000000000001"/>
    <n v="7.285067873303251E-3"/>
  </r>
  <r>
    <n v="24"/>
    <x v="14"/>
    <n v="0"/>
    <n v="0"/>
    <n v="0"/>
    <n v="0.192"/>
    <e v="#DIV/0!"/>
  </r>
  <r>
    <n v="25"/>
    <x v="14"/>
    <n v="140"/>
    <n v="139.19999999999999"/>
    <n v="0.80000000000001137"/>
    <n v="0.16"/>
    <n v="6.8571428571429383E-3"/>
  </r>
  <r>
    <n v="26"/>
    <x v="14"/>
    <n v="120"/>
    <n v="119.05"/>
    <n v="0.95000000000000284"/>
    <n v="0.14399999999999999"/>
    <n v="9.1166666666666896E-3"/>
  </r>
  <r>
    <n v="27"/>
    <x v="14"/>
    <n v="200"/>
    <n v="198.89"/>
    <n v="1.1100000000000136"/>
    <n v="0.59799999999999998"/>
    <n v="8.5400000000000684E-3"/>
  </r>
  <r>
    <n v="28"/>
    <x v="14"/>
    <n v="0"/>
    <n v="0"/>
    <n v="0"/>
    <n v="9.8000000000000004E-2"/>
    <e v="#DIV/0!"/>
  </r>
  <r>
    <n v="29"/>
    <x v="14"/>
    <n v="127.06"/>
    <n v="126.19"/>
    <n v="0.87000000000000455"/>
    <n v="0.86"/>
    <n v="1.3615614670234569E-2"/>
  </r>
  <r>
    <n v="30"/>
    <x v="14"/>
    <n v="0"/>
    <n v="0"/>
    <n v="0"/>
    <n v="0.30199999999999999"/>
    <e v="#DIV/0!"/>
  </r>
  <r>
    <n v="31"/>
    <x v="14"/>
    <n v="26.54"/>
    <n v="26.44"/>
    <n v="9.9999999999997868E-2"/>
    <n v="0.30399999999999999"/>
    <n v="1.5222305953277991E-2"/>
  </r>
  <r>
    <n v="1"/>
    <x v="15"/>
    <n v="45"/>
    <n v="44.58"/>
    <n v="0.42000000000000171"/>
    <n v="0.154"/>
    <n v="1.2755555555555595E-2"/>
  </r>
  <r>
    <n v="2"/>
    <x v="15"/>
    <n v="45"/>
    <n v="44.87"/>
    <n v="0.13000000000000256"/>
    <n v="0.36599999999999999"/>
    <n v="1.1022222222222279E-2"/>
  </r>
  <r>
    <n v="3"/>
    <x v="15"/>
    <n v="105"/>
    <n v="104.28"/>
    <n v="0.71999999999999886"/>
    <n v="0.36599999999999999"/>
    <n v="1.0342857142857133E-2"/>
  </r>
  <r>
    <n v="4"/>
    <x v="15"/>
    <n v="170"/>
    <n v="168.84"/>
    <n v="1.1599999999999966"/>
    <n v="0.61"/>
    <n v="1.0411764705882332E-2"/>
  </r>
  <r>
    <n v="5"/>
    <x v="15"/>
    <n v="25"/>
    <n v="24.78"/>
    <n v="0.21999999999999886"/>
    <n v="0.23799999999999999"/>
    <n v="1.8319999999999954E-2"/>
  </r>
  <r>
    <n v="6"/>
    <x v="15"/>
    <n v="45"/>
    <n v="44.81"/>
    <n v="0.18999999999999773"/>
    <n v="0.24199999999999999"/>
    <n v="9.5999999999999489E-3"/>
  </r>
  <r>
    <n v="7"/>
    <x v="15"/>
    <n v="40"/>
    <n v="39.78"/>
    <n v="0.21999999999999886"/>
    <n v="0.14199999999999999"/>
    <n v="9.0499999999999713E-3"/>
  </r>
  <r>
    <n v="10"/>
    <x v="15"/>
    <n v="40"/>
    <n v="39.520000000000003"/>
    <n v="0.47999999999999687"/>
    <n v="0.24199999999999999"/>
    <n v="1.804999999999992E-2"/>
  </r>
  <r>
    <n v="8"/>
    <x v="15"/>
    <n v="80"/>
    <n v="79.06"/>
    <n v="0.93999999999999773"/>
    <n v="0.42"/>
    <n v="1.699999999999997E-2"/>
  </r>
  <r>
    <n v="9"/>
    <x v="15"/>
    <n v="40"/>
    <n v="39.65"/>
    <n v="0.35000000000000142"/>
    <n v="0.24199999999999999"/>
    <n v="1.4800000000000035E-2"/>
  </r>
  <r>
    <n v="11"/>
    <x v="15"/>
    <n v="40"/>
    <n v="39.520000000000003"/>
    <n v="0.47999999999999687"/>
    <n v="0.42"/>
    <n v="2.2499999999999919E-2"/>
  </r>
  <r>
    <n v="12"/>
    <x v="15"/>
    <n v="170"/>
    <n v="168.24"/>
    <n v="1.7599999999999909"/>
    <n v="0.442"/>
    <n v="1.2952941176470535E-2"/>
  </r>
  <r>
    <n v="13"/>
    <x v="15"/>
    <n v="50"/>
    <n v="49.57"/>
    <n v="0.42999999999999972"/>
    <n v="0"/>
    <n v="8.5999999999999948E-3"/>
  </r>
  <r>
    <n v="14"/>
    <x v="15"/>
    <n v="40"/>
    <n v="39.5"/>
    <n v="0.5"/>
    <n v="0.316"/>
    <n v="2.0400000000000001E-2"/>
  </r>
  <r>
    <n v="15"/>
    <x v="15"/>
    <n v="0"/>
    <n v="0"/>
    <n v="0"/>
    <n v="0.32400000000000001"/>
    <e v="#DIV/0!"/>
  </r>
  <r>
    <n v="16"/>
    <x v="15"/>
    <n v="60"/>
    <n v="59.37"/>
    <n v="0.63000000000000256"/>
    <n v="0.23599999999999999"/>
    <n v="1.4433333333333376E-2"/>
  </r>
  <r>
    <n v="17"/>
    <x v="15"/>
    <n v="125.78400000000001"/>
    <n v="124.47"/>
    <n v="1.3140000000000072"/>
    <n v="0.43"/>
    <n v="1.3865038478661889E-2"/>
  </r>
  <r>
    <n v="18"/>
    <x v="15"/>
    <n v="265"/>
    <n v="262.89999999999998"/>
    <n v="2.1000000000000227"/>
    <n v="0.95399999999999996"/>
    <n v="1.1524528301886878E-2"/>
  </r>
  <r>
    <n v="19"/>
    <x v="15"/>
    <n v="60"/>
    <n v="59.51"/>
    <n v="0.49000000000000199"/>
    <n v="0.316"/>
    <n v="1.3433333333333368E-2"/>
  </r>
  <r>
    <n v="20"/>
    <x v="15"/>
    <n v="22.75"/>
    <n v="22.49"/>
    <n v="0.26000000000000156"/>
    <n v="0.23"/>
    <n v="2.1538461538461607E-2"/>
  </r>
  <r>
    <n v="21"/>
    <x v="15"/>
    <n v="60"/>
    <n v="59.52"/>
    <n v="0.47999999999999687"/>
    <n v="0.28999999999999998"/>
    <n v="1.2833333333333282E-2"/>
  </r>
  <r>
    <n v="22"/>
    <x v="15"/>
    <n v="45"/>
    <n v="44.63"/>
    <n v="0.36999999999999744"/>
    <n v="0.29799999999999999"/>
    <n v="1.4844444444444389E-2"/>
  </r>
  <r>
    <n v="23"/>
    <x v="15"/>
    <n v="160"/>
    <n v="158.30000000000001"/>
    <n v="1.6999999999999886"/>
    <n v="1.022"/>
    <n v="1.701249999999993E-2"/>
  </r>
  <r>
    <n v="24"/>
    <x v="15"/>
    <n v="0"/>
    <n v="0"/>
    <n v="0"/>
    <n v="0.254"/>
    <e v="#DIV/0!"/>
  </r>
  <r>
    <n v="25"/>
    <x v="15"/>
    <n v="120"/>
    <n v="118.86"/>
    <n v="1.1400000000000006"/>
    <n v="0.29599999999999999"/>
    <n v="1.1966666666666672E-2"/>
  </r>
  <r>
    <n v="26"/>
    <x v="15"/>
    <n v="145"/>
    <n v="143.87"/>
    <n v="1.1299999999999955"/>
    <n v="1.022"/>
    <n v="1.4841379310344799E-2"/>
  </r>
  <r>
    <n v="27"/>
    <x v="15"/>
    <n v="45"/>
    <n v="44.49"/>
    <n v="0.50999999999999801"/>
    <n v="7.1999999999999995E-2"/>
    <n v="1.2933333333333288E-2"/>
  </r>
  <r>
    <n v="28"/>
    <x v="15"/>
    <n v="111.556"/>
    <n v="110.41"/>
    <n v="1.1460000000000008"/>
    <n v="0.25600000000000001"/>
    <n v="1.2567679013231031E-2"/>
  </r>
  <r>
    <n v="29"/>
    <x v="15"/>
    <n v="80"/>
    <n v="79.08"/>
    <n v="0.92000000000000171"/>
    <n v="0.89600000000000002"/>
    <n v="2.2700000000000019E-2"/>
  </r>
  <r>
    <n v="30"/>
    <x v="15"/>
    <n v="185"/>
    <n v="182.86"/>
    <n v="2.1399999999999864"/>
    <n v="0.308"/>
    <n v="1.3232432432432358E-2"/>
  </r>
  <r>
    <n v="31"/>
    <x v="15"/>
    <n v="60"/>
    <n v="59.38"/>
    <n v="0.61999999999999744"/>
    <n v="0.316"/>
    <n v="1.5599999999999958E-2"/>
  </r>
  <r>
    <n v="1"/>
    <x v="16"/>
    <n v="60"/>
    <n v="59.73"/>
    <n v="0.27000000000000313"/>
    <n v="0.89"/>
    <n v="1.9333333333333386E-2"/>
  </r>
  <r>
    <n v="2"/>
    <x v="16"/>
    <n v="200"/>
    <n v="199.18"/>
    <n v="0.81999999999999318"/>
    <n v="2.8250000000000002"/>
    <n v="1.8224999999999967E-2"/>
  </r>
  <r>
    <n v="3"/>
    <x v="16"/>
    <n v="100"/>
    <n v="99.58"/>
    <n v="0.42000000000000171"/>
    <n v="1.4179999999999999"/>
    <n v="1.8380000000000018E-2"/>
  </r>
  <r>
    <n v="4"/>
    <x v="16"/>
    <n v="60"/>
    <n v="59.69"/>
    <n v="0.31000000000000227"/>
    <n v="0.79"/>
    <n v="1.8333333333333372E-2"/>
  </r>
  <r>
    <n v="5"/>
    <x v="16"/>
    <n v="40"/>
    <n v="39.71"/>
    <n v="0.28999999999999915"/>
    <n v="0.46500000000000002"/>
    <n v="1.8874999999999982E-2"/>
  </r>
  <r>
    <n v="6"/>
    <x v="16"/>
    <n v="40"/>
    <n v="39.69"/>
    <n v="0.31000000000000227"/>
    <n v="0.72499999999999998"/>
    <n v="2.5875000000000058E-2"/>
  </r>
  <r>
    <n v="7"/>
    <x v="16"/>
    <n v="40"/>
    <n v="39.700000000000003"/>
    <n v="0.29999999999999716"/>
    <n v="0.41499999999999998"/>
    <n v="1.7874999999999929E-2"/>
  </r>
  <r>
    <n v="10"/>
    <x v="16"/>
    <n v="67.77"/>
    <n v="67.22"/>
    <n v="0.54999999999999716"/>
    <n v="0.60399999999999998"/>
    <n v="1.7028183562048063E-2"/>
  </r>
  <r>
    <n v="8"/>
    <x v="16"/>
    <n v="22.98"/>
    <n v="22.82"/>
    <n v="0.16000000000000014"/>
    <n v="0.26"/>
    <n v="1.8276762402088777E-2"/>
  </r>
  <r>
    <n v="9"/>
    <x v="16"/>
    <n v="105.48"/>
    <n v="104.57"/>
    <n v="0.9100000000000108"/>
    <n v="1.31"/>
    <n v="2.1046643913538214E-2"/>
  </r>
  <r>
    <n v="11"/>
    <x v="16"/>
    <n v="0"/>
    <n v="0"/>
    <n v="0"/>
    <n v="0"/>
    <e v="#DIV/0!"/>
  </r>
  <r>
    <n v="12"/>
    <x v="16"/>
    <n v="37.869999999999997"/>
    <n v="37.659999999999997"/>
    <n v="0.21000000000000085"/>
    <n v="0.54500000000000004"/>
    <n v="1.9936625297068945E-2"/>
  </r>
  <r>
    <n v="13"/>
    <x v="16"/>
    <n v="167.14"/>
    <n v="166.11"/>
    <n v="1.0299999999999727"/>
    <n v="2.1309999999999998"/>
    <n v="1.8912289098958795E-2"/>
  </r>
  <r>
    <n v="14"/>
    <x v="16"/>
    <n v="80"/>
    <n v="79.459999999999994"/>
    <n v="0.54000000000000625"/>
    <n v="0.997"/>
    <n v="1.9212500000000077E-2"/>
  </r>
  <r>
    <n v="15"/>
    <x v="16"/>
    <n v="0"/>
    <n v="0"/>
    <n v="0"/>
    <n v="6.6000000000000003E-2"/>
    <e v="#DIV/0!"/>
  </r>
  <r>
    <n v="16"/>
    <x v="16"/>
    <n v="23.88"/>
    <n v="23.72"/>
    <n v="0.16000000000000014"/>
    <n v="0.64200000000000002"/>
    <n v="3.3584589614740375E-2"/>
  </r>
  <r>
    <n v="17"/>
    <x v="16"/>
    <n v="23.31"/>
    <n v="23.22"/>
    <n v="8.9999999999999858E-2"/>
    <n v="0.73099999999999998"/>
    <n v="3.5220935220935216E-2"/>
  </r>
  <r>
    <n v="18"/>
    <x v="16"/>
    <n v="0"/>
    <n v="0"/>
    <n v="0"/>
    <n v="0.1"/>
    <e v="#DIV/0!"/>
  </r>
  <r>
    <n v="19"/>
    <x v="16"/>
    <n v="40"/>
    <n v="39.700000000000003"/>
    <n v="0.29999999999999716"/>
    <n v="0.44900000000000001"/>
    <n v="1.8724999999999929E-2"/>
  </r>
  <r>
    <n v="20"/>
    <x v="16"/>
    <n v="20"/>
    <n v="19.86"/>
    <n v="0.14000000000000057"/>
    <n v="0.315"/>
    <n v="2.2750000000000027E-2"/>
  </r>
  <r>
    <n v="21"/>
    <x v="16"/>
    <n v="127.88"/>
    <n v="126.94"/>
    <n v="0.93999999999999773"/>
    <n v="1.585"/>
    <n v="1.9745073506412244E-2"/>
  </r>
  <r>
    <n v="22"/>
    <x v="16"/>
    <n v="88.08"/>
    <n v="87.55"/>
    <n v="0.53000000000000114"/>
    <n v="1.175"/>
    <n v="1.935740236148957E-2"/>
  </r>
  <r>
    <n v="23"/>
    <x v="16"/>
    <n v="65.430000000000007"/>
    <n v="65.03"/>
    <n v="0.40000000000000568"/>
    <n v="0.374"/>
    <n v="1.1829436038514529E-2"/>
  </r>
  <r>
    <n v="24"/>
    <x v="16"/>
    <n v="40"/>
    <n v="39.78"/>
    <n v="0.21999999999999886"/>
    <n v="0.51100000000000001"/>
    <n v="1.8274999999999972E-2"/>
  </r>
  <r>
    <n v="25"/>
    <x v="16"/>
    <n v="47.3"/>
    <n v="46.94"/>
    <n v="0.35999999999999943"/>
    <n v="0.54600000000000004"/>
    <n v="1.9154334038054957E-2"/>
  </r>
  <r>
    <n v="26"/>
    <x v="16"/>
    <n v="85.46"/>
    <n v="84.53"/>
    <n v="0.92999999999999261"/>
    <n v="0.53200000000000003"/>
    <n v="1.7107418675403614E-2"/>
  </r>
  <r>
    <n v="27"/>
    <x v="16"/>
    <n v="20"/>
    <n v="19.899999999999999"/>
    <n v="0.10000000000000142"/>
    <n v="0.34899999999999998"/>
    <n v="2.2450000000000071E-2"/>
  </r>
  <r>
    <n v="28"/>
    <x v="16"/>
    <n v="40"/>
    <n v="39.81"/>
    <n v="0.18999999999999773"/>
    <n v="0.78800000000000003"/>
    <n v="2.4449999999999944E-2"/>
  </r>
  <r>
    <n v="29"/>
    <x v="16"/>
    <n v="100"/>
    <n v="99.57"/>
    <n v="0.43000000000000682"/>
    <n v="1.84"/>
    <n v="2.2700000000000067E-2"/>
  </r>
  <r>
    <n v="30"/>
    <x v="16"/>
    <n v="175.96"/>
    <n v="174.18"/>
    <n v="1.7800000000000011"/>
    <n v="1.4350000000000001"/>
    <n v="1.8271197999545356E-2"/>
  </r>
  <r>
    <n v="31"/>
    <x v="16"/>
    <n v="40"/>
    <n v="39.68"/>
    <n v="0.32000000000000028"/>
    <n v="0.42799999999999999"/>
    <n v="1.8700000000000005E-2"/>
  </r>
  <r>
    <n v="1"/>
    <x v="17"/>
    <n v="40"/>
    <n v="39.479999999999997"/>
    <n v="0.52000000000000313"/>
    <n v="0.10100000000000001"/>
    <n v="1.5525000000000077E-2"/>
  </r>
  <r>
    <n v="2"/>
    <x v="17"/>
    <n v="140"/>
    <n v="138.66999999999999"/>
    <n v="1.3300000000000125"/>
    <n v="7.2999999999999995E-2"/>
    <n v="1.002142857142866E-2"/>
  </r>
  <r>
    <n v="3"/>
    <x v="17"/>
    <n v="100"/>
    <n v="98.56"/>
    <n v="1.4399999999999977"/>
    <n v="0.32100000000000001"/>
    <n v="1.7609999999999976E-2"/>
  </r>
  <r>
    <n v="4"/>
    <x v="17"/>
    <n v="340"/>
    <n v="336.79"/>
    <n v="3.2099999999999795"/>
    <n v="0.23499999999999999"/>
    <n v="1.013235294117641E-2"/>
  </r>
  <r>
    <n v="5"/>
    <x v="17"/>
    <n v="0"/>
    <n v="0"/>
    <n v="0"/>
    <n v="0.14000000000000057"/>
    <e v="#DIV/0!"/>
  </r>
  <r>
    <n v="6"/>
    <x v="17"/>
    <n v="0"/>
    <n v="0"/>
    <n v="0"/>
    <n v="0.24299999999999999"/>
    <e v="#DIV/0!"/>
  </r>
  <r>
    <n v="7"/>
    <x v="17"/>
    <n v="40"/>
    <n v="39.51"/>
    <n v="0.49000000000000199"/>
    <n v="0.14000000000000001"/>
    <n v="1.5750000000000049E-2"/>
  </r>
  <r>
    <n v="10"/>
    <x v="17"/>
    <n v="60"/>
    <n v="59.5"/>
    <n v="0.5"/>
    <n v="0.15610000000000213"/>
    <n v="1.0935000000000035E-2"/>
  </r>
  <r>
    <n v="8"/>
    <x v="17"/>
    <n v="20"/>
    <n v="19.62"/>
    <n v="0.37999999999999901"/>
    <n v="0.13100000000000001"/>
    <n v="2.5549999999999951E-2"/>
  </r>
  <r>
    <n v="9"/>
    <x v="17"/>
    <n v="40"/>
    <n v="39.42"/>
    <n v="0.57999999999999829"/>
    <n v="0.12690000000000623"/>
    <n v="1.7672500000000112E-2"/>
  </r>
  <r>
    <n v="11"/>
    <x v="17"/>
    <n v="48.23"/>
    <n v="47.92"/>
    <n v="0.30999999999999517"/>
    <n v="0.19600000000000001"/>
    <n v="1.0491395397055674E-2"/>
  </r>
  <r>
    <n v="12"/>
    <x v="17"/>
    <n v="62.45"/>
    <n v="61.39"/>
    <n v="1.0600000000000023"/>
    <n v="0.11899999999999999"/>
    <n v="1.8879103282626136E-2"/>
  </r>
  <r>
    <n v="13"/>
    <x v="17"/>
    <n v="0"/>
    <n v="0"/>
    <n v="0"/>
    <n v="0.13700000000000001"/>
    <e v="#DIV/0!"/>
  </r>
  <r>
    <n v="14"/>
    <x v="17"/>
    <n v="45.77"/>
    <n v="45.14"/>
    <n v="0.63000000000000256"/>
    <n v="0.13300000000000001"/>
    <n v="1.6670308062049433E-2"/>
  </r>
  <r>
    <n v="15"/>
    <x v="17"/>
    <n v="26.46"/>
    <n v="25.7"/>
    <n v="0.76000000000000156"/>
    <n v="0.111"/>
    <n v="3.291761148904012E-2"/>
  </r>
  <r>
    <n v="16"/>
    <x v="17"/>
    <n v="40"/>
    <n v="39.43"/>
    <n v="0.57000000000000028"/>
    <n v="0.215"/>
    <n v="1.9625000000000007E-2"/>
  </r>
  <r>
    <n v="17"/>
    <x v="17"/>
    <n v="34.78"/>
    <n v="34.47"/>
    <n v="0.31000000000000227"/>
    <n v="0.14199999999999999"/>
    <n v="1.2995974698102424E-2"/>
  </r>
  <r>
    <n v="18"/>
    <x v="17"/>
    <n v="40"/>
    <n v="39.44"/>
    <n v="0.56000000000000227"/>
    <n v="0.222"/>
    <n v="1.9550000000000057E-2"/>
  </r>
  <r>
    <n v="19"/>
    <x v="17"/>
    <n v="140"/>
    <n v="139.19999999999999"/>
    <n v="0.80000000000001137"/>
    <n v="0.34699999999999998"/>
    <n v="8.1928571428572239E-3"/>
  </r>
  <r>
    <n v="20"/>
    <x v="17"/>
    <n v="20"/>
    <n v="19.8"/>
    <n v="0.19999999999999929"/>
    <n v="0.156"/>
    <n v="1.7799999999999965E-2"/>
  </r>
  <r>
    <n v="21"/>
    <x v="17"/>
    <n v="20"/>
    <n v="19.89"/>
    <n v="0.10999999999999943"/>
    <n v="4.2000000000000003E-2"/>
    <n v="7.5999999999999722E-3"/>
  </r>
  <r>
    <n v="22"/>
    <x v="17"/>
    <n v="120"/>
    <n v="118.91"/>
    <n v="1.0900000000000034"/>
    <n v="0.23599999999999999"/>
    <n v="1.1050000000000029E-2"/>
  </r>
  <r>
    <n v="23"/>
    <x v="17"/>
    <n v="80"/>
    <n v="78.989999999999995"/>
    <n v="1.0100000000000051"/>
    <n v="0.126"/>
    <n v="1.4200000000000063E-2"/>
  </r>
  <r>
    <n v="24"/>
    <x v="17"/>
    <n v="0"/>
    <n v="0"/>
    <n v="0"/>
    <n v="0.14799999999999999"/>
    <e v="#DIV/0!"/>
  </r>
  <r>
    <n v="25"/>
    <x v="17"/>
    <n v="65.48"/>
    <n v="64.62"/>
    <n v="0.85999999999999943"/>
    <n v="0.23300000000000001"/>
    <n v="1.6692119731215632E-2"/>
  </r>
  <r>
    <n v="26"/>
    <x v="17"/>
    <n v="80"/>
    <n v="79.489999999999995"/>
    <n v="0.51000000000000512"/>
    <n v="0.251"/>
    <n v="9.5125000000000643E-3"/>
  </r>
  <r>
    <n v="27"/>
    <x v="17"/>
    <n v="0"/>
    <n v="0"/>
    <n v="0"/>
    <n v="0.214"/>
    <e v="#DIV/0!"/>
  </r>
  <r>
    <n v="28"/>
    <x v="17"/>
    <n v="40"/>
    <n v="39.729999999999997"/>
    <n v="0.27000000000000313"/>
    <n v="0.127"/>
    <n v="9.9250000000000779E-3"/>
  </r>
  <r>
    <n v="29"/>
    <x v="17"/>
    <n v="40"/>
    <n v="39.729999999999997"/>
    <n v="0.27000000000000313"/>
    <n v="0.128"/>
    <n v="9.9500000000000786E-3"/>
  </r>
  <r>
    <n v="30"/>
    <x v="17"/>
    <n v="40"/>
    <n v="39.47"/>
    <n v="0.53000000000000114"/>
    <n v="0.161"/>
    <n v="1.727500000000003E-2"/>
  </r>
  <r>
    <n v="31"/>
    <x v="17"/>
    <n v="20"/>
    <n v="19.86"/>
    <n v="0.14000000000000057"/>
    <n v="0.18"/>
    <n v="1.6000000000000028E-2"/>
  </r>
  <r>
    <n v="1"/>
    <x v="18"/>
    <n v="0"/>
    <n v="0"/>
    <n v="0"/>
    <n v="0.108"/>
    <e v="#DIV/0!"/>
  </r>
  <r>
    <n v="2"/>
    <x v="18"/>
    <n v="40"/>
    <n v="39.79"/>
    <n v="0.21000000000000085"/>
    <n v="0.10100000000000001"/>
    <n v="7.7750000000000206E-3"/>
  </r>
  <r>
    <n v="3"/>
    <x v="18"/>
    <n v="40"/>
    <n v="39.590000000000003"/>
    <n v="0.40999999999999659"/>
    <n v="0.19"/>
    <n v="1.4999999999999913E-2"/>
  </r>
  <r>
    <n v="4"/>
    <x v="18"/>
    <n v="20"/>
    <n v="19.93"/>
    <n v="7.0000000000000284E-2"/>
    <n v="0.19800000000000001"/>
    <n v="1.3400000000000014E-2"/>
  </r>
  <r>
    <n v="5"/>
    <x v="18"/>
    <n v="60"/>
    <n v="59.55"/>
    <n v="0.45000000000000284"/>
    <n v="0.223"/>
    <n v="1.1216666666666713E-2"/>
  </r>
  <r>
    <n v="6"/>
    <x v="18"/>
    <n v="40"/>
    <n v="39.44"/>
    <n v="0.56000000000000227"/>
    <n v="0.21299999999999999"/>
    <n v="1.9325000000000057E-2"/>
  </r>
  <r>
    <n v="7"/>
    <x v="18"/>
    <n v="20"/>
    <n v="19.760000000000002"/>
    <n v="0.23999999999999844"/>
    <n v="0.17899999999999999"/>
    <n v="2.094999999999992E-2"/>
  </r>
  <r>
    <n v="10"/>
    <x v="18"/>
    <n v="47.58"/>
    <n v="44.85"/>
    <n v="2.7299999999999969"/>
    <n v="0.245"/>
    <n v="6.2526271542664921E-2"/>
  </r>
  <r>
    <n v="8"/>
    <x v="18"/>
    <n v="40"/>
    <n v="39.96"/>
    <n v="3.9999999999999147E-2"/>
    <n v="0.18099999999999999"/>
    <n v="5.5249999999999787E-3"/>
  </r>
  <r>
    <n v="9"/>
    <x v="18"/>
    <n v="0"/>
    <n v="0"/>
    <n v="0"/>
    <n v="0.19700000000000001"/>
    <e v="#DIV/0!"/>
  </r>
  <r>
    <n v="11"/>
    <x v="18"/>
    <n v="24.1"/>
    <n v="23.88"/>
    <n v="0.22000000000000242"/>
    <n v="0.27700000000000002"/>
    <n v="2.0622406639004248E-2"/>
  </r>
  <r>
    <n v="12"/>
    <x v="18"/>
    <n v="23.6"/>
    <n v="23.49"/>
    <n v="0.11000000000000298"/>
    <n v="0.29899999999999999"/>
    <n v="1.7330508474576397E-2"/>
  </r>
  <r>
    <n v="13"/>
    <x v="18"/>
    <n v="22.7"/>
    <n v="22.49"/>
    <n v="0.21000000000000085"/>
    <n v="0.221"/>
    <n v="1.8986784140969201E-2"/>
  </r>
  <r>
    <n v="14"/>
    <x v="18"/>
    <n v="27.58"/>
    <n v="27.46"/>
    <n v="0.11999999999999744"/>
    <n v="0.245"/>
    <n v="1.3234227701232686E-2"/>
  </r>
  <r>
    <n v="15"/>
    <x v="18"/>
    <n v="50.53"/>
    <n v="50.16"/>
    <n v="0.37000000000000455"/>
    <n v="0.28699999999999998"/>
    <n v="1.3002176924599335E-2"/>
  </r>
  <r>
    <n v="16"/>
    <x v="18"/>
    <n v="0"/>
    <n v="0"/>
    <n v="0"/>
    <n v="0.27900000000000003"/>
    <e v="#DIV/0!"/>
  </r>
  <r>
    <n v="17"/>
    <x v="18"/>
    <n v="20"/>
    <n v="19.170000000000002"/>
    <n v="0.82999999999999829"/>
    <n v="0.25900000000000001"/>
    <n v="5.4449999999999908E-2"/>
  </r>
  <r>
    <n v="18"/>
    <x v="18"/>
    <n v="46.97"/>
    <n v="46.54"/>
    <n v="0.42999999999999972"/>
    <n v="0.27800000000000002"/>
    <n v="1.5073451139024904E-2"/>
  </r>
  <r>
    <n v="19"/>
    <x v="18"/>
    <n v="20"/>
    <n v="19.97"/>
    <n v="3.0000000000001137E-2"/>
    <n v="0.34399999999999997"/>
    <n v="1.8700000000000057E-2"/>
  </r>
  <r>
    <n v="20"/>
    <x v="18"/>
    <n v="0"/>
    <n v="0"/>
    <n v="0"/>
    <n v="0.20100000000000001"/>
    <e v="#DIV/0!"/>
  </r>
  <r>
    <n v="21"/>
    <x v="18"/>
    <n v="47.07"/>
    <n v="46.83"/>
    <n v="0.24000000000000199"/>
    <n v="0.30099999999999999"/>
    <n v="1.1493520288931419E-2"/>
  </r>
  <r>
    <n v="22"/>
    <x v="18"/>
    <n v="20"/>
    <n v="19.93"/>
    <n v="7.0000000000000284E-2"/>
    <n v="0.251"/>
    <n v="1.6050000000000016E-2"/>
  </r>
  <r>
    <n v="23"/>
    <x v="18"/>
    <n v="0"/>
    <n v="0"/>
    <n v="0"/>
    <n v="0.222"/>
    <e v="#DIV/0!"/>
  </r>
  <r>
    <n v="24"/>
    <x v="18"/>
    <n v="0"/>
    <n v="0"/>
    <n v="0"/>
    <n v="0.34399999999999997"/>
    <e v="#DIV/0!"/>
  </r>
  <r>
    <n v="25"/>
    <x v="18"/>
    <n v="46"/>
    <n v="45.75"/>
    <n v="0.25"/>
    <n v="0.311"/>
    <n v="1.2195652173913041E-2"/>
  </r>
  <r>
    <n v="26"/>
    <x v="18"/>
    <n v="20"/>
    <n v="19.95"/>
    <n v="5.0000000000000711E-2"/>
    <n v="0.35699999999999998"/>
    <n v="2.0350000000000035E-2"/>
  </r>
  <r>
    <n v="27"/>
    <x v="18"/>
    <n v="0"/>
    <n v="0"/>
    <n v="0"/>
    <n v="0.28699999999999998"/>
    <e v="#DIV/0!"/>
  </r>
  <r>
    <n v="28"/>
    <x v="18"/>
    <n v="20"/>
    <n v="19.97"/>
    <n v="3.0000000000001137E-2"/>
    <n v="0.28799999999999998"/>
    <n v="1.5900000000000056E-2"/>
  </r>
  <r>
    <n v="29"/>
    <x v="18"/>
    <n v="40"/>
    <n v="39.869999999999997"/>
    <n v="0.13000000000000256"/>
    <n v="0.20200000000000001"/>
    <n v="8.3000000000000643E-3"/>
  </r>
  <r>
    <n v="30"/>
    <x v="18"/>
    <n v="40"/>
    <n v="39.67"/>
    <n v="0.32999999999999829"/>
    <n v="0.58699999999999997"/>
    <n v="2.2924999999999956E-2"/>
  </r>
  <r>
    <n v="31"/>
    <x v="18"/>
    <n v="40"/>
    <n v="39.82"/>
    <n v="0.17999999999999972"/>
    <n v="0.378"/>
    <n v="1.3949999999999994E-2"/>
  </r>
  <r>
    <n v="1"/>
    <x v="19"/>
    <n v="80"/>
    <n v="79.460000000000008"/>
    <n v="0.53999999999999204"/>
    <n v="0.29000000000000625"/>
    <n v="1.0374999999999978E-2"/>
  </r>
  <r>
    <n v="2"/>
    <x v="19"/>
    <n v="140"/>
    <n v="139.04"/>
    <n v="0.96000000000000796"/>
    <n v="0.99399999999999999"/>
    <n v="1.3957142857142914E-2"/>
  </r>
  <r>
    <n v="3"/>
    <x v="19"/>
    <n v="185"/>
    <n v="183.45"/>
    <n v="1.5500000000000114"/>
    <n v="2.16"/>
    <n v="2.0054054054054117E-2"/>
  </r>
  <r>
    <n v="4"/>
    <x v="19"/>
    <n v="80"/>
    <n v="79.41"/>
    <n v="0.59000000000000341"/>
    <n v="0.92"/>
    <n v="1.8875000000000041E-2"/>
  </r>
  <r>
    <n v="5"/>
    <x v="19"/>
    <n v="60"/>
    <n v="59.4"/>
    <n v="0.60000000000000142"/>
    <n v="0.50600000000000001"/>
    <n v="1.8433333333333357E-2"/>
  </r>
  <r>
    <n v="6"/>
    <x v="19"/>
    <n v="20"/>
    <n v="19.850000000000001"/>
    <n v="0.14999999999999858"/>
    <n v="0.92600000000000005"/>
    <n v="5.3799999999999938E-2"/>
  </r>
  <r>
    <n v="7"/>
    <x v="19"/>
    <n v="40"/>
    <n v="39.64"/>
    <n v="0.35999999999999943"/>
    <n v="0.505"/>
    <n v="2.1624999999999985E-2"/>
  </r>
  <r>
    <n v="10"/>
    <x v="19"/>
    <n v="40"/>
    <n v="39.71"/>
    <n v="0.28999999999999915"/>
    <n v="0.83099999999999996"/>
    <n v="2.8024999999999977E-2"/>
  </r>
  <r>
    <n v="8"/>
    <x v="19"/>
    <n v="0"/>
    <n v="0"/>
    <n v="0"/>
    <n v="0.41399999999999998"/>
    <e v="#DIV/0!"/>
  </r>
  <r>
    <n v="9"/>
    <x v="19"/>
    <n v="140"/>
    <n v="139.16999999999999"/>
    <n v="0.83000000000001251"/>
    <n v="0.78900000000000003"/>
    <n v="1.1564285714285805E-2"/>
  </r>
  <r>
    <n v="11"/>
    <x v="19"/>
    <n v="38.700000000000003"/>
    <n v="38.36"/>
    <n v="0.34000000000000341"/>
    <n v="0.437"/>
    <n v="2.007751937984505E-2"/>
  </r>
  <r>
    <n v="12"/>
    <x v="19"/>
    <n v="12.47"/>
    <n v="12.36"/>
    <n v="0.11000000000000121"/>
    <n v="0.13"/>
    <n v="1.9246190858059439E-2"/>
  </r>
  <r>
    <n v="13"/>
    <x v="19"/>
    <n v="46.02"/>
    <n v="45.65"/>
    <n v="0.37000000000000455"/>
    <n v="0.42899999999999999"/>
    <n v="1.7362016514558987E-2"/>
  </r>
  <r>
    <n v="14"/>
    <x v="19"/>
    <n v="46.91"/>
    <n v="46.62"/>
    <n v="0.28999999999999915"/>
    <n v="0.20799999999999999"/>
    <n v="1.0616073331912154E-2"/>
  </r>
  <r>
    <n v="15"/>
    <x v="19"/>
    <n v="0"/>
    <n v="0"/>
    <n v="0"/>
    <n v="0.19500000000000001"/>
    <e v="#DIV/0!"/>
  </r>
  <r>
    <n v="16"/>
    <x v="19"/>
    <n v="9.82"/>
    <n v="9.7200000000000006"/>
    <n v="9.9999999999999645E-2"/>
    <n v="5.7000000000000002E-2"/>
    <n v="1.598778004073316E-2"/>
  </r>
  <r>
    <n v="17"/>
    <x v="19"/>
    <n v="41.81"/>
    <n v="41.6"/>
    <n v="0.21000000000000085"/>
    <n v="0.13900000000000001"/>
    <n v="8.3472853384358014E-3"/>
  </r>
  <r>
    <n v="18"/>
    <x v="19"/>
    <n v="62.56"/>
    <n v="62.07"/>
    <n v="0.49000000000000199"/>
    <n v="0.188"/>
    <n v="1.0837595907928418E-2"/>
  </r>
  <r>
    <n v="19"/>
    <x v="19"/>
    <n v="40"/>
    <n v="39.76"/>
    <n v="0.24000000000000199"/>
    <n v="0.54100000000000004"/>
    <n v="1.9525000000000049E-2"/>
  </r>
  <r>
    <n v="20"/>
    <x v="19"/>
    <n v="0"/>
    <n v="0"/>
    <n v="0"/>
    <n v="0.112"/>
    <e v="#DIV/0!"/>
  </r>
  <r>
    <n v="21"/>
    <x v="19"/>
    <n v="60"/>
    <n v="59.45"/>
    <n v="0.54999999999999716"/>
    <n v="0.153"/>
    <n v="1.171666666666662E-2"/>
  </r>
  <r>
    <n v="22"/>
    <x v="19"/>
    <n v="33.979999999999997"/>
    <n v="33.68"/>
    <n v="0.29999999999999716"/>
    <n v="0.18"/>
    <n v="1.4125956444967546E-2"/>
  </r>
  <r>
    <n v="23"/>
    <x v="19"/>
    <n v="20"/>
    <n v="19.88"/>
    <n v="0.12000000000000099"/>
    <n v="0.22500000000000001"/>
    <n v="1.725000000000005E-2"/>
  </r>
  <r>
    <n v="24"/>
    <x v="19"/>
    <n v="100.91"/>
    <n v="100.24"/>
    <n v="0.67000000000000171"/>
    <n v="0.23799999999999999"/>
    <n v="8.9981171340798895E-3"/>
  </r>
  <r>
    <n v="25"/>
    <x v="19"/>
    <n v="62.28"/>
    <n v="61.91"/>
    <n v="0.37000000000000455"/>
    <n v="0.498"/>
    <n v="1.3937058445729039E-2"/>
  </r>
  <r>
    <n v="26"/>
    <x v="19"/>
    <n v="34.85"/>
    <n v="34.6"/>
    <n v="0.25"/>
    <n v="0.32400000000000001"/>
    <n v="1.6470588235294119E-2"/>
  </r>
  <r>
    <n v="27"/>
    <x v="19"/>
    <n v="22.6"/>
    <n v="22.47"/>
    <n v="0.13000000000000256"/>
    <n v="0.28999999999999998"/>
    <n v="1.8584070796460288E-2"/>
  </r>
  <r>
    <n v="28"/>
    <x v="19"/>
    <n v="60"/>
    <n v="59.77"/>
    <n v="0.22999999999999687"/>
    <n v="0.161"/>
    <n v="6.5166666666666151E-3"/>
  </r>
  <r>
    <n v="29"/>
    <x v="19"/>
    <n v="40"/>
    <n v="39.729999999999997"/>
    <n v="0.27000000000000313"/>
    <n v="0.13800000000000001"/>
    <n v="1.0200000000000079E-2"/>
  </r>
  <r>
    <n v="30"/>
    <x v="19"/>
    <n v="43"/>
    <n v="42.62"/>
    <n v="0.38000000000000256"/>
    <n v="9.1999999999999998E-2"/>
    <n v="1.0976744186046571E-2"/>
  </r>
  <r>
    <n v="31"/>
    <x v="19"/>
    <n v="41.24"/>
    <n v="40.909999999999997"/>
    <n v="0.3300000000000054"/>
    <n v="0.38600000000000001"/>
    <n v="1.7361784675072874E-2"/>
  </r>
  <r>
    <n v="1"/>
    <x v="20"/>
    <n v="0"/>
    <n v="0"/>
    <n v="0"/>
    <n v="0.219"/>
    <e v="#DIV/0!"/>
  </r>
  <r>
    <n v="2"/>
    <x v="20"/>
    <n v="22"/>
    <n v="21.67"/>
    <n v="0.32999999999999829"/>
    <n v="0.224"/>
    <n v="2.5181818181818104E-2"/>
  </r>
  <r>
    <n v="3"/>
    <x v="20"/>
    <n v="30"/>
    <n v="29.64"/>
    <n v="0.35999999999999943"/>
    <n v="0.22900000000000001"/>
    <n v="1.9633333333333315E-2"/>
  </r>
  <r>
    <n v="4"/>
    <x v="20"/>
    <n v="33"/>
    <n v="32.47"/>
    <n v="0.53000000000000114"/>
    <n v="0.23899999999999999"/>
    <n v="2.3303030303030336E-2"/>
  </r>
  <r>
    <n v="5"/>
    <x v="20"/>
    <n v="25"/>
    <n v="24.67"/>
    <n v="0.32999999999999829"/>
    <n v="0.21800000000000352"/>
    <n v="2.1920000000000071E-2"/>
  </r>
  <r>
    <n v="6"/>
    <x v="20"/>
    <n v="25"/>
    <n v="24.82"/>
    <n v="0.17999999999999972"/>
    <n v="0.27500000000000002"/>
    <n v="1.819999999999999E-2"/>
  </r>
  <r>
    <n v="7"/>
    <x v="20"/>
    <n v="25"/>
    <n v="24.79"/>
    <n v="0.21000000000000085"/>
    <n v="0.245"/>
    <n v="1.8200000000000036E-2"/>
  </r>
  <r>
    <n v="10"/>
    <x v="20"/>
    <n v="7"/>
    <n v="6.8"/>
    <n v="0.20000000000000018"/>
    <n v="0.32400000000000001"/>
    <n v="7.4857142857142886E-2"/>
  </r>
  <r>
    <n v="8"/>
    <x v="20"/>
    <n v="20"/>
    <n v="19.75"/>
    <n v="0.25"/>
    <n v="1.869"/>
    <n v="0.10594999999999999"/>
  </r>
  <r>
    <n v="9"/>
    <x v="20"/>
    <n v="10"/>
    <n v="9.77"/>
    <n v="0.23000000000000043"/>
    <n v="0.22900000000000001"/>
    <n v="4.5900000000000038E-2"/>
  </r>
  <r>
    <n v="11"/>
    <x v="20"/>
    <n v="175"/>
    <n v="173.52"/>
    <n v="1.4799999999999898"/>
    <n v="0.22500000000000001"/>
    <n v="9.7428571428570844E-3"/>
  </r>
  <r>
    <n v="12"/>
    <x v="20"/>
    <n v="33"/>
    <n v="32.58"/>
    <n v="0.42000000000000171"/>
    <n v="0.76"/>
    <n v="3.5757575757575807E-2"/>
  </r>
  <r>
    <n v="13"/>
    <x v="20"/>
    <n v="20"/>
    <n v="19.489999999999998"/>
    <n v="0.51000000000000156"/>
    <n v="0.19"/>
    <n v="3.5000000000000073E-2"/>
  </r>
  <r>
    <n v="14"/>
    <x v="20"/>
    <n v="10"/>
    <n v="9.75"/>
    <n v="0.25"/>
    <n v="0.20499999999999999"/>
    <n v="4.5499999999999999E-2"/>
  </r>
  <r>
    <n v="15"/>
    <x v="20"/>
    <n v="10"/>
    <n v="9.81"/>
    <n v="0.1899999999999995"/>
    <n v="0.20699999999999999"/>
    <n v="3.9699999999999944E-2"/>
  </r>
  <r>
    <n v="16"/>
    <x v="20"/>
    <n v="20"/>
    <n v="19.36"/>
    <n v="0.64000000000000057"/>
    <n v="0.223"/>
    <n v="4.3150000000000029E-2"/>
  </r>
  <r>
    <n v="17"/>
    <x v="20"/>
    <n v="30"/>
    <n v="29.43"/>
    <n v="0.57000000000000028"/>
    <n v="0.26"/>
    <n v="2.7666666666666676E-2"/>
  </r>
  <r>
    <n v="18"/>
    <x v="20"/>
    <n v="35"/>
    <n v="34.49"/>
    <n v="0.50999999999999801"/>
    <n v="0.22800000000000001"/>
    <n v="2.1085714285714229E-2"/>
  </r>
  <r>
    <n v="19"/>
    <x v="20"/>
    <n v="180"/>
    <n v="176.29"/>
    <n v="3.710000000000008"/>
    <n v="0.73199999999999998"/>
    <n v="2.4677777777777823E-2"/>
  </r>
  <r>
    <n v="20"/>
    <x v="20"/>
    <n v="15"/>
    <n v="14.57"/>
    <n v="0.42999999999999972"/>
    <n v="0.27500000000000002"/>
    <n v="4.6999999999999979E-2"/>
  </r>
  <r>
    <n v="21"/>
    <x v="20"/>
    <n v="0"/>
    <n v="0"/>
    <n v="0"/>
    <n v="0.17199999999999999"/>
    <e v="#DIV/0!"/>
  </r>
  <r>
    <n v="22"/>
    <x v="20"/>
    <n v="15"/>
    <n v="14.63"/>
    <n v="0.36999999999999922"/>
    <n v="0.1980000000000004"/>
    <n v="3.7866666666666639E-2"/>
  </r>
  <r>
    <n v="23"/>
    <x v="20"/>
    <n v="10"/>
    <n v="9.58"/>
    <n v="0.41999999999999993"/>
    <n v="0.22"/>
    <n v="6.3999999999999987E-2"/>
  </r>
  <r>
    <n v="24"/>
    <x v="20"/>
    <n v="0"/>
    <n v="0"/>
    <n v="0"/>
    <n v="0.22"/>
    <e v="#DIV/0!"/>
  </r>
  <r>
    <n v="25"/>
    <x v="20"/>
    <n v="25"/>
    <n v="24.6"/>
    <n v="0.39999999999999858"/>
    <n v="0.28999999999999998"/>
    <n v="2.7599999999999944E-2"/>
  </r>
  <r>
    <n v="26"/>
    <x v="20"/>
    <n v="25"/>
    <n v="24.34"/>
    <n v="0.66000000000000014"/>
    <n v="0.22"/>
    <n v="3.5200000000000002E-2"/>
  </r>
  <r>
    <n v="27"/>
    <x v="20"/>
    <n v="165"/>
    <n v="163.02000000000001"/>
    <n v="1.9799999999999898"/>
    <n v="0.34"/>
    <n v="1.4060606060605997E-2"/>
  </r>
  <r>
    <n v="28"/>
    <x v="20"/>
    <n v="45"/>
    <n v="44.2"/>
    <n v="0.79999999999999716"/>
    <n v="0.71"/>
    <n v="3.3555555555555491E-2"/>
  </r>
  <r>
    <n v="29"/>
    <x v="20"/>
    <n v="20"/>
    <n v="19.46"/>
    <n v="0.53999999999999915"/>
    <n v="0.151"/>
    <n v="3.4549999999999956E-2"/>
  </r>
  <r>
    <n v="30"/>
    <x v="20"/>
    <n v="40"/>
    <n v="39.590000000000003"/>
    <n v="0.40999999999999659"/>
    <n v="0.34"/>
    <n v="1.8749999999999916E-2"/>
  </r>
  <r>
    <n v="31"/>
    <x v="20"/>
    <n v="20"/>
    <n v="19.600000000000001"/>
    <n v="0.39999999999999858"/>
    <n v="0.223"/>
    <n v="3.1149999999999928E-2"/>
  </r>
  <r>
    <n v="1"/>
    <x v="21"/>
    <n v="60"/>
    <n v="59.82"/>
    <n v="0.17999999999999972"/>
    <n v="0.21"/>
    <n v="6.4999999999999945E-3"/>
  </r>
  <r>
    <n v="2"/>
    <x v="21"/>
    <n v="20"/>
    <n v="19.73"/>
    <n v="0.26999999999999957"/>
    <n v="0.14499999999999999"/>
    <n v="2.074999999999998E-2"/>
  </r>
  <r>
    <n v="3"/>
    <x v="21"/>
    <n v="40"/>
    <n v="39.700000000000003"/>
    <n v="0.29999999999999716"/>
    <n v="0.17499999999999999"/>
    <n v="1.1874999999999929E-2"/>
  </r>
  <r>
    <n v="4"/>
    <x v="21"/>
    <n v="20"/>
    <n v="19.829999999999998"/>
    <n v="0.17000000000000171"/>
    <n v="0.14499999999999999"/>
    <n v="1.5750000000000087E-2"/>
  </r>
  <r>
    <n v="5"/>
    <x v="21"/>
    <n v="20"/>
    <n v="19.899999999999999"/>
    <n v="0.10000000000000142"/>
    <n v="0.13"/>
    <n v="1.1500000000000071E-2"/>
  </r>
  <r>
    <n v="6"/>
    <x v="21"/>
    <n v="20"/>
    <n v="19.75"/>
    <n v="0.25"/>
    <n v="0.14000000000000001"/>
    <n v="1.95E-2"/>
  </r>
  <r>
    <n v="7"/>
    <x v="21"/>
    <n v="100"/>
    <n v="98.87"/>
    <n v="1.1299999999999955"/>
    <n v="0.35"/>
    <n v="1.4799999999999956E-2"/>
  </r>
  <r>
    <n v="10"/>
    <x v="21"/>
    <n v="23.32"/>
    <n v="22.97"/>
    <n v="0.35000000000000142"/>
    <n v="0.15"/>
    <n v="2.1440823327615842E-2"/>
  </r>
  <r>
    <n v="8"/>
    <x v="21"/>
    <n v="20"/>
    <n v="19.79"/>
    <n v="0.21000000000000085"/>
    <n v="0.12"/>
    <n v="1.6500000000000042E-2"/>
  </r>
  <r>
    <n v="9"/>
    <x v="21"/>
    <n v="46.6"/>
    <n v="46.06"/>
    <n v="0.53999999999999915"/>
    <n v="0.12"/>
    <n v="1.4163090128755346E-2"/>
  </r>
  <r>
    <n v="11"/>
    <x v="21"/>
    <n v="26.02"/>
    <n v="25.8"/>
    <n v="0.21999999999999886"/>
    <n v="0.125"/>
    <n v="1.3259031514219788E-2"/>
  </r>
  <r>
    <n v="12"/>
    <x v="21"/>
    <n v="26.02"/>
    <n v="25.8"/>
    <n v="0.21999999999999886"/>
    <n v="0.18"/>
    <n v="1.5372790161414253E-2"/>
  </r>
  <r>
    <n v="13"/>
    <x v="21"/>
    <n v="26.02"/>
    <n v="25.8"/>
    <n v="0.21999999999999886"/>
    <n v="0.14499999999999999"/>
    <n v="1.4027671022290503E-2"/>
  </r>
  <r>
    <n v="14"/>
    <x v="21"/>
    <n v="26.02"/>
    <n v="25.8"/>
    <n v="0.21999999999999886"/>
    <n v="0.1"/>
    <n v="1.2298232129131392E-2"/>
  </r>
  <r>
    <n v="15"/>
    <x v="21"/>
    <n v="26.6"/>
    <n v="26.33"/>
    <n v="0.27000000000000313"/>
    <n v="0.16"/>
    <n v="1.6165413533834706E-2"/>
  </r>
  <r>
    <n v="16"/>
    <x v="21"/>
    <n v="28.67"/>
    <n v="28.35"/>
    <n v="0.32000000000000028"/>
    <n v="0.15"/>
    <n v="1.6393442622950831E-2"/>
  </r>
  <r>
    <n v="17"/>
    <x v="21"/>
    <n v="0"/>
    <n v="0"/>
    <n v="0"/>
    <n v="0.155"/>
    <e v="#DIV/0!"/>
  </r>
  <r>
    <n v="18"/>
    <x v="21"/>
    <n v="27.12"/>
    <n v="26.91"/>
    <n v="0.21000000000000085"/>
    <n v="0.14000000000000001"/>
    <n v="1.2905604719764043E-2"/>
  </r>
  <r>
    <n v="19"/>
    <x v="21"/>
    <n v="20"/>
    <n v="19.7"/>
    <n v="0.30000000000000071"/>
    <n v="0.125"/>
    <n v="2.1250000000000036E-2"/>
  </r>
  <r>
    <n v="20"/>
    <x v="21"/>
    <n v="0"/>
    <n v="0"/>
    <n v="0"/>
    <n v="0.12"/>
    <e v="#DIV/0!"/>
  </r>
  <r>
    <n v="21"/>
    <x v="21"/>
    <n v="20"/>
    <n v="19.809999999999999"/>
    <n v="0.19000000000000128"/>
    <n v="0.16"/>
    <n v="1.7500000000000064E-2"/>
  </r>
  <r>
    <n v="22"/>
    <x v="21"/>
    <n v="40"/>
    <n v="39.630000000000003"/>
    <n v="0.36999999999999744"/>
    <n v="0.14499999999999999"/>
    <n v="1.2874999999999937E-2"/>
  </r>
  <r>
    <n v="23"/>
    <x v="21"/>
    <n v="40.299999999999997"/>
    <n v="39.99"/>
    <n v="0.30999999999999517"/>
    <n v="0.16"/>
    <n v="1.166253101736961E-2"/>
  </r>
  <r>
    <n v="24"/>
    <x v="21"/>
    <n v="0"/>
    <n v="0"/>
    <n v="0"/>
    <n v="0.22500000000000001"/>
    <e v="#DIV/0!"/>
  </r>
  <r>
    <n v="25"/>
    <x v="21"/>
    <n v="40"/>
    <n v="39.380000000000003"/>
    <n v="0.61999999999999744"/>
    <n v="0.12"/>
    <n v="1.8499999999999937E-2"/>
  </r>
  <r>
    <n v="26"/>
    <x v="21"/>
    <n v="40"/>
    <n v="39.549999999999997"/>
    <n v="0.45000000000000284"/>
    <n v="0.28000000000000003"/>
    <n v="1.8250000000000072E-2"/>
  </r>
  <r>
    <n v="27"/>
    <x v="21"/>
    <n v="0"/>
    <n v="0"/>
    <n v="0"/>
    <n v="0.12"/>
    <e v="#DIV/0!"/>
  </r>
  <r>
    <n v="28"/>
    <x v="21"/>
    <n v="40"/>
    <n v="39.44"/>
    <n v="0.56000000000000227"/>
    <n v="0.13"/>
    <n v="1.7250000000000057E-2"/>
  </r>
  <r>
    <n v="29"/>
    <x v="21"/>
    <n v="20"/>
    <n v="19.809999999999999"/>
    <n v="0.19000000000000128"/>
    <n v="0.185"/>
    <n v="1.8750000000000065E-2"/>
  </r>
  <r>
    <n v="30"/>
    <x v="21"/>
    <n v="60"/>
    <n v="59.34"/>
    <n v="0.65999999999999659"/>
    <n v="0.14000000000000001"/>
    <n v="1.3333333333333277E-2"/>
  </r>
  <r>
    <n v="31"/>
    <x v="21"/>
    <n v="20"/>
    <n v="19.829999999999998"/>
    <n v="0.17000000000000171"/>
    <n v="0.12"/>
    <n v="1.4500000000000086E-2"/>
  </r>
  <r>
    <n v="1"/>
    <x v="22"/>
    <n v="20"/>
    <n v="19.940000000000001"/>
    <n v="5.9999999999998721E-2"/>
    <n v="0.13500000000000001"/>
    <n v="9.7499999999999358E-3"/>
  </r>
  <r>
    <n v="2"/>
    <x v="22"/>
    <n v="40"/>
    <n v="39.65"/>
    <n v="0.35000000000000142"/>
    <n v="0.15"/>
    <n v="1.2500000000000035E-2"/>
  </r>
  <r>
    <n v="3"/>
    <x v="22"/>
    <n v="100"/>
    <n v="99.47"/>
    <n v="0.53000000000000114"/>
    <n v="0.11"/>
    <n v="6.4000000000000116E-3"/>
  </r>
  <r>
    <n v="4"/>
    <x v="22"/>
    <n v="20"/>
    <n v="19.88"/>
    <n v="0.12000000000000099"/>
    <n v="0.11"/>
    <n v="1.1500000000000048E-2"/>
  </r>
  <r>
    <n v="5"/>
    <x v="22"/>
    <n v="0"/>
    <n v="0"/>
    <n v="0"/>
    <n v="0.115"/>
    <e v="#DIV/0!"/>
  </r>
  <r>
    <n v="6"/>
    <x v="22"/>
    <n v="20"/>
    <n v="19.809999999999999"/>
    <n v="0.19000000000000128"/>
    <n v="0.23300000000000001"/>
    <n v="2.1150000000000065E-2"/>
  </r>
  <r>
    <n v="7"/>
    <x v="22"/>
    <n v="20"/>
    <n v="19.87"/>
    <n v="0.12999999999999901"/>
    <n v="0.15"/>
    <n v="1.3999999999999952E-2"/>
  </r>
  <r>
    <n v="10"/>
    <x v="22"/>
    <n v="40"/>
    <n v="39.42"/>
    <n v="0.57999999999999829"/>
    <n v="0.2"/>
    <n v="1.9499999999999955E-2"/>
  </r>
  <r>
    <n v="8"/>
    <x v="22"/>
    <n v="40"/>
    <n v="39.56"/>
    <n v="0.43999999999999773"/>
    <n v="0.05"/>
    <n v="1.2249999999999943E-2"/>
  </r>
  <r>
    <n v="9"/>
    <x v="22"/>
    <n v="40"/>
    <n v="39.64"/>
    <n v="0.35999999999999943"/>
    <n v="0.21"/>
    <n v="1.4249999999999985E-2"/>
  </r>
  <r>
    <n v="11"/>
    <x v="22"/>
    <n v="69.63"/>
    <n v="69.08"/>
    <n v="0.54999999999999716"/>
    <n v="0.28000000000000003"/>
    <n v="1.1920149360907614E-2"/>
  </r>
  <r>
    <n v="12"/>
    <x v="22"/>
    <n v="40"/>
    <n v="39.590000000000003"/>
    <n v="0.40999999999999659"/>
    <n v="0.15"/>
    <n v="1.3999999999999915E-2"/>
  </r>
  <r>
    <n v="13"/>
    <x v="22"/>
    <n v="26.31"/>
    <n v="26.03"/>
    <n v="0.27999999999999758"/>
    <n v="0.13"/>
    <n v="1.5583428354237842E-2"/>
  </r>
  <r>
    <n v="14"/>
    <x v="22"/>
    <n v="20.565999999999999"/>
    <n v="20.51"/>
    <n v="5.5999999999997385E-2"/>
    <n v="0.24"/>
    <n v="1.4392686959058513E-2"/>
  </r>
  <r>
    <n v="15"/>
    <x v="22"/>
    <n v="0"/>
    <n v="0"/>
    <n v="0"/>
    <n v="0.27"/>
    <e v="#DIV/0!"/>
  </r>
  <r>
    <n v="16"/>
    <x v="22"/>
    <n v="25.181999999999999"/>
    <n v="25.04"/>
    <n v="0.14199999999999946"/>
    <n v="0.35"/>
    <n v="1.9537765070288281E-2"/>
  </r>
  <r>
    <n v="17"/>
    <x v="22"/>
    <n v="27.7"/>
    <n v="26.84"/>
    <n v="0.85999999999999943"/>
    <n v="0.76"/>
    <n v="5.8483754512635364E-2"/>
  </r>
  <r>
    <n v="18"/>
    <x v="22"/>
    <n v="25.64"/>
    <n v="25.42"/>
    <n v="0.21999999999999886"/>
    <n v="0.35"/>
    <n v="2.2230889235569377E-2"/>
  </r>
  <r>
    <n v="19"/>
    <x v="22"/>
    <n v="0"/>
    <n v="0"/>
    <n v="0"/>
    <n v="0.35"/>
    <e v="#DIV/0!"/>
  </r>
  <r>
    <n v="20"/>
    <x v="22"/>
    <n v="0"/>
    <n v="0"/>
    <n v="0"/>
    <n v="0.35"/>
    <e v="#DIV/0!"/>
  </r>
  <r>
    <n v="21"/>
    <x v="22"/>
    <n v="187.43199999999999"/>
    <n v="185.81"/>
    <n v="1.6219999999999857"/>
    <n v="0.8"/>
    <n v="1.2922019719151403E-2"/>
  </r>
  <r>
    <n v="22"/>
    <x v="22"/>
    <n v="0"/>
    <n v="0"/>
    <n v="0"/>
    <n v="0.25"/>
    <e v="#DIV/0!"/>
  </r>
  <r>
    <n v="23"/>
    <x v="22"/>
    <n v="21.46"/>
    <n v="21.19"/>
    <n v="0.26999999999999957"/>
    <n v="0.28000000000000003"/>
    <n v="2.5629077353215266E-2"/>
  </r>
  <r>
    <n v="24"/>
    <x v="22"/>
    <n v="0"/>
    <n v="0"/>
    <n v="0"/>
    <n v="0.21"/>
    <e v="#DIV/0!"/>
  </r>
  <r>
    <n v="25"/>
    <x v="22"/>
    <n v="20"/>
    <n v="19.96"/>
    <n v="3.9999999999999147E-2"/>
    <n v="0.1"/>
    <n v="6.9999999999999576E-3"/>
  </r>
  <r>
    <n v="26"/>
    <x v="22"/>
    <n v="72.853999999999999"/>
    <n v="72.58"/>
    <n v="0.27400000000000091"/>
    <n v="0.23"/>
    <n v="6.91794548000111E-3"/>
  </r>
  <r>
    <n v="27"/>
    <x v="22"/>
    <n v="103.596"/>
    <n v="102.85000000000001"/>
    <n v="0.74599999999999511"/>
    <n v="0.27"/>
    <n v="9.8073284682805816E-3"/>
  </r>
  <r>
    <n v="28"/>
    <x v="22"/>
    <n v="0"/>
    <n v="0"/>
    <n v="0"/>
    <n v="0.26500000000000001"/>
    <e v="#DIV/0!"/>
  </r>
  <r>
    <n v="29"/>
    <x v="22"/>
    <n v="180"/>
    <n v="178.94"/>
    <n v="1.0600000000000023"/>
    <n v="0.25"/>
    <n v="7.2777777777777901E-3"/>
  </r>
  <r>
    <n v="30"/>
    <x v="22"/>
    <n v="20"/>
    <n v="19.78"/>
    <n v="0.21999999999999886"/>
    <n v="0.64500000000000002"/>
    <n v="4.3249999999999941E-2"/>
  </r>
  <r>
    <n v="31"/>
    <x v="22"/>
    <n v="40"/>
    <n v="39.65"/>
    <n v="0.35000000000000142"/>
    <n v="0.16"/>
    <n v="1.2750000000000036E-2"/>
  </r>
  <r>
    <n v="1"/>
    <x v="23"/>
    <n v="40"/>
    <n v="39.380000000000003"/>
    <n v="0.61999999999999744"/>
    <n v="0.104"/>
    <n v="1.8099999999999936E-2"/>
  </r>
  <r>
    <n v="2"/>
    <x v="23"/>
    <n v="120"/>
    <n v="119.18"/>
    <n v="0.81999999999999318"/>
    <n v="0.38900000000000001"/>
    <n v="1.0074999999999943E-2"/>
  </r>
  <r>
    <n v="3"/>
    <x v="23"/>
    <n v="160"/>
    <n v="159.44999999999999"/>
    <n v="0.55000000000001137"/>
    <n v="0.435"/>
    <n v="6.1562500000000714E-3"/>
  </r>
  <r>
    <n v="4"/>
    <x v="23"/>
    <n v="160"/>
    <n v="158.51"/>
    <n v="1.4900000000000091"/>
    <n v="0.32"/>
    <n v="1.1312500000000057E-2"/>
  </r>
  <r>
    <n v="5"/>
    <x v="23"/>
    <n v="80"/>
    <n v="78.8"/>
    <n v="1.2000000000000028"/>
    <n v="0.21299999999999999"/>
    <n v="1.7662500000000036E-2"/>
  </r>
  <r>
    <n v="6"/>
    <x v="23"/>
    <n v="0"/>
    <n v="0"/>
    <n v="0"/>
    <n v="0.218"/>
    <e v="#DIV/0!"/>
  </r>
  <r>
    <n v="7"/>
    <x v="23"/>
    <n v="40"/>
    <n v="36.67"/>
    <n v="3.3299999999999983"/>
    <n v="0.121"/>
    <n v="8.6274999999999963E-2"/>
  </r>
  <r>
    <n v="10"/>
    <x v="23"/>
    <n v="60"/>
    <n v="59.8"/>
    <n v="0.20000000000000284"/>
    <n v="0.32200000000000001"/>
    <n v="8.700000000000048E-3"/>
  </r>
  <r>
    <n v="8"/>
    <x v="23"/>
    <n v="20"/>
    <n v="19.8"/>
    <n v="0.19999999999999929"/>
    <n v="0.122"/>
    <n v="1.6099999999999965E-2"/>
  </r>
  <r>
    <n v="9"/>
    <x v="23"/>
    <n v="40"/>
    <n v="39.86"/>
    <n v="0.14000000000000057"/>
    <n v="0.112"/>
    <n v="6.3000000000000139E-3"/>
  </r>
  <r>
    <n v="11"/>
    <x v="23"/>
    <n v="31.36"/>
    <n v="31.28"/>
    <n v="7.9999999999998295E-2"/>
    <n v="0.28899999999999998"/>
    <n v="1.1766581632653006E-2"/>
  </r>
  <r>
    <n v="12"/>
    <x v="23"/>
    <n v="163.80000000000001"/>
    <n v="162.81"/>
    <n v="0.99000000000000909"/>
    <n v="0.67700000000000005"/>
    <n v="1.0177045177045232E-2"/>
  </r>
  <r>
    <n v="13"/>
    <x v="23"/>
    <n v="55.34"/>
    <n v="54.7"/>
    <n v="0.64000000000000057"/>
    <n v="0.21199999999999999"/>
    <n v="1.5395735453559821E-2"/>
  </r>
  <r>
    <n v="14"/>
    <x v="23"/>
    <n v="0"/>
    <n v="0"/>
    <n v="0"/>
    <n v="0.23100000000000001"/>
    <e v="#DIV/0!"/>
  </r>
  <r>
    <n v="15"/>
    <x v="23"/>
    <n v="0"/>
    <n v="0"/>
    <n v="0"/>
    <n v="0.2"/>
    <e v="#DIV/0!"/>
  </r>
  <r>
    <n v="16"/>
    <x v="23"/>
    <n v="148.96"/>
    <n v="147.84"/>
    <n v="1.1200000000000045"/>
    <n v="0.876"/>
    <n v="1.3399570354457602E-2"/>
  </r>
  <r>
    <n v="17"/>
    <x v="23"/>
    <n v="21.32"/>
    <n v="21.18"/>
    <n v="0.14000000000000057"/>
    <n v="0.32100000000000001"/>
    <n v="2.1622889305816163E-2"/>
  </r>
  <r>
    <n v="18"/>
    <x v="23"/>
    <n v="52.2"/>
    <n v="51.45"/>
    <n v="0.75"/>
    <n v="0.13200000000000001"/>
    <n v="1.6896551724137929E-2"/>
  </r>
  <r>
    <n v="19"/>
    <x v="23"/>
    <n v="20"/>
    <n v="19.7"/>
    <n v="0.30000000000000071"/>
    <n v="0.29799999999999999"/>
    <n v="2.9900000000000038E-2"/>
  </r>
  <r>
    <n v="20"/>
    <x v="23"/>
    <n v="65.27"/>
    <n v="64.680000000000007"/>
    <n v="0.5899999999999892"/>
    <n v="0.224"/>
    <n v="1.2471273172973637E-2"/>
  </r>
  <r>
    <n v="21"/>
    <x v="23"/>
    <n v="20"/>
    <n v="19.87"/>
    <n v="0.12999999999999901"/>
    <n v="8.8999999999999996E-2"/>
    <n v="1.0949999999999949E-2"/>
  </r>
  <r>
    <n v="22"/>
    <x v="23"/>
    <n v="120"/>
    <n v="119.66"/>
    <n v="0.34000000000000341"/>
    <n v="0.44500000000000001"/>
    <n v="6.5416666666666956E-3"/>
  </r>
  <r>
    <n v="23"/>
    <x v="23"/>
    <n v="40"/>
    <n v="39.75"/>
    <n v="0.25"/>
    <n v="0.254"/>
    <n v="1.26E-2"/>
  </r>
  <r>
    <n v="24"/>
    <x v="23"/>
    <n v="70.349999999999994"/>
    <n v="69.010000000000005"/>
    <n v="1.3399999999999892"/>
    <n v="0.36599999999999999"/>
    <n v="2.4250177683013355E-2"/>
  </r>
  <r>
    <n v="25"/>
    <x v="23"/>
    <n v="64.44"/>
    <n v="62.89"/>
    <n v="1.5499999999999972"/>
    <n v="0.255"/>
    <n v="2.8010552451893191E-2"/>
  </r>
  <r>
    <n v="26"/>
    <x v="23"/>
    <n v="0"/>
    <n v="0"/>
    <n v="0"/>
    <n v="0.42099999999999999"/>
    <e v="#DIV/0!"/>
  </r>
  <r>
    <n v="27"/>
    <x v="23"/>
    <n v="20"/>
    <n v="19.93"/>
    <n v="7.0000000000000284E-2"/>
    <n v="0.189"/>
    <n v="1.2950000000000014E-2"/>
  </r>
  <r>
    <n v="28"/>
    <x v="23"/>
    <n v="140"/>
    <n v="137.99"/>
    <n v="2.0099999999999909"/>
    <n v="0.26600000000000001"/>
    <n v="1.6257142857142793E-2"/>
  </r>
  <r>
    <n v="29"/>
    <x v="23"/>
    <n v="60"/>
    <n v="59.45"/>
    <n v="0.54999999999999716"/>
    <n v="0.311"/>
    <n v="1.4349999999999951E-2"/>
  </r>
  <r>
    <n v="30"/>
    <x v="23"/>
    <n v="0"/>
    <n v="0"/>
    <n v="0"/>
    <n v="0.19800000000000001"/>
    <e v="#DIV/0!"/>
  </r>
  <r>
    <n v="31"/>
    <x v="23"/>
    <n v="40"/>
    <n v="39.880000000000003"/>
    <n v="0.11999999999999744"/>
    <n v="0.20100000000000001"/>
    <n v="8.0249999999999367E-3"/>
  </r>
  <r>
    <n v="1"/>
    <x v="24"/>
    <n v="20"/>
    <n v="19.89"/>
    <n v="0.10999999999999943"/>
    <n v="0.11600000000000001"/>
    <n v="1.1299999999999972E-2"/>
  </r>
  <r>
    <n v="2"/>
    <x v="24"/>
    <n v="50"/>
    <n v="49.75"/>
    <n v="0.25"/>
    <n v="0.10199999999999999"/>
    <n v="7.0399999999999994E-3"/>
  </r>
  <r>
    <n v="3"/>
    <x v="24"/>
    <n v="150"/>
    <n v="148.06"/>
    <n v="1.9399999999999977"/>
    <n v="0.10199999999999999"/>
    <n v="1.3613333333333318E-2"/>
  </r>
  <r>
    <n v="4"/>
    <x v="24"/>
    <n v="60"/>
    <n v="59.59"/>
    <n v="0.40999999999999659"/>
    <n v="0.187"/>
    <n v="9.9499999999999433E-3"/>
  </r>
  <r>
    <n v="5"/>
    <x v="24"/>
    <n v="0"/>
    <n v="0"/>
    <n v="0"/>
    <n v="0.10100000000000001"/>
    <e v="#DIV/0!"/>
  </r>
  <r>
    <n v="6"/>
    <x v="24"/>
    <n v="40"/>
    <n v="39.81"/>
    <n v="0.18999999999999773"/>
    <n v="0.104"/>
    <n v="7.3499999999999425E-3"/>
  </r>
  <r>
    <n v="7"/>
    <x v="24"/>
    <n v="0"/>
    <n v="0"/>
    <n v="0"/>
    <n v="0.14000000000000001"/>
    <e v="#DIV/0!"/>
  </r>
  <r>
    <n v="10"/>
    <x v="24"/>
    <n v="66.19"/>
    <n v="65.75"/>
    <n v="0.43999999999999773"/>
    <n v="0.192"/>
    <n v="9.5482701314397594E-3"/>
  </r>
  <r>
    <n v="8"/>
    <x v="24"/>
    <n v="60"/>
    <n v="59.67"/>
    <n v="0.32999999999999829"/>
    <n v="0.152"/>
    <n v="8.0333333333333055E-3"/>
  </r>
  <r>
    <n v="9"/>
    <x v="24"/>
    <n v="0"/>
    <n v="0"/>
    <n v="0"/>
    <n v="0.154"/>
    <e v="#DIV/0!"/>
  </r>
  <r>
    <n v="11"/>
    <x v="24"/>
    <n v="25.41"/>
    <n v="25.2"/>
    <n v="0.21000000000000085"/>
    <n v="0.108"/>
    <n v="1.2514757969303457E-2"/>
  </r>
  <r>
    <n v="12"/>
    <x v="24"/>
    <n v="0"/>
    <n v="0"/>
    <n v="0"/>
    <n v="0.10999999999999588"/>
    <e v="#DIV/0!"/>
  </r>
  <r>
    <n v="13"/>
    <x v="24"/>
    <n v="22.22"/>
    <n v="21.95"/>
    <n v="0.26999999999999957"/>
    <n v="0.122"/>
    <n v="1.7641764176417624E-2"/>
  </r>
  <r>
    <n v="14"/>
    <x v="24"/>
    <n v="0"/>
    <n v="0"/>
    <n v="0"/>
    <n v="0.161"/>
    <e v="#DIV/0!"/>
  </r>
  <r>
    <n v="15"/>
    <x v="24"/>
    <n v="0"/>
    <n v="0"/>
    <n v="0"/>
    <n v="0.14799999999999999"/>
    <e v="#DIV/0!"/>
  </r>
  <r>
    <n v="16"/>
    <x v="24"/>
    <n v="20"/>
    <n v="19.89"/>
    <n v="0.10999999999999943"/>
    <n v="0.152"/>
    <n v="1.3099999999999973E-2"/>
  </r>
  <r>
    <n v="17"/>
    <x v="24"/>
    <n v="23.43"/>
    <n v="23.11"/>
    <n v="0.32000000000000028"/>
    <n v="0.11"/>
    <n v="1.8352539479300056E-2"/>
  </r>
  <r>
    <n v="18"/>
    <x v="24"/>
    <n v="0"/>
    <n v="0"/>
    <n v="0"/>
    <n v="0.13900000000000001"/>
    <e v="#DIV/0!"/>
  </r>
  <r>
    <n v="19"/>
    <x v="24"/>
    <n v="60"/>
    <n v="59.6"/>
    <n v="0.39999999999999858"/>
    <n v="0.11"/>
    <n v="8.4999999999999763E-3"/>
  </r>
  <r>
    <n v="20"/>
    <x v="24"/>
    <n v="20"/>
    <n v="19.690000000000001"/>
    <n v="0.30999999999999872"/>
    <n v="0.04"/>
    <n v="1.7499999999999936E-2"/>
  </r>
  <r>
    <n v="21"/>
    <x v="24"/>
    <n v="0"/>
    <n v="0"/>
    <n v="0"/>
    <n v="0.14799999999999999"/>
    <e v="#DIV/0!"/>
  </r>
  <r>
    <n v="22"/>
    <x v="24"/>
    <n v="0"/>
    <n v="0"/>
    <n v="0"/>
    <n v="0.19400000000000001"/>
    <e v="#DIV/0!"/>
  </r>
  <r>
    <n v="23"/>
    <x v="24"/>
    <n v="40"/>
    <n v="39.770000000000003"/>
    <n v="0.22999999999999687"/>
    <n v="0.113"/>
    <n v="8.5749999999999212E-3"/>
  </r>
  <r>
    <n v="24"/>
    <x v="24"/>
    <n v="20.71"/>
    <n v="20.56"/>
    <n v="0.15000000000000213"/>
    <n v="0.122"/>
    <n v="1.3133751810719562E-2"/>
  </r>
  <r>
    <n v="25"/>
    <x v="24"/>
    <n v="20"/>
    <n v="19.899999999999999"/>
    <n v="0.10000000000000142"/>
    <n v="0.18"/>
    <n v="1.4000000000000071E-2"/>
  </r>
  <r>
    <n v="26"/>
    <x v="24"/>
    <n v="0"/>
    <n v="0"/>
    <n v="0"/>
    <n v="0.114"/>
    <e v="#DIV/0!"/>
  </r>
  <r>
    <n v="27"/>
    <x v="24"/>
    <n v="45.88"/>
    <n v="45.46"/>
    <n v="0.42000000000000171"/>
    <n v="0.17100000000000001"/>
    <n v="1.2881429816913726E-2"/>
  </r>
  <r>
    <n v="28"/>
    <x v="24"/>
    <n v="20"/>
    <n v="19.89"/>
    <n v="0.10999999999999943"/>
    <n v="0.17599999999999999"/>
    <n v="1.4299999999999971E-2"/>
  </r>
  <r>
    <n v="29"/>
    <x v="24"/>
    <n v="0"/>
    <n v="0"/>
    <n v="0"/>
    <n v="0.1"/>
    <e v="#DIV/0!"/>
  </r>
  <r>
    <n v="30"/>
    <x v="24"/>
    <n v="20"/>
    <n v="19.86"/>
    <n v="0.14000000000000057"/>
    <n v="0.13200000000000001"/>
    <n v="1.3600000000000029E-2"/>
  </r>
  <r>
    <n v="31"/>
    <x v="24"/>
    <n v="20"/>
    <n v="19.93"/>
    <n v="7.0000000000000284E-2"/>
    <n v="0.123"/>
    <n v="9.6500000000000145E-3"/>
  </r>
  <r>
    <n v="1"/>
    <x v="25"/>
    <n v="40"/>
    <n v="39.67"/>
    <n v="0.32999999999999829"/>
    <n v="0.64200000000000002"/>
    <n v="2.4299999999999957E-2"/>
  </r>
  <r>
    <n v="2"/>
    <x v="25"/>
    <n v="20"/>
    <n v="19.84"/>
    <n v="0.16000000000000014"/>
    <n v="0.32400000000000001"/>
    <n v="2.4200000000000006E-2"/>
  </r>
  <r>
    <n v="3"/>
    <x v="25"/>
    <n v="40"/>
    <n v="39.700000000000003"/>
    <n v="0.29999999999999716"/>
    <n v="0.92900000000000005"/>
    <n v="3.0724999999999929E-2"/>
  </r>
  <r>
    <n v="4"/>
    <x v="25"/>
    <n v="20"/>
    <n v="19.86"/>
    <n v="0.14000000000000057"/>
    <n v="0.41199999999999998"/>
    <n v="2.7600000000000024E-2"/>
  </r>
  <r>
    <n v="5"/>
    <x v="25"/>
    <n v="85"/>
    <n v="84.6"/>
    <n v="0.40000000000000568"/>
    <n v="0.91900000000000004"/>
    <n v="1.5517647058823596E-2"/>
  </r>
  <r>
    <n v="6"/>
    <x v="25"/>
    <n v="0"/>
    <n v="0"/>
    <n v="0"/>
    <n v="0.124"/>
    <e v="#DIV/0!"/>
  </r>
  <r>
    <n v="7"/>
    <x v="25"/>
    <n v="0"/>
    <n v="0"/>
    <n v="0"/>
    <n v="0.128"/>
    <e v="#DIV/0!"/>
  </r>
  <r>
    <n v="10"/>
    <x v="25"/>
    <n v="0"/>
    <n v="0"/>
    <n v="0"/>
    <n v="0.38700000000000001"/>
    <e v="#DIV/0!"/>
  </r>
  <r>
    <n v="8"/>
    <x v="25"/>
    <n v="0"/>
    <n v="0"/>
    <n v="0"/>
    <n v="0.19800000000000001"/>
    <e v="#DIV/0!"/>
  </r>
  <r>
    <n v="9"/>
    <x v="25"/>
    <n v="25"/>
    <n v="24.76"/>
    <n v="0.23999999999999844"/>
    <n v="0.436"/>
    <n v="2.7039999999999936E-2"/>
  </r>
  <r>
    <n v="11"/>
    <x v="25"/>
    <n v="0"/>
    <n v="0"/>
    <n v="0"/>
    <n v="0.246"/>
    <e v="#DIV/0!"/>
  </r>
  <r>
    <n v="12"/>
    <x v="25"/>
    <n v="20"/>
    <n v="19.82"/>
    <n v="0.17999999999999972"/>
    <n v="0.42199999999999999"/>
    <n v="3.0099999999999981E-2"/>
  </r>
  <r>
    <n v="13"/>
    <x v="25"/>
    <n v="0"/>
    <n v="0"/>
    <n v="0"/>
    <n v="0.495"/>
    <e v="#DIV/0!"/>
  </r>
  <r>
    <n v="14"/>
    <x v="25"/>
    <n v="26.73"/>
    <n v="26.49"/>
    <n v="0.24000000000000199"/>
    <n v="0.187"/>
    <n v="1.5974560419004937E-2"/>
  </r>
  <r>
    <n v="15"/>
    <x v="25"/>
    <n v="20"/>
    <n v="19.78"/>
    <n v="0.21999999999999886"/>
    <n v="0.127"/>
    <n v="1.7349999999999942E-2"/>
  </r>
  <r>
    <n v="16"/>
    <x v="25"/>
    <n v="0"/>
    <n v="0"/>
    <n v="0"/>
    <n v="0.155"/>
    <e v="#DIV/0!"/>
  </r>
  <r>
    <n v="17"/>
    <x v="25"/>
    <n v="0"/>
    <n v="0"/>
    <n v="0"/>
    <n v="0.253"/>
    <e v="#DIV/0!"/>
  </r>
  <r>
    <n v="18"/>
    <x v="25"/>
    <n v="40"/>
    <n v="39.81"/>
    <n v="0.18999999999999773"/>
    <n v="0.55700000000000005"/>
    <n v="1.8674999999999945E-2"/>
  </r>
  <r>
    <n v="19"/>
    <x v="25"/>
    <n v="20"/>
    <n v="19.7"/>
    <n v="0.30000000000000071"/>
    <n v="0.36499999999999999"/>
    <n v="3.3250000000000036E-2"/>
  </r>
  <r>
    <n v="20"/>
    <x v="25"/>
    <n v="20"/>
    <n v="19.739999999999998"/>
    <n v="0.26000000000000156"/>
    <n v="0.20599999999999999"/>
    <n v="2.3300000000000078E-2"/>
  </r>
  <r>
    <n v="21"/>
    <x v="25"/>
    <n v="0"/>
    <n v="0"/>
    <n v="0"/>
    <n v="0.20200000000000001"/>
    <e v="#DIV/0!"/>
  </r>
  <r>
    <n v="22"/>
    <x v="25"/>
    <n v="0"/>
    <n v="0"/>
    <n v="0"/>
    <n v="0.17199999999999999"/>
    <e v="#DIV/0!"/>
  </r>
  <r>
    <n v="23"/>
    <x v="25"/>
    <n v="20"/>
    <n v="19.809999999999999"/>
    <n v="0.19000000000000128"/>
    <n v="0.16200000000000001"/>
    <n v="1.7600000000000067E-2"/>
  </r>
  <r>
    <n v="24"/>
    <x v="25"/>
    <n v="0"/>
    <n v="0"/>
    <n v="0"/>
    <n v="0.503"/>
    <e v="#DIV/0!"/>
  </r>
  <r>
    <n v="25"/>
    <x v="25"/>
    <n v="0"/>
    <n v="0"/>
    <n v="0"/>
    <n v="0.14199999999999999"/>
    <e v="#DIV/0!"/>
  </r>
  <r>
    <n v="26"/>
    <x v="25"/>
    <n v="0"/>
    <n v="0"/>
    <n v="0"/>
    <n v="0.158"/>
    <e v="#DIV/0!"/>
  </r>
  <r>
    <n v="27"/>
    <x v="25"/>
    <n v="20"/>
    <n v="19.84"/>
    <n v="0.16000000000000014"/>
    <n v="0.17499999999999999"/>
    <n v="1.6750000000000008E-2"/>
  </r>
  <r>
    <n v="28"/>
    <x v="25"/>
    <n v="20"/>
    <n v="19.79"/>
    <n v="0.21000000000000085"/>
    <n v="0.17499999999999999"/>
    <n v="1.9250000000000041E-2"/>
  </r>
  <r>
    <n v="29"/>
    <x v="25"/>
    <n v="0"/>
    <n v="0"/>
    <n v="0"/>
    <n v="0.14499999999999999"/>
    <e v="#DIV/0!"/>
  </r>
  <r>
    <n v="30"/>
    <x v="25"/>
    <n v="0"/>
    <n v="0"/>
    <n v="0"/>
    <n v="0.33300000000000002"/>
    <e v="#DIV/0!"/>
  </r>
  <r>
    <n v="31"/>
    <x v="25"/>
    <n v="36.11"/>
    <n v="35.58"/>
    <n v="0.53000000000000114"/>
    <n v="0.42699999999999999"/>
    <n v="2.6502353918582144E-2"/>
  </r>
  <r>
    <n v="1"/>
    <x v="26"/>
    <n v="373"/>
    <n v="369.49"/>
    <n v="3.5099999999999909"/>
    <n v="0.36"/>
    <n v="1.0375335120643406E-2"/>
  </r>
  <r>
    <n v="2"/>
    <x v="26"/>
    <n v="25"/>
    <n v="24.8"/>
    <n v="0.19999999999999929"/>
    <n v="8.1000000000000003E-2"/>
    <n v="1.1239999999999972E-2"/>
  </r>
  <r>
    <n v="3"/>
    <x v="26"/>
    <n v="50"/>
    <n v="49.66"/>
    <n v="0.34000000000000341"/>
    <n v="0.09"/>
    <n v="8.6000000000000677E-3"/>
  </r>
  <r>
    <n v="4"/>
    <x v="26"/>
    <n v="0"/>
    <n v="0"/>
    <n v="0"/>
    <n v="0.06"/>
    <e v="#DIV/0!"/>
  </r>
  <r>
    <n v="5"/>
    <x v="26"/>
    <n v="0"/>
    <n v="0"/>
    <n v="0"/>
    <n v="7.5999999999999998E-2"/>
    <e v="#DIV/0!"/>
  </r>
  <r>
    <n v="6"/>
    <x v="26"/>
    <n v="0"/>
    <n v="0"/>
    <n v="0"/>
    <n v="8.5999999999999993E-2"/>
    <e v="#DIV/0!"/>
  </r>
  <r>
    <n v="7"/>
    <x v="26"/>
    <n v="23"/>
    <n v="23.04"/>
    <n v="-3.9999999999999147E-2"/>
    <n v="7.3999999999999996E-2"/>
    <n v="1.4782608695652543E-3"/>
  </r>
  <r>
    <n v="10"/>
    <x v="26"/>
    <n v="65"/>
    <n v="64.41"/>
    <n v="0.59000000000000341"/>
    <n v="8.7999999999999995E-2"/>
    <n v="1.0430769230769283E-2"/>
  </r>
  <r>
    <n v="8"/>
    <x v="26"/>
    <n v="300"/>
    <n v="296.97000000000003"/>
    <n v="3.0299999999999727"/>
    <n v="0.36599999999999999"/>
    <n v="1.131999999999991E-2"/>
  </r>
  <r>
    <n v="9"/>
    <x v="26"/>
    <n v="25"/>
    <n v="24.81"/>
    <n v="0.19000000000000128"/>
    <n v="6.4000000000000001E-2"/>
    <n v="1.0160000000000051E-2"/>
  </r>
  <r>
    <n v="11"/>
    <x v="26"/>
    <n v="0"/>
    <n v="0"/>
    <n v="0"/>
    <n v="6.0999999999999999E-2"/>
    <e v="#DIV/0!"/>
  </r>
  <r>
    <n v="12"/>
    <x v="26"/>
    <n v="60"/>
    <n v="59.43"/>
    <n v="0.57000000000000028"/>
    <n v="7.1999999999999995E-2"/>
    <n v="1.0700000000000005E-2"/>
  </r>
  <r>
    <n v="13"/>
    <x v="26"/>
    <n v="0"/>
    <n v="0"/>
    <n v="0"/>
    <n v="9.7000000000000003E-2"/>
    <e v="#DIV/0!"/>
  </r>
  <r>
    <n v="14"/>
    <x v="26"/>
    <n v="0"/>
    <n v="0"/>
    <n v="0"/>
    <n v="8.7999999999999995E-2"/>
    <e v="#DIV/0!"/>
  </r>
  <r>
    <n v="15"/>
    <x v="26"/>
    <n v="25.51"/>
    <n v="25.36"/>
    <n v="0.15000000000000213"/>
    <n v="5.2999999999999999E-2"/>
    <n v="7.9576636613093738E-3"/>
  </r>
  <r>
    <n v="16"/>
    <x v="26"/>
    <n v="126.59"/>
    <n v="125.38"/>
    <n v="1.210000000000008"/>
    <n v="0.14899999999999999"/>
    <n v="1.0735445137846654E-2"/>
  </r>
  <r>
    <n v="17"/>
    <x v="26"/>
    <n v="21.93"/>
    <n v="21.63"/>
    <n v="0.30000000000000071"/>
    <n v="7.0000000000000007E-2"/>
    <n v="1.6871865025079834E-2"/>
  </r>
  <r>
    <n v="18"/>
    <x v="26"/>
    <n v="20"/>
    <n v="19.829999999999998"/>
    <n v="0.17000000000000171"/>
    <n v="6.2E-2"/>
    <n v="1.1600000000000086E-2"/>
  </r>
  <r>
    <n v="19"/>
    <x v="26"/>
    <n v="0"/>
    <n v="0"/>
    <n v="0"/>
    <n v="8.2000000000000003E-2"/>
    <e v="#DIV/0!"/>
  </r>
  <r>
    <n v="20"/>
    <x v="26"/>
    <n v="0"/>
    <n v="0"/>
    <n v="0"/>
    <n v="5.5E-2"/>
    <e v="#DIV/0!"/>
  </r>
  <r>
    <n v="21"/>
    <x v="26"/>
    <n v="0"/>
    <n v="0"/>
    <n v="0"/>
    <n v="7.4999999999999997E-2"/>
    <e v="#DIV/0!"/>
  </r>
  <r>
    <n v="22"/>
    <x v="26"/>
    <n v="179.32"/>
    <n v="177.48"/>
    <n v="1.8400000000000034"/>
    <n v="0.152"/>
    <n v="1.1108632612090137E-2"/>
  </r>
  <r>
    <n v="23"/>
    <x v="26"/>
    <n v="60"/>
    <n v="59.47"/>
    <n v="0.53000000000000114"/>
    <n v="0.107"/>
    <n v="1.0616666666666686E-2"/>
  </r>
  <r>
    <n v="24"/>
    <x v="26"/>
    <n v="22.35"/>
    <n v="22.06"/>
    <n v="0.2900000000000027"/>
    <n v="9.2999999999999999E-2"/>
    <n v="1.7136465324384904E-2"/>
  </r>
  <r>
    <n v="25"/>
    <x v="26"/>
    <n v="18.87"/>
    <n v="18.57"/>
    <n v="0.30000000000000071"/>
    <n v="7.6999999999999999E-2"/>
    <n v="1.9978802331743546E-2"/>
  </r>
  <r>
    <n v="26"/>
    <x v="26"/>
    <n v="30.96"/>
    <n v="30.66"/>
    <n v="0.30000000000000071"/>
    <n v="6.7000000000000004E-2"/>
    <n v="1.1854005167958679E-2"/>
  </r>
  <r>
    <n v="27"/>
    <x v="26"/>
    <n v="0"/>
    <n v="0"/>
    <n v="0"/>
    <n v="8.2000000000000003E-2"/>
    <e v="#DIV/0!"/>
  </r>
  <r>
    <n v="28"/>
    <x v="26"/>
    <n v="0"/>
    <n v="0"/>
    <n v="0"/>
    <n v="0"/>
    <e v="#DIV/0!"/>
  </r>
  <r>
    <n v="29"/>
    <x v="26"/>
    <n v="313.94"/>
    <n v="310.63"/>
    <n v="3.3100000000000023"/>
    <n v="0.35099999999999998"/>
    <n v="1.1661463974007779E-2"/>
  </r>
  <r>
    <n v="30"/>
    <x v="26"/>
    <n v="0"/>
    <n v="0"/>
    <n v="0"/>
    <n v="0.27500000000000002"/>
    <e v="#DIV/0!"/>
  </r>
  <r>
    <n v="31"/>
    <x v="26"/>
    <n v="80"/>
    <n v="79.3"/>
    <n v="0.70000000000000284"/>
    <n v="0.10299999999999999"/>
    <n v="1.0037500000000036E-2"/>
  </r>
  <r>
    <n v="1"/>
    <x v="27"/>
    <n v="40"/>
    <n v="39.67"/>
    <n v="0.32999999999999829"/>
    <n v="0.22800000000000001"/>
    <n v="1.3949999999999957E-2"/>
  </r>
  <r>
    <n v="2"/>
    <x v="27"/>
    <n v="60"/>
    <n v="59.33"/>
    <n v="0.67000000000000171"/>
    <n v="0.14699999999999999"/>
    <n v="1.3616666666666695E-2"/>
  </r>
  <r>
    <n v="3"/>
    <x v="27"/>
    <n v="20"/>
    <n v="19.78"/>
    <n v="0.21999999999999886"/>
    <n v="0.106"/>
    <n v="1.6299999999999943E-2"/>
  </r>
  <r>
    <n v="4"/>
    <x v="27"/>
    <n v="25"/>
    <n v="24.78"/>
    <n v="0.21999999999999886"/>
    <n v="0.20699999999999999"/>
    <n v="1.7079999999999953E-2"/>
  </r>
  <r>
    <n v="5"/>
    <x v="27"/>
    <n v="40"/>
    <n v="39.71"/>
    <n v="0.28999999999999915"/>
    <n v="0.18"/>
    <n v="1.1749999999999979E-2"/>
  </r>
  <r>
    <n v="6"/>
    <x v="27"/>
    <n v="20"/>
    <n v="19.809999999999999"/>
    <n v="0.19000000000000128"/>
    <n v="0.23300000000000001"/>
    <n v="2.1150000000000065E-2"/>
  </r>
  <r>
    <n v="7"/>
    <x v="27"/>
    <n v="45"/>
    <n v="44.51"/>
    <n v="0.49000000000000199"/>
    <n v="0.16900000000000001"/>
    <n v="1.4644444444444489E-2"/>
  </r>
  <r>
    <n v="10"/>
    <x v="27"/>
    <n v="45"/>
    <n v="44.56"/>
    <n v="0.43999999999999773"/>
    <n v="0.20100000000000001"/>
    <n v="1.4244444444444395E-2"/>
  </r>
  <r>
    <n v="8"/>
    <x v="27"/>
    <n v="0"/>
    <n v="0"/>
    <n v="0"/>
    <n v="0.19600000000000001"/>
    <e v="#DIV/0!"/>
  </r>
  <r>
    <n v="9"/>
    <x v="27"/>
    <n v="25"/>
    <n v="24.74"/>
    <n v="0.26000000000000156"/>
    <n v="0.12"/>
    <n v="1.5200000000000062E-2"/>
  </r>
  <r>
    <n v="11"/>
    <x v="27"/>
    <n v="20.22"/>
    <n v="20"/>
    <n v="0.21999999999999886"/>
    <n v="0.186"/>
    <n v="2.007912957467848E-2"/>
  </r>
  <r>
    <n v="12"/>
    <x v="27"/>
    <n v="20"/>
    <n v="19.829999999999998"/>
    <n v="0.17000000000000171"/>
    <n v="0.14399999999999999"/>
    <n v="1.5700000000000085E-2"/>
  </r>
  <r>
    <n v="13"/>
    <x v="27"/>
    <n v="20"/>
    <n v="19.829999999999998"/>
    <n v="0.17000000000000171"/>
    <n v="0.121"/>
    <n v="1.4550000000000085E-2"/>
  </r>
  <r>
    <n v="14"/>
    <x v="27"/>
    <n v="0"/>
    <n v="0"/>
    <n v="0"/>
    <n v="0.16900000000000001"/>
    <e v="#DIV/0!"/>
  </r>
  <r>
    <n v="15"/>
    <x v="27"/>
    <n v="0"/>
    <n v="0"/>
    <n v="0"/>
    <n v="0.156"/>
    <e v="#DIV/0!"/>
  </r>
  <r>
    <n v="16"/>
    <x v="27"/>
    <n v="107.16"/>
    <n v="105.79"/>
    <n v="1.3699999999999903"/>
    <n v="0.112"/>
    <n v="1.3829787234042464E-2"/>
  </r>
  <r>
    <n v="17"/>
    <x v="27"/>
    <n v="0"/>
    <n v="0"/>
    <n v="0"/>
    <n v="0.125"/>
    <e v="#DIV/0!"/>
  </r>
  <r>
    <n v="18"/>
    <x v="27"/>
    <n v="40"/>
    <n v="39.380000000000003"/>
    <n v="0.61999999999999744"/>
    <n v="0.13300000000000001"/>
    <n v="1.8824999999999936E-2"/>
  </r>
  <r>
    <n v="19"/>
    <x v="27"/>
    <n v="60"/>
    <n v="59.31"/>
    <n v="0.68999999999999773"/>
    <n v="0.105"/>
    <n v="1.3249999999999961E-2"/>
  </r>
  <r>
    <n v="20"/>
    <x v="27"/>
    <n v="20"/>
    <n v="19.78"/>
    <n v="0.21999999999999886"/>
    <n v="0.17699999999999999"/>
    <n v="1.9849999999999944E-2"/>
  </r>
  <r>
    <n v="21"/>
    <x v="27"/>
    <n v="20"/>
    <n v="19.75"/>
    <n v="0.25"/>
    <n v="0.19700000000000001"/>
    <n v="2.2350000000000002E-2"/>
  </r>
  <r>
    <n v="22"/>
    <x v="27"/>
    <n v="40"/>
    <n v="39.49"/>
    <n v="0.50999999999999801"/>
    <n v="0.20399999999999999"/>
    <n v="1.7849999999999949E-2"/>
  </r>
  <r>
    <n v="23"/>
    <x v="27"/>
    <n v="0"/>
    <n v="0"/>
    <n v="0"/>
    <n v="0.14399999999999999"/>
    <e v="#DIV/0!"/>
  </r>
  <r>
    <n v="24"/>
    <x v="27"/>
    <n v="20"/>
    <n v="19.59"/>
    <n v="0.41000000000000014"/>
    <n v="0.20100000000000001"/>
    <n v="3.0550000000000011E-2"/>
  </r>
  <r>
    <n v="25"/>
    <x v="27"/>
    <n v="40"/>
    <n v="39.46"/>
    <n v="0.53999999999999915"/>
    <n v="0.20699999999999999"/>
    <n v="1.8674999999999976E-2"/>
  </r>
  <r>
    <n v="26"/>
    <x v="27"/>
    <n v="104.14"/>
    <n v="103.05"/>
    <n v="1.0900000000000034"/>
    <n v="0.20300000000000001"/>
    <n v="1.24159784904936E-2"/>
  </r>
  <r>
    <n v="27"/>
    <x v="27"/>
    <n v="20"/>
    <n v="19.59"/>
    <n v="0.41000000000000014"/>
    <n v="0.191"/>
    <n v="3.0050000000000011E-2"/>
  </r>
  <r>
    <n v="28"/>
    <x v="27"/>
    <n v="40"/>
    <n v="39.53"/>
    <n v="0.46999999999999886"/>
    <n v="0.216"/>
    <n v="1.7149999999999971E-2"/>
  </r>
  <r>
    <n v="29"/>
    <x v="27"/>
    <n v="20"/>
    <n v="19.68"/>
    <n v="0.32000000000000028"/>
    <n v="0.17799999999999999"/>
    <n v="2.4900000000000012E-2"/>
  </r>
  <r>
    <n v="30"/>
    <x v="27"/>
    <n v="40"/>
    <n v="39.659999999999997"/>
    <n v="0.34000000000000341"/>
    <n v="0.216"/>
    <n v="1.3900000000000084E-2"/>
  </r>
  <r>
    <n v="31"/>
    <x v="27"/>
    <n v="0"/>
    <n v="0"/>
    <n v="0"/>
    <n v="0.18099999999999999"/>
    <e v="#DIV/0!"/>
  </r>
  <r>
    <n v="1"/>
    <x v="28"/>
    <n v="12.7"/>
    <n v="12.65"/>
    <n v="4.9999999999998934E-2"/>
    <n v="0.17"/>
    <n v="1.7322834645669208E-2"/>
  </r>
  <r>
    <n v="2"/>
    <x v="28"/>
    <n v="11.13"/>
    <n v="11.06"/>
    <n v="7.0000000000000284E-2"/>
    <n v="9.5000000000000001E-2"/>
    <n v="1.4824797843665792E-2"/>
  </r>
  <r>
    <n v="3"/>
    <x v="28"/>
    <n v="7.81"/>
    <n v="7.78"/>
    <n v="2.9999999999999361E-2"/>
    <n v="0.115"/>
    <n v="1.8565941101152287E-2"/>
  </r>
  <r>
    <n v="4"/>
    <x v="28"/>
    <n v="25.11"/>
    <n v="24.94"/>
    <n v="0.16999999999999815"/>
    <n v="6.5000000000000002E-2"/>
    <n v="9.3588211867781032E-3"/>
  </r>
  <r>
    <n v="5"/>
    <x v="28"/>
    <n v="20.149999999999999"/>
    <n v="20.100000000000001"/>
    <n v="4.9999999999997158E-2"/>
    <n v="0.16"/>
    <n v="1.0421836228287702E-2"/>
  </r>
  <r>
    <n v="6"/>
    <x v="28"/>
    <n v="6.15"/>
    <n v="6.1"/>
    <n v="5.0000000000000711E-2"/>
    <n v="0.1"/>
    <n v="2.439024390243914E-2"/>
  </r>
  <r>
    <n v="7"/>
    <x v="28"/>
    <n v="0"/>
    <n v="0"/>
    <n v="0"/>
    <n v="0.19500000000000001"/>
    <e v="#DIV/0!"/>
  </r>
  <r>
    <n v="10"/>
    <x v="28"/>
    <n v="9.7899999999999991"/>
    <n v="9.74"/>
    <n v="4.9999999999998934E-2"/>
    <n v="2.5000000000000001E-2"/>
    <n v="7.6608784473951924E-3"/>
  </r>
  <r>
    <n v="8"/>
    <x v="28"/>
    <n v="24.355"/>
    <n v="24.185000000000002"/>
    <n v="0.16999999999999815"/>
    <n v="0"/>
    <n v="6.9800862245944627E-3"/>
  </r>
  <r>
    <n v="9"/>
    <x v="28"/>
    <n v="19.899999999999999"/>
    <n v="19.850000000000001"/>
    <n v="4.9999999999997158E-2"/>
    <n v="0.12"/>
    <n v="8.5427135678390539E-3"/>
  </r>
  <r>
    <n v="11"/>
    <x v="28"/>
    <n v="26.45"/>
    <n v="26.25"/>
    <n v="0.19999999999999929"/>
    <n v="0.14499999999999999"/>
    <n v="1.304347826086954E-2"/>
  </r>
  <r>
    <n v="12"/>
    <x v="28"/>
    <n v="0"/>
    <n v="0"/>
    <n v="0"/>
    <n v="5.625"/>
    <e v="#DIV/0!"/>
  </r>
  <r>
    <n v="13"/>
    <x v="28"/>
    <n v="307.55"/>
    <n v="307.55"/>
    <n v="0"/>
    <n v="0.28999999999999998"/>
    <n v="9.4293610794992679E-4"/>
  </r>
  <r>
    <n v="14"/>
    <x v="28"/>
    <n v="0"/>
    <n v="0"/>
    <n v="0"/>
    <n v="0.29499999999999998"/>
    <e v="#DIV/0!"/>
  </r>
  <r>
    <n v="15"/>
    <x v="28"/>
    <n v="6.14"/>
    <n v="6.12"/>
    <n v="1.9999999999999574E-2"/>
    <n v="0.14000000000000001"/>
    <n v="2.6058631921824039E-2"/>
  </r>
  <r>
    <n v="16"/>
    <x v="28"/>
    <n v="15.5"/>
    <n v="15.4"/>
    <n v="9.9999999999999645E-2"/>
    <n v="0.23499999999999999"/>
    <n v="2.1612903225806428E-2"/>
  </r>
  <r>
    <n v="17"/>
    <x v="28"/>
    <n v="0"/>
    <n v="0"/>
    <n v="0"/>
    <n v="0.41499999999999998"/>
    <e v="#DIV/0!"/>
  </r>
  <r>
    <n v="18"/>
    <x v="28"/>
    <n v="0"/>
    <n v="0"/>
    <n v="0"/>
    <n v="0.12999999999999856"/>
    <e v="#DIV/0!"/>
  </r>
  <r>
    <n v="19"/>
    <x v="28"/>
    <n v="140"/>
    <n v="139.55000000000001"/>
    <n v="0.44999999999998863"/>
    <n v="0.375"/>
    <n v="5.8928571428570617E-3"/>
  </r>
  <r>
    <n v="20"/>
    <x v="28"/>
    <n v="0"/>
    <n v="0"/>
    <n v="0"/>
    <n v="0.30499999999999999"/>
    <e v="#DIV/0!"/>
  </r>
  <r>
    <n v="21"/>
    <x v="28"/>
    <n v="20"/>
    <n v="20"/>
    <n v="0"/>
    <n v="0.15"/>
    <n v="7.4999999999999997E-3"/>
  </r>
  <r>
    <n v="22"/>
    <x v="28"/>
    <n v="0"/>
    <n v="0"/>
    <n v="0"/>
    <n v="0.9599999999999973"/>
    <e v="#DIV/0!"/>
  </r>
  <r>
    <n v="23"/>
    <x v="28"/>
    <n v="0"/>
    <n v="0"/>
    <n v="0"/>
    <n v="0"/>
    <e v="#DIV/0!"/>
  </r>
  <r>
    <n v="24"/>
    <x v="28"/>
    <n v="0"/>
    <n v="0"/>
    <n v="0"/>
    <n v="0.245"/>
    <e v="#DIV/0!"/>
  </r>
  <r>
    <n v="25"/>
    <x v="28"/>
    <n v="0"/>
    <n v="0"/>
    <n v="0"/>
    <n v="0.1"/>
    <e v="#DIV/0!"/>
  </r>
  <r>
    <n v="26"/>
    <x v="28"/>
    <n v="120"/>
    <n v="119.7"/>
    <n v="0.29999999999999716"/>
    <n v="7.4999999999999997E-2"/>
    <n v="3.1249999999999763E-3"/>
  </r>
  <r>
    <n v="27"/>
    <x v="28"/>
    <n v="0"/>
    <n v="0"/>
    <n v="0"/>
    <n v="0.34499999999999997"/>
    <e v="#DIV/0!"/>
  </r>
  <r>
    <n v="28"/>
    <x v="28"/>
    <n v="20"/>
    <n v="20.05"/>
    <n v="-5.0000000000000711E-2"/>
    <n v="0.05"/>
    <n v="-3.5388358909926862E-17"/>
  </r>
  <r>
    <n v="29"/>
    <x v="28"/>
    <n v="20"/>
    <n v="20.05"/>
    <n v="-5.0000000000000711E-2"/>
    <n v="0.12"/>
    <n v="3.4999999999999641E-3"/>
  </r>
  <r>
    <n v="30"/>
    <x v="28"/>
    <n v="0"/>
    <n v="0"/>
    <n v="0"/>
    <n v="0.08"/>
    <e v="#DIV/0!"/>
  </r>
  <r>
    <n v="31"/>
    <x v="28"/>
    <n v="59.9"/>
    <n v="59.75"/>
    <n v="0.14999999999999858"/>
    <n v="0.34499999999999997"/>
    <n v="8.2637729549248501E-3"/>
  </r>
  <r>
    <n v="1"/>
    <x v="29"/>
    <n v="80"/>
    <n v="79.680000000000007"/>
    <n v="0.31999999999999318"/>
    <n v="1.095"/>
    <n v="1.7687499999999915E-2"/>
  </r>
  <r>
    <n v="2"/>
    <x v="29"/>
    <n v="120"/>
    <n v="119.69"/>
    <n v="0.31000000000000227"/>
    <n v="1.714"/>
    <n v="1.6866666666666686E-2"/>
  </r>
  <r>
    <n v="3"/>
    <x v="29"/>
    <n v="220"/>
    <n v="219.51"/>
    <n v="0.49000000000000909"/>
    <n v="3.2879999999999998"/>
    <n v="1.7172727272727312E-2"/>
  </r>
  <r>
    <n v="4"/>
    <x v="29"/>
    <n v="100"/>
    <n v="99.77"/>
    <n v="0.23000000000000398"/>
    <n v="1.3819999999999999"/>
    <n v="1.6120000000000037E-2"/>
  </r>
  <r>
    <n v="5"/>
    <x v="29"/>
    <n v="60"/>
    <n v="59.92"/>
    <n v="7.9999999999998295E-2"/>
    <n v="0.86799999999999999"/>
    <n v="1.579999999999997E-2"/>
  </r>
  <r>
    <n v="6"/>
    <x v="29"/>
    <n v="20"/>
    <n v="19.97"/>
    <n v="3.0000000000001137E-2"/>
    <n v="0.28199999999999997"/>
    <n v="1.5600000000000055E-2"/>
  </r>
  <r>
    <n v="7"/>
    <x v="29"/>
    <n v="40"/>
    <n v="39.880000000000003"/>
    <n v="0.11999999999999744"/>
    <n v="0.54100000000000004"/>
    <n v="1.6524999999999936E-2"/>
  </r>
  <r>
    <n v="10"/>
    <x v="29"/>
    <n v="140"/>
    <n v="139.63"/>
    <n v="0.37000000000000455"/>
    <n v="1.9610000000000001"/>
    <n v="1.6650000000000036E-2"/>
  </r>
  <r>
    <n v="8"/>
    <x v="29"/>
    <n v="40"/>
    <n v="39.86"/>
    <n v="0.14000000000000057"/>
    <n v="0.497"/>
    <n v="1.5925000000000016E-2"/>
  </r>
  <r>
    <n v="9"/>
    <x v="29"/>
    <n v="60"/>
    <n v="59.77"/>
    <n v="0.22999999999999687"/>
    <n v="0.67"/>
    <n v="1.4999999999999949E-2"/>
  </r>
  <r>
    <n v="11"/>
    <x v="29"/>
    <n v="40"/>
    <n v="39.82"/>
    <n v="0.17999999999999972"/>
    <n v="0.34699999999999998"/>
    <n v="1.3174999999999992E-2"/>
  </r>
  <r>
    <n v="12"/>
    <x v="29"/>
    <n v="60"/>
    <n v="59.83"/>
    <n v="0.17000000000000171"/>
    <n v="0.65400000000000003"/>
    <n v="1.3733333333333363E-2"/>
  </r>
  <r>
    <n v="13"/>
    <x v="29"/>
    <n v="0"/>
    <n v="0"/>
    <n v="0"/>
    <n v="0"/>
    <e v="#DIV/0!"/>
  </r>
  <r>
    <n v="14"/>
    <x v="29"/>
    <n v="0"/>
    <n v="0"/>
    <n v="0"/>
    <n v="0"/>
    <e v="#DIV/0!"/>
  </r>
  <r>
    <n v="15"/>
    <x v="29"/>
    <n v="20"/>
    <n v="19.940000000000001"/>
    <n v="5.9999999999998721E-2"/>
    <n v="0.252"/>
    <n v="1.5599999999999937E-2"/>
  </r>
  <r>
    <n v="16"/>
    <x v="29"/>
    <n v="20"/>
    <n v="19.91"/>
    <n v="8.9999999999999858E-2"/>
    <n v="0.21199999999999999"/>
    <n v="1.5099999999999992E-2"/>
  </r>
  <r>
    <n v="17"/>
    <x v="29"/>
    <n v="25.93"/>
    <n v="25.86"/>
    <n v="7.0000000000000284E-2"/>
    <n v="0.34799999999999998"/>
    <n v="1.6120323949093723E-2"/>
  </r>
  <r>
    <n v="18"/>
    <x v="29"/>
    <n v="20"/>
    <n v="19.97"/>
    <n v="3.0000000000001137E-2"/>
    <n v="0.28000000000000003"/>
    <n v="1.5500000000000059E-2"/>
  </r>
  <r>
    <n v="19"/>
    <x v="29"/>
    <n v="69.31"/>
    <n v="69.14"/>
    <n v="0.17000000000000171"/>
    <n v="0.84"/>
    <n v="1.4572211802048788E-2"/>
  </r>
  <r>
    <n v="20"/>
    <x v="29"/>
    <n v="28.48"/>
    <n v="28.33"/>
    <n v="0.15000000000000213"/>
    <n v="0.32800000000000001"/>
    <n v="1.6783707865168616E-2"/>
  </r>
  <r>
    <n v="21"/>
    <x v="29"/>
    <n v="26.15"/>
    <n v="26"/>
    <n v="0.14999999999999858"/>
    <n v="0.33600000000000002"/>
    <n v="1.8585086042064956E-2"/>
  </r>
  <r>
    <n v="22"/>
    <x v="29"/>
    <n v="0"/>
    <n v="0"/>
    <n v="0"/>
    <n v="0"/>
    <e v="#DIV/0!"/>
  </r>
  <r>
    <n v="23"/>
    <x v="29"/>
    <n v="29.77"/>
    <n v="29.6"/>
    <n v="0.16999999999999815"/>
    <n v="0.30299999999999999"/>
    <n v="1.5888478333893119E-2"/>
  </r>
  <r>
    <n v="24"/>
    <x v="29"/>
    <n v="26.69"/>
    <n v="26.58"/>
    <n v="0.11000000000000298"/>
    <n v="0.34499999999999997"/>
    <n v="1.7047583364556123E-2"/>
  </r>
  <r>
    <n v="25"/>
    <x v="29"/>
    <n v="60"/>
    <n v="59.78"/>
    <n v="0.21999999999999886"/>
    <n v="0.97699999999999998"/>
    <n v="1.9949999999999978E-2"/>
  </r>
  <r>
    <n v="26"/>
    <x v="29"/>
    <n v="110.38"/>
    <n v="109.99"/>
    <n v="0.39000000000000057"/>
    <n v="1.8129999999999999"/>
    <n v="1.9958325783656462E-2"/>
  </r>
  <r>
    <n v="27"/>
    <x v="29"/>
    <n v="44.56"/>
    <n v="44.43"/>
    <n v="0.13000000000000256"/>
    <n v="0.629"/>
    <n v="1.7033213644524293E-2"/>
  </r>
  <r>
    <n v="28"/>
    <x v="29"/>
    <n v="44.56"/>
    <n v="44.43"/>
    <n v="0.13000000000000256"/>
    <n v="0.629"/>
    <n v="1.7033213644524293E-2"/>
  </r>
  <r>
    <n v="29"/>
    <x v="29"/>
    <n v="48.76"/>
    <n v="48.6"/>
    <n v="0.15999999999999659"/>
    <n v="0.76"/>
    <n v="1.8867924528301817E-2"/>
  </r>
  <r>
    <n v="30"/>
    <x v="29"/>
    <n v="20"/>
    <n v="19.899999999999999"/>
    <n v="0.10000000000000142"/>
    <n v="0.28399999999999997"/>
    <n v="1.9200000000000071E-2"/>
  </r>
  <r>
    <n v="31"/>
    <x v="29"/>
    <n v="28.54"/>
    <n v="28.49"/>
    <n v="5.0000000000000711E-2"/>
    <n v="0.45800000000000002"/>
    <n v="1.7799579537491266E-2"/>
  </r>
  <r>
    <n v="1"/>
    <x v="30"/>
    <n v="20"/>
    <n v="19.760000000000002"/>
    <n v="0.23999999999999844"/>
    <n v="0.26600000000000001"/>
    <n v="2.5299999999999923E-2"/>
  </r>
  <r>
    <n v="2"/>
    <x v="30"/>
    <n v="0"/>
    <n v="0"/>
    <n v="0"/>
    <n v="0.629"/>
    <e v="#DIV/0!"/>
  </r>
  <r>
    <n v="3"/>
    <x v="30"/>
    <n v="60"/>
    <n v="59.07"/>
    <n v="0.92999999999999972"/>
    <n v="0.78400000000000003"/>
    <n v="2.8566666666666664E-2"/>
  </r>
  <r>
    <n v="4"/>
    <x v="30"/>
    <n v="40"/>
    <n v="39.36"/>
    <n v="0.64000000000000057"/>
    <n v="0.748"/>
    <n v="3.4700000000000016E-2"/>
  </r>
  <r>
    <n v="5"/>
    <x v="30"/>
    <n v="40"/>
    <n v="39.18"/>
    <n v="0.82000000000000028"/>
    <n v="0.45700000000000002"/>
    <n v="3.1925000000000009E-2"/>
  </r>
  <r>
    <n v="6"/>
    <x v="30"/>
    <n v="20"/>
    <n v="19.64"/>
    <n v="0.35999999999999943"/>
    <n v="1.7000000000000001E-2"/>
    <n v="1.8849999999999971E-2"/>
  </r>
  <r>
    <n v="7"/>
    <x v="30"/>
    <n v="20"/>
    <n v="19.52"/>
    <n v="0.48000000000000043"/>
    <n v="7.8E-2"/>
    <n v="2.7900000000000019E-2"/>
  </r>
  <r>
    <n v="10"/>
    <x v="30"/>
    <n v="20"/>
    <n v="19.399999999999999"/>
    <n v="0.60000000000000142"/>
    <n v="6.8000000000000005E-2"/>
    <n v="3.3400000000000075E-2"/>
  </r>
  <r>
    <n v="8"/>
    <x v="30"/>
    <n v="20"/>
    <n v="19.82"/>
    <n v="0.17999999999999972"/>
    <n v="0.47699999999999998"/>
    <n v="3.2849999999999983E-2"/>
  </r>
  <r>
    <n v="9"/>
    <x v="30"/>
    <n v="60.93"/>
    <n v="59.6"/>
    <n v="1.3299999999999983"/>
    <n v="0.82499999999999996"/>
    <n v="3.5368455604792362E-2"/>
  </r>
  <r>
    <n v="11"/>
    <x v="30"/>
    <n v="0"/>
    <n v="0"/>
    <n v="0"/>
    <n v="0.38"/>
    <e v="#DIV/0!"/>
  </r>
  <r>
    <n v="12"/>
    <x v="30"/>
    <n v="0"/>
    <n v="0"/>
    <n v="0"/>
    <n v="0.28299999999999997"/>
    <e v="#DIV/0!"/>
  </r>
  <r>
    <n v="13"/>
    <x v="30"/>
    <n v="20"/>
    <n v="19.87"/>
    <n v="0.12999999999999901"/>
    <n v="0.36699999999999999"/>
    <n v="2.4849999999999949E-2"/>
  </r>
  <r>
    <n v="14"/>
    <x v="30"/>
    <n v="121.886"/>
    <n v="116.55"/>
    <n v="5.3359999999999985"/>
    <n v="4.4999999999999998E-2"/>
    <n v="4.4147810248921109E-2"/>
  </r>
  <r>
    <n v="15"/>
    <x v="30"/>
    <n v="19.600000000000001"/>
    <n v="19.38"/>
    <n v="0.22000000000000242"/>
    <n v="0.28999999999999998"/>
    <n v="2.6020408163265431E-2"/>
  </r>
  <r>
    <n v="16"/>
    <x v="30"/>
    <n v="27.228000000000002"/>
    <n v="26.11"/>
    <n v="1.1180000000000021"/>
    <n v="8.0000000000000002E-3"/>
    <n v="4.1354488027031074E-2"/>
  </r>
  <r>
    <n v="17"/>
    <x v="30"/>
    <n v="0"/>
    <n v="0"/>
    <n v="0"/>
    <n v="0.42499999999999999"/>
    <e v="#DIV/0!"/>
  </r>
  <r>
    <n v="18"/>
    <x v="30"/>
    <n v="20"/>
    <n v="19.350000000000001"/>
    <n v="0.64999999999999858"/>
    <n v="2.7E-2"/>
    <n v="3.3849999999999929E-2"/>
  </r>
  <r>
    <n v="19"/>
    <x v="30"/>
    <n v="153.952"/>
    <n v="149.05000000000001"/>
    <n v="4.9019999999999868"/>
    <n v="2.9000000000000001E-2"/>
    <n v="3.2029463728954391E-2"/>
  </r>
  <r>
    <n v="20"/>
    <x v="30"/>
    <n v="0"/>
    <n v="0"/>
    <n v="0"/>
    <n v="4.2080000000000002"/>
    <e v="#DIV/0!"/>
  </r>
  <r>
    <n v="21"/>
    <x v="30"/>
    <n v="0"/>
    <n v="0"/>
    <n v="0"/>
    <n v="0.28299999999999997"/>
    <e v="#DIV/0!"/>
  </r>
  <r>
    <n v="22"/>
    <x v="30"/>
    <n v="130.24"/>
    <n v="127.27"/>
    <n v="2.9700000000000131"/>
    <n v="0.41299999999999998"/>
    <n v="2.5975122850122948E-2"/>
  </r>
  <r>
    <n v="23"/>
    <x v="30"/>
    <n v="0"/>
    <n v="0"/>
    <n v="0"/>
    <n v="0.124"/>
    <e v="#DIV/0!"/>
  </r>
  <r>
    <n v="24"/>
    <x v="30"/>
    <n v="0"/>
    <n v="0"/>
    <n v="0"/>
    <n v="0.40699999999999997"/>
    <e v="#DIV/0!"/>
  </r>
  <r>
    <n v="25"/>
    <x v="30"/>
    <n v="0"/>
    <n v="0"/>
    <n v="0"/>
    <n v="0.30299999999999999"/>
    <e v="#DIV/0!"/>
  </r>
  <r>
    <n v="26"/>
    <x v="30"/>
    <n v="116.35599999999999"/>
    <n v="113.97"/>
    <n v="2.3859999999999957"/>
    <n v="0.98199999999999998"/>
    <n v="2.8945649558252226E-2"/>
  </r>
  <r>
    <n v="27"/>
    <x v="30"/>
    <n v="80"/>
    <n v="78.260000000000005"/>
    <n v="1.7399999999999949"/>
    <n v="0.127"/>
    <n v="2.3337499999999935E-2"/>
  </r>
  <r>
    <n v="28"/>
    <x v="30"/>
    <n v="120"/>
    <n v="117.9"/>
    <n v="2.0999999999999943"/>
    <n v="0.17799999999999999"/>
    <n v="1.8983333333333286E-2"/>
  </r>
  <r>
    <n v="29"/>
    <x v="30"/>
    <n v="0"/>
    <n v="0"/>
    <n v="0"/>
    <n v="0.21299999999999999"/>
    <e v="#DIV/0!"/>
  </r>
  <r>
    <n v="30"/>
    <x v="30"/>
    <n v="20"/>
    <n v="19.47"/>
    <n v="0.53000000000000114"/>
    <n v="0.18099999999999999"/>
    <n v="3.5550000000000061E-2"/>
  </r>
  <r>
    <n v="31"/>
    <x v="30"/>
    <n v="20"/>
    <n v="19.63"/>
    <n v="0.37000000000000099"/>
    <n v="9.2999999999999999E-2"/>
    <n v="2.3150000000000049E-2"/>
  </r>
  <r>
    <n v="1"/>
    <x v="31"/>
    <n v="0"/>
    <n v="0"/>
    <n v="0"/>
    <n v="0"/>
    <e v="#DIV/0!"/>
  </r>
  <r>
    <n v="2"/>
    <x v="31"/>
    <n v="20"/>
    <n v="19.760000000000002"/>
    <n v="0.23999999999999844"/>
    <n v="0.18099999999999999"/>
    <n v="2.1049999999999923E-2"/>
  </r>
  <r>
    <n v="3"/>
    <x v="31"/>
    <n v="160"/>
    <n v="157.30000000000001"/>
    <n v="2.6999999999999886"/>
    <n v="0.372"/>
    <n v="1.9199999999999929E-2"/>
  </r>
  <r>
    <n v="4"/>
    <x v="31"/>
    <n v="40"/>
    <n v="39.76"/>
    <n v="0.24000000000000199"/>
    <n v="0.78700000000000003"/>
    <n v="2.5675000000000048E-2"/>
  </r>
  <r>
    <n v="5"/>
    <x v="31"/>
    <n v="60"/>
    <n v="58.15"/>
    <n v="1.8500000000000014"/>
    <n v="0.17699999999999999"/>
    <n v="3.378333333333336E-2"/>
  </r>
  <r>
    <n v="6"/>
    <x v="31"/>
    <n v="0"/>
    <n v="0"/>
    <n v="0"/>
    <n v="0.25"/>
    <e v="#DIV/0!"/>
  </r>
  <r>
    <n v="7"/>
    <x v="31"/>
    <n v="60"/>
    <n v="59.64"/>
    <n v="0.35999999999999943"/>
    <n v="0.48599999999999999"/>
    <n v="1.4099999999999991E-2"/>
  </r>
  <r>
    <n v="10"/>
    <x v="31"/>
    <n v="40"/>
    <n v="38.950000000000003"/>
    <n v="1.0499999999999972"/>
    <n v="0.34100000000000003"/>
    <n v="3.4774999999999931E-2"/>
  </r>
  <r>
    <n v="8"/>
    <x v="31"/>
    <n v="20"/>
    <n v="19.37"/>
    <n v="0.62999999999999901"/>
    <n v="0.313"/>
    <n v="4.7149999999999949E-2"/>
  </r>
  <r>
    <n v="9"/>
    <x v="31"/>
    <n v="20"/>
    <n v="19.420000000000002"/>
    <n v="0.57999999999999829"/>
    <n v="0.443"/>
    <n v="5.1149999999999918E-2"/>
  </r>
  <r>
    <n v="11"/>
    <x v="31"/>
    <n v="40"/>
    <n v="39.21"/>
    <n v="0.78999999999999915"/>
    <n v="0.36199999999999999"/>
    <n v="2.8799999999999982E-2"/>
  </r>
  <r>
    <n v="12"/>
    <x v="31"/>
    <n v="24.56"/>
    <n v="23.65"/>
    <n v="0.91000000000000014"/>
    <n v="0.42299999999999999"/>
    <n v="5.4275244299674279E-2"/>
  </r>
  <r>
    <n v="13"/>
    <x v="31"/>
    <n v="20"/>
    <n v="19.78"/>
    <n v="0.21999999999999886"/>
    <n v="0.255"/>
    <n v="2.3749999999999945E-2"/>
  </r>
  <r>
    <n v="14"/>
    <x v="31"/>
    <n v="0"/>
    <n v="0"/>
    <n v="0"/>
    <n v="0.155"/>
    <e v="#DIV/0!"/>
  </r>
  <r>
    <n v="15"/>
    <x v="31"/>
    <n v="26.78"/>
    <n v="26.42"/>
    <n v="0.35999999999999943"/>
    <n v="0.28899999999999998"/>
    <n v="2.423450336071693E-2"/>
  </r>
  <r>
    <n v="16"/>
    <x v="31"/>
    <n v="60"/>
    <n v="59.2"/>
    <n v="0.79999999999999716"/>
    <n v="0.29499999999999998"/>
    <n v="1.824999999999995E-2"/>
  </r>
  <r>
    <n v="17"/>
    <x v="31"/>
    <n v="0"/>
    <n v="0"/>
    <n v="0"/>
    <n v="0.40500000000000003"/>
    <e v="#DIV/0!"/>
  </r>
  <r>
    <n v="18"/>
    <x v="31"/>
    <n v="0"/>
    <n v="0"/>
    <n v="0"/>
    <n v="0.04"/>
    <e v="#DIV/0!"/>
  </r>
  <r>
    <n v="19"/>
    <x v="31"/>
    <n v="20"/>
    <n v="19.79"/>
    <n v="0.21000000000000085"/>
    <n v="0.38200000000000001"/>
    <n v="2.9600000000000043E-2"/>
  </r>
  <r>
    <n v="20"/>
    <x v="31"/>
    <n v="100"/>
    <n v="98.83"/>
    <n v="1.1700000000000017"/>
    <n v="0.11799999999999999"/>
    <n v="1.2880000000000016E-2"/>
  </r>
  <r>
    <n v="21"/>
    <x v="31"/>
    <n v="65"/>
    <n v="64.540000000000006"/>
    <n v="0.45999999999999375"/>
    <n v="1.349"/>
    <n v="2.7830769230769135E-2"/>
  </r>
  <r>
    <n v="22"/>
    <x v="31"/>
    <n v="65"/>
    <n v="64.599999999999994"/>
    <n v="0.40000000000000568"/>
    <n v="1.0629999999999999"/>
    <n v="2.2507692307692395E-2"/>
  </r>
  <r>
    <n v="23"/>
    <x v="31"/>
    <n v="20"/>
    <n v="19.71"/>
    <n v="0.28999999999999915"/>
    <n v="0.11799999999999999"/>
    <n v="2.0399999999999956E-2"/>
  </r>
  <r>
    <n v="24"/>
    <x v="31"/>
    <n v="20"/>
    <n v="19.8"/>
    <n v="0.19999999999999929"/>
    <n v="0.125"/>
    <n v="1.6249999999999966E-2"/>
  </r>
  <r>
    <n v="25"/>
    <x v="31"/>
    <n v="0"/>
    <n v="0"/>
    <n v="0"/>
    <n v="0.24"/>
    <e v="#DIV/0!"/>
  </r>
  <r>
    <n v="26"/>
    <x v="31"/>
    <n v="25"/>
    <n v="24"/>
    <n v="1"/>
    <n v="0.25600000000000001"/>
    <n v="5.024E-2"/>
  </r>
  <r>
    <n v="27"/>
    <x v="31"/>
    <n v="25"/>
    <n v="24.48"/>
    <n v="0.51999999999999957"/>
    <n v="0.35900000000000887"/>
    <n v="3.5160000000000337E-2"/>
  </r>
  <r>
    <n v="28"/>
    <x v="31"/>
    <n v="40"/>
    <n v="39.68"/>
    <n v="0.32000000000000028"/>
    <n v="0.42899999999999999"/>
    <n v="1.8725000000000009E-2"/>
  </r>
  <r>
    <n v="29"/>
    <x v="31"/>
    <n v="20"/>
    <n v="19.89"/>
    <n v="0.10999999999999943"/>
    <n v="0.106"/>
    <n v="1.0799999999999971E-2"/>
  </r>
  <r>
    <n v="30"/>
    <x v="31"/>
    <n v="0"/>
    <n v="0"/>
    <n v="0"/>
    <n v="0.22600000000000001"/>
    <e v="#DIV/0!"/>
  </r>
  <r>
    <n v="31"/>
    <x v="31"/>
    <n v="20"/>
    <n v="19.96"/>
    <n v="3.9999999999999147E-2"/>
    <n v="0.25900000000000001"/>
    <n v="1.4949999999999958E-2"/>
  </r>
  <r>
    <n v="1"/>
    <x v="32"/>
    <n v="3.15"/>
    <n v="3.06"/>
    <n v="8.9999999999999858E-2"/>
    <n v="6.3E-2"/>
    <n v="4.8571428571428529E-2"/>
  </r>
  <r>
    <n v="2"/>
    <x v="32"/>
    <n v="3.34"/>
    <n v="3.23"/>
    <n v="0.10999999999999988"/>
    <n v="2.1000000000000001E-2"/>
    <n v="3.9221556886227506E-2"/>
  </r>
  <r>
    <n v="3"/>
    <x v="32"/>
    <n v="20.82"/>
    <n v="20.27"/>
    <n v="0.55000000000000071"/>
    <n v="0.11799999999999999"/>
    <n v="3.2084534101825199E-2"/>
  </r>
  <r>
    <n v="4"/>
    <x v="32"/>
    <n v="12.69"/>
    <n v="12.46"/>
    <n v="0.22999999999999865"/>
    <n v="0.151"/>
    <n v="3.0023640661938432E-2"/>
  </r>
  <r>
    <n v="5"/>
    <x v="32"/>
    <n v="7.69"/>
    <n v="7.25"/>
    <n v="0.44000000000000039"/>
    <n v="0.03"/>
    <n v="6.1118335500650246E-2"/>
  </r>
  <r>
    <n v="6"/>
    <x v="32"/>
    <n v="7.87"/>
    <n v="7.62"/>
    <n v="0.25"/>
    <n v="2.1000000000000001E-2"/>
    <n v="3.443456162642948E-2"/>
  </r>
  <r>
    <n v="7"/>
    <x v="32"/>
    <n v="5.98"/>
    <n v="5.69"/>
    <n v="0.29000000000000004"/>
    <n v="1.4E-2"/>
    <n v="5.0836120401337795E-2"/>
  </r>
  <r>
    <n v="10"/>
    <x v="32"/>
    <n v="6.12"/>
    <n v="5.79"/>
    <n v="0.33000000000000007"/>
    <n v="1.2999999999999999E-2"/>
    <n v="5.6045751633986937E-2"/>
  </r>
  <r>
    <n v="8"/>
    <x v="32"/>
    <n v="10.64"/>
    <n v="10.44"/>
    <n v="0.20000000000000107"/>
    <n v="2.8000000000000001E-2"/>
    <n v="2.1428571428571526E-2"/>
  </r>
  <r>
    <n v="9"/>
    <x v="32"/>
    <n v="0"/>
    <n v="0"/>
    <n v="0"/>
    <n v="8.0000000000000071E-3"/>
    <e v="#DIV/0!"/>
  </r>
  <r>
    <n v="11"/>
    <x v="32"/>
    <n v="10.809999999999999"/>
    <n v="10.33"/>
    <n v="0.47999999999999865"/>
    <n v="3.3000000000000362E-2"/>
    <n v="4.7456059204440244E-2"/>
  </r>
  <r>
    <n v="12"/>
    <x v="32"/>
    <n v="9.4499999999999993"/>
    <n v="9.1199999999999992"/>
    <n v="0.33000000000000007"/>
    <n v="3.5000000000000003E-2"/>
    <n v="3.8624338624338637E-2"/>
  </r>
  <r>
    <n v="13"/>
    <x v="32"/>
    <n v="0"/>
    <n v="0"/>
    <n v="0"/>
    <n v="8.9999999999999993E-3"/>
    <e v="#DIV/0!"/>
  </r>
  <r>
    <n v="14"/>
    <x v="32"/>
    <n v="19.559999999999999"/>
    <n v="19.14"/>
    <n v="0.41999999999999815"/>
    <n v="4.9999999999998934E-3"/>
    <n v="2.1728016359918102E-2"/>
  </r>
  <r>
    <n v="15"/>
    <x v="32"/>
    <n v="13.37"/>
    <n v="13.12"/>
    <n v="0.25"/>
    <n v="0.02"/>
    <n v="2.0194465220643235E-2"/>
  </r>
  <r>
    <n v="16"/>
    <x v="32"/>
    <n v="4.3600000000000003"/>
    <n v="4.1900000000000004"/>
    <n v="0.16999999999999993"/>
    <n v="2.5999999999999999E-2"/>
    <n v="4.4954128440366954E-2"/>
  </r>
  <r>
    <n v="17"/>
    <x v="32"/>
    <n v="5.1100000000000003"/>
    <n v="4.9400000000000004"/>
    <n v="0.16999999999999993"/>
    <n v="3.5999999999999997E-2"/>
    <n v="4.0313111545988239E-2"/>
  </r>
  <r>
    <n v="18"/>
    <x v="32"/>
    <n v="6.81"/>
    <n v="6.64"/>
    <n v="0.16999999999999993"/>
    <n v="7.0000000000000001E-3"/>
    <n v="2.5991189427312766E-2"/>
  </r>
  <r>
    <n v="19"/>
    <x v="32"/>
    <n v="21.3"/>
    <n v="20.73"/>
    <n v="0.57000000000000028"/>
    <n v="1.7000000000000001E-2"/>
    <n v="2.7558685446009402E-2"/>
  </r>
  <r>
    <n v="20"/>
    <x v="32"/>
    <n v="0"/>
    <n v="0"/>
    <n v="0"/>
    <n v="4.0000000000000001E-3"/>
    <e v="#DIV/0!"/>
  </r>
  <r>
    <n v="21"/>
    <x v="32"/>
    <n v="0"/>
    <n v="0"/>
    <n v="0"/>
    <n v="7.4999999999999997E-2"/>
    <e v="#DIV/0!"/>
  </r>
  <r>
    <n v="22"/>
    <x v="32"/>
    <n v="4.97"/>
    <n v="4.87"/>
    <n v="9.9999999999999645E-2"/>
    <n v="5.0000000000000001E-3"/>
    <n v="2.1126760563380212E-2"/>
  </r>
  <r>
    <n v="23"/>
    <x v="32"/>
    <n v="13.76"/>
    <n v="13.34"/>
    <n v="0.41999999999999993"/>
    <n v="1.7999999999999999E-2"/>
    <n v="3.1831395348837208E-2"/>
  </r>
  <r>
    <n v="24"/>
    <x v="32"/>
    <n v="10.51"/>
    <n v="10.32"/>
    <n v="0.1899999999999995"/>
    <n v="7.9000000000000001E-2"/>
    <n v="2.5594671741198814E-2"/>
  </r>
  <r>
    <n v="25"/>
    <x v="32"/>
    <n v="12.1"/>
    <n v="11.95"/>
    <n v="0.15000000000000036"/>
    <n v="5.1999999999999998E-2"/>
    <n v="1.6694214876033085E-2"/>
  </r>
  <r>
    <n v="26"/>
    <x v="32"/>
    <n v="15.52"/>
    <n v="15.18"/>
    <n v="0.33999999999999986"/>
    <n v="2.1000000000000001E-2"/>
    <n v="2.3260309278350509E-2"/>
  </r>
  <r>
    <n v="27"/>
    <x v="32"/>
    <n v="8.57"/>
    <n v="8.44"/>
    <n v="0.13000000000000078"/>
    <n v="9.5000000000000001E-2"/>
    <n v="2.6254375729288307E-2"/>
  </r>
  <r>
    <n v="28"/>
    <x v="32"/>
    <n v="5.0199999999999996"/>
    <n v="4.9800000000000004"/>
    <n v="3.9999999999999147E-2"/>
    <n v="0.02"/>
    <n v="1.1952191235059592E-2"/>
  </r>
  <r>
    <n v="29"/>
    <x v="32"/>
    <n v="0"/>
    <n v="0"/>
    <n v="0"/>
    <n v="0.91"/>
    <e v="#DIV/0!"/>
  </r>
  <r>
    <n v="30"/>
    <x v="32"/>
    <n v="10.88"/>
    <n v="10.62"/>
    <n v="0.26000000000000156"/>
    <n v="0.02"/>
    <n v="2.5735294117647203E-2"/>
  </r>
  <r>
    <n v="31"/>
    <x v="32"/>
    <n v="0"/>
    <n v="0"/>
    <n v="0"/>
    <n v="3.5000000000000003E-2"/>
    <e v="#DIV/0!"/>
  </r>
  <r>
    <n v="1"/>
    <x v="33"/>
    <n v="60"/>
    <n v="59.81"/>
    <n v="0.18999999999999773"/>
    <n v="0.83"/>
    <n v="1.6999999999999963E-2"/>
  </r>
  <r>
    <n v="2"/>
    <x v="33"/>
    <n v="40"/>
    <n v="39.869999999999997"/>
    <n v="0.13000000000000256"/>
    <n v="0.67"/>
    <n v="2.0000000000000066E-2"/>
  </r>
  <r>
    <n v="3"/>
    <x v="33"/>
    <n v="160"/>
    <n v="157.69"/>
    <n v="2.3100000000000023"/>
    <n v="0.84499999999999997"/>
    <n v="1.9718750000000014E-2"/>
  </r>
  <r>
    <n v="4"/>
    <x v="33"/>
    <n v="100"/>
    <n v="98.44"/>
    <n v="1.5600000000000023"/>
    <n v="0.42499999999999999"/>
    <n v="1.9850000000000024E-2"/>
  </r>
  <r>
    <n v="5"/>
    <x v="33"/>
    <n v="20"/>
    <n v="19.670000000000002"/>
    <n v="0.32999999999999829"/>
    <n v="3.5000000000000003E-2"/>
    <n v="1.8249999999999916E-2"/>
  </r>
  <r>
    <n v="6"/>
    <x v="33"/>
    <n v="80"/>
    <n v="79.239999999999995"/>
    <n v="0.76000000000000512"/>
    <n v="0.78"/>
    <n v="1.9250000000000066E-2"/>
  </r>
  <r>
    <n v="7"/>
    <x v="33"/>
    <n v="20"/>
    <n v="19.86"/>
    <n v="0.14000000000000057"/>
    <n v="0.25"/>
    <n v="1.9500000000000028E-2"/>
  </r>
  <r>
    <n v="10"/>
    <x v="33"/>
    <n v="20"/>
    <n v="19.899999999999999"/>
    <n v="0.10000000000000142"/>
    <n v="0.26"/>
    <n v="1.8000000000000071E-2"/>
  </r>
  <r>
    <n v="8"/>
    <x v="33"/>
    <n v="40"/>
    <n v="39.049999999999997"/>
    <n v="0.95000000000000284"/>
    <n v="0.19500000000000001"/>
    <n v="2.8625000000000074E-2"/>
  </r>
  <r>
    <n v="9"/>
    <x v="33"/>
    <n v="20"/>
    <n v="19.71"/>
    <n v="0.28999999999999915"/>
    <n v="8.5000000000000006E-2"/>
    <n v="1.8749999999999958E-2"/>
  </r>
  <r>
    <n v="11"/>
    <x v="33"/>
    <n v="40"/>
    <n v="39.25"/>
    <n v="0.75"/>
    <n v="4.4999999999999998E-2"/>
    <n v="1.9875E-2"/>
  </r>
  <r>
    <n v="12"/>
    <x v="33"/>
    <n v="40"/>
    <n v="39.33"/>
    <n v="0.67000000000000171"/>
    <n v="0.1"/>
    <n v="1.9250000000000041E-2"/>
  </r>
  <r>
    <n v="13"/>
    <x v="33"/>
    <n v="27.56"/>
    <n v="27.32"/>
    <n v="0.23999999999999844"/>
    <n v="0.11899999999999999"/>
    <n v="1.3026124818577593E-2"/>
  </r>
  <r>
    <n v="14"/>
    <x v="33"/>
    <n v="24"/>
    <n v="23.56"/>
    <n v="0.44000000000000128"/>
    <n v="1.4999999999999999E-2"/>
    <n v="1.8958333333333386E-2"/>
  </r>
  <r>
    <n v="15"/>
    <x v="33"/>
    <n v="88.37"/>
    <n v="86.95"/>
    <n v="1.4200000000000017"/>
    <n v="0.32500000000000001"/>
    <n v="1.9746520312323206E-2"/>
  </r>
  <r>
    <n v="16"/>
    <x v="33"/>
    <n v="67.34"/>
    <n v="66.78"/>
    <n v="0.56000000000000227"/>
    <n v="0.78500000000000003"/>
    <n v="1.9973269973270008E-2"/>
  </r>
  <r>
    <n v="17"/>
    <x v="33"/>
    <n v="48.18"/>
    <n v="47.44"/>
    <n v="0.74000000000000199"/>
    <n v="0.2"/>
    <n v="1.9510170195101744E-2"/>
  </r>
  <r>
    <n v="18"/>
    <x v="33"/>
    <n v="40"/>
    <n v="39.35"/>
    <n v="0.64999999999999858"/>
    <n v="0.13500000000000001"/>
    <n v="1.9624999999999965E-2"/>
  </r>
  <r>
    <n v="19"/>
    <x v="33"/>
    <n v="20"/>
    <n v="19.649999999999999"/>
    <n v="0.35000000000000142"/>
    <n v="0.04"/>
    <n v="1.9500000000000069E-2"/>
  </r>
  <r>
    <n v="20"/>
    <x v="33"/>
    <n v="42.4"/>
    <n v="41.22"/>
    <n v="1.1799999999999997"/>
    <n v="0"/>
    <n v="2.7830188679245277E-2"/>
  </r>
  <r>
    <n v="21"/>
    <x v="33"/>
    <n v="0"/>
    <n v="0"/>
    <n v="0"/>
    <n v="0.62"/>
    <e v="#DIV/0!"/>
  </r>
  <r>
    <n v="22"/>
    <x v="33"/>
    <n v="160"/>
    <n v="157.82"/>
    <n v="2.1800000000000068"/>
    <n v="1.0149999999999999"/>
    <n v="1.9968750000000042E-2"/>
  </r>
  <r>
    <n v="23"/>
    <x v="33"/>
    <n v="20"/>
    <n v="19.98"/>
    <n v="1.9999999999999574E-2"/>
    <n v="0.37"/>
    <n v="1.9499999999999979E-2"/>
  </r>
  <r>
    <n v="24"/>
    <x v="33"/>
    <n v="77.44"/>
    <n v="76.53"/>
    <n v="0.90999999999999659"/>
    <n v="0.51"/>
    <n v="1.8336776859504089E-2"/>
  </r>
  <r>
    <n v="25"/>
    <x v="33"/>
    <n v="0"/>
    <n v="0"/>
    <n v="0"/>
    <n v="0.72499999999999998"/>
    <e v="#DIV/0!"/>
  </r>
  <r>
    <n v="26"/>
    <x v="33"/>
    <n v="20"/>
    <n v="19.690000000000001"/>
    <n v="0.30999999999999872"/>
    <n v="7.4999999999999997E-2"/>
    <n v="1.9249999999999937E-2"/>
  </r>
  <r>
    <n v="27"/>
    <x v="33"/>
    <n v="20"/>
    <n v="19.829999999999998"/>
    <n v="0.17000000000000171"/>
    <n v="0.20499999999999999"/>
    <n v="1.8750000000000083E-2"/>
  </r>
  <r>
    <n v="28"/>
    <x v="33"/>
    <n v="20"/>
    <n v="20"/>
    <n v="0"/>
    <n v="0.37"/>
    <n v="1.8499999999999999E-2"/>
  </r>
  <r>
    <n v="29"/>
    <x v="33"/>
    <n v="64.03"/>
    <n v="63.54"/>
    <n v="0.49000000000000199"/>
    <n v="0.73499999999999999"/>
    <n v="1.9131657035764513E-2"/>
  </r>
  <r>
    <n v="30"/>
    <x v="33"/>
    <n v="40"/>
    <n v="39.880000000000003"/>
    <n v="0.11999999999999744"/>
    <n v="0.61"/>
    <n v="1.8249999999999936E-2"/>
  </r>
  <r>
    <n v="31"/>
    <x v="33"/>
    <n v="40"/>
    <n v="39.590000000000003"/>
    <n v="0.40999999999999659"/>
    <n v="0.38500000000000001"/>
    <n v="1.9874999999999914E-2"/>
  </r>
  <r>
    <n v="1"/>
    <x v="34"/>
    <n v="25.25"/>
    <n v="24.91"/>
    <n v="0.33999999999999986"/>
    <n v="3.5000000000000003E-2"/>
    <n v="1.4851485148514847E-2"/>
  </r>
  <r>
    <n v="2"/>
    <x v="34"/>
    <n v="80"/>
    <n v="79.08"/>
    <n v="0.92000000000000171"/>
    <n v="0.129"/>
    <n v="1.3112500000000022E-2"/>
  </r>
  <r>
    <n v="3"/>
    <x v="34"/>
    <n v="40"/>
    <n v="38.74"/>
    <n v="1.259999999999998"/>
    <n v="0.109"/>
    <n v="3.422499999999995E-2"/>
  </r>
  <r>
    <n v="4"/>
    <x v="34"/>
    <n v="40"/>
    <n v="39.6"/>
    <n v="0.39999999999999858"/>
    <n v="0.13"/>
    <n v="1.3249999999999965E-2"/>
  </r>
  <r>
    <n v="5"/>
    <x v="34"/>
    <n v="0"/>
    <n v="0"/>
    <n v="0"/>
    <n v="0.106"/>
    <e v="#DIV/0!"/>
  </r>
  <r>
    <n v="6"/>
    <x v="34"/>
    <n v="0"/>
    <n v="0"/>
    <n v="0"/>
    <n v="0"/>
    <e v="#DIV/0!"/>
  </r>
  <r>
    <n v="7"/>
    <x v="34"/>
    <n v="20"/>
    <n v="19.88"/>
    <n v="0.12000000000000099"/>
    <n v="0.09"/>
    <n v="1.0500000000000049E-2"/>
  </r>
  <r>
    <n v="10"/>
    <x v="34"/>
    <n v="0"/>
    <n v="0"/>
    <n v="0"/>
    <n v="0.13200000000000001"/>
    <e v="#DIV/0!"/>
  </r>
  <r>
    <n v="8"/>
    <x v="34"/>
    <n v="20"/>
    <n v="19.57"/>
    <n v="0.42999999999999972"/>
    <n v="8.3000000000000004E-2"/>
    <n v="2.5649999999999985E-2"/>
  </r>
  <r>
    <n v="9"/>
    <x v="34"/>
    <n v="0"/>
    <n v="0"/>
    <n v="0"/>
    <n v="4.4999999999999998E-2"/>
    <e v="#DIV/0!"/>
  </r>
  <r>
    <n v="11"/>
    <x v="34"/>
    <n v="0"/>
    <n v="0"/>
    <n v="0"/>
    <n v="6.4000000000000001E-2"/>
    <e v="#DIV/0!"/>
  </r>
  <r>
    <n v="12"/>
    <x v="34"/>
    <n v="19.670000000000002"/>
    <n v="19.57"/>
    <n v="0.10000000000000142"/>
    <n v="4.3999999999999997E-2"/>
    <n v="7.3207930859177121E-3"/>
  </r>
  <r>
    <n v="13"/>
    <x v="34"/>
    <n v="0"/>
    <n v="0"/>
    <n v="0"/>
    <n v="8.4000000000000005E-2"/>
    <e v="#DIV/0!"/>
  </r>
  <r>
    <n v="14"/>
    <x v="34"/>
    <n v="0"/>
    <n v="0"/>
    <n v="0"/>
    <n v="0.24399999999999999"/>
    <e v="#DIV/0!"/>
  </r>
  <r>
    <n v="15"/>
    <x v="34"/>
    <n v="0"/>
    <n v="0"/>
    <n v="0"/>
    <n v="0.223"/>
    <e v="#DIV/0!"/>
  </r>
  <r>
    <n v="16"/>
    <x v="34"/>
    <n v="0"/>
    <n v="0"/>
    <n v="0"/>
    <n v="0.152"/>
    <e v="#DIV/0!"/>
  </r>
  <r>
    <n v="17"/>
    <x v="34"/>
    <n v="20"/>
    <n v="19.57"/>
    <n v="0.42999999999999972"/>
    <n v="7.0000000000000007E-2"/>
    <n v="2.4999999999999988E-2"/>
  </r>
  <r>
    <n v="18"/>
    <x v="34"/>
    <n v="40"/>
    <n v="39.120000000000005"/>
    <n v="0.87999999999999545"/>
    <n v="8.4000000000000005E-2"/>
    <n v="2.4099999999999885E-2"/>
  </r>
  <r>
    <n v="19"/>
    <x v="34"/>
    <n v="0"/>
    <n v="0"/>
    <n v="0"/>
    <n v="7.8E-2"/>
    <e v="#DIV/0!"/>
  </r>
  <r>
    <n v="20"/>
    <x v="34"/>
    <n v="0"/>
    <n v="0"/>
    <n v="0"/>
    <n v="0.08"/>
    <e v="#DIV/0!"/>
  </r>
  <r>
    <n v="21"/>
    <x v="34"/>
    <n v="0"/>
    <n v="0"/>
    <n v="0"/>
    <n v="5.2999999999999999E-2"/>
    <e v="#DIV/0!"/>
  </r>
  <r>
    <n v="22"/>
    <x v="34"/>
    <n v="0"/>
    <n v="0"/>
    <n v="0"/>
    <n v="0.06"/>
    <e v="#DIV/0!"/>
  </r>
  <r>
    <n v="23"/>
    <x v="34"/>
    <n v="20"/>
    <n v="19.62"/>
    <n v="0.37999999999999901"/>
    <n v="0.13700000000000001"/>
    <n v="2.5849999999999949E-2"/>
  </r>
  <r>
    <n v="24"/>
    <x v="34"/>
    <n v="27.91"/>
    <n v="27.71"/>
    <n v="0.19999999999999929"/>
    <n v="0.188"/>
    <n v="1.3901827302042253E-2"/>
  </r>
  <r>
    <n v="25"/>
    <x v="34"/>
    <n v="0"/>
    <n v="0"/>
    <n v="0"/>
    <n v="0.11899999999999999"/>
    <e v="#DIV/0!"/>
  </r>
  <r>
    <n v="26"/>
    <x v="34"/>
    <n v="20"/>
    <n v="19.88"/>
    <n v="0.12000000000000099"/>
    <n v="0.09"/>
    <n v="1.0500000000000049E-2"/>
  </r>
  <r>
    <n v="27"/>
    <x v="34"/>
    <n v="23.2"/>
    <n v="23.03"/>
    <n v="0.16999999999999815"/>
    <n v="9.5000000000000001E-2"/>
    <n v="1.1422413793103367E-2"/>
  </r>
  <r>
    <n v="28"/>
    <x v="34"/>
    <n v="0"/>
    <n v="0"/>
    <n v="0"/>
    <n v="6.8000000000000005E-2"/>
    <e v="#DIV/0!"/>
  </r>
  <r>
    <n v="29"/>
    <x v="34"/>
    <n v="0"/>
    <n v="0"/>
    <n v="0"/>
    <n v="0.11799999999999999"/>
    <e v="#DIV/0!"/>
  </r>
  <r>
    <n v="30"/>
    <x v="34"/>
    <n v="24.49"/>
    <n v="24.2"/>
    <n v="0.28999999999999915"/>
    <n v="7.8E-2"/>
    <n v="1.5026541445487922E-2"/>
  </r>
  <r>
    <n v="31"/>
    <x v="34"/>
    <n v="43.93"/>
    <n v="43.38"/>
    <n v="0.54999999999999716"/>
    <n v="0.112"/>
    <n v="1.5069428636467042E-2"/>
  </r>
  <r>
    <n v="1"/>
    <x v="35"/>
    <n v="20"/>
    <n v="19.95"/>
    <n v="5.0000000000000711E-2"/>
    <n v="0.21"/>
    <n v="1.3000000000000034E-2"/>
  </r>
  <r>
    <n v="2"/>
    <x v="35"/>
    <n v="40"/>
    <n v="39.67"/>
    <n v="0.32999999999999829"/>
    <n v="0.21"/>
    <n v="1.3499999999999956E-2"/>
  </r>
  <r>
    <n v="3"/>
    <x v="35"/>
    <n v="0"/>
    <n v="0"/>
    <n v="0"/>
    <n v="0.49"/>
    <e v="#DIV/0!"/>
  </r>
  <r>
    <n v="4"/>
    <x v="35"/>
    <n v="20"/>
    <n v="19.559999999999999"/>
    <n v="0.44000000000000128"/>
    <n v="6.0999999999999999E-2"/>
    <n v="2.5050000000000062E-2"/>
  </r>
  <r>
    <n v="5"/>
    <x v="35"/>
    <n v="40"/>
    <n v="39.840000000000003"/>
    <n v="0.15999999999999659"/>
    <n v="0.32500000000000001"/>
    <n v="1.2124999999999915E-2"/>
  </r>
  <r>
    <n v="6"/>
    <x v="35"/>
    <n v="0"/>
    <n v="0"/>
    <n v="0"/>
    <n v="0.35799999999999998"/>
    <e v="#DIV/0!"/>
  </r>
  <r>
    <n v="7"/>
    <x v="35"/>
    <n v="20"/>
    <n v="19.8"/>
    <n v="0.19999999999999929"/>
    <n v="0.17299999999999999"/>
    <n v="1.8649999999999965E-2"/>
  </r>
  <r>
    <n v="10"/>
    <x v="35"/>
    <n v="20"/>
    <n v="19.97"/>
    <n v="3.0000000000001137E-2"/>
    <n v="0.28599999999998715"/>
    <n v="1.5799999999999415E-2"/>
  </r>
  <r>
    <n v="8"/>
    <x v="35"/>
    <n v="0"/>
    <n v="0"/>
    <n v="0"/>
    <n v="0.56999999999999995"/>
    <e v="#DIV/0!"/>
  </r>
  <r>
    <n v="9"/>
    <x v="35"/>
    <n v="60"/>
    <n v="59.75"/>
    <n v="0.25"/>
    <n v="0.55900000000000005"/>
    <n v="1.3483333333333335E-2"/>
  </r>
  <r>
    <n v="11"/>
    <x v="35"/>
    <n v="19.23"/>
    <n v="19.11"/>
    <n v="0.12000000000000099"/>
    <n v="0.2"/>
    <n v="1.6640665626625115E-2"/>
  </r>
  <r>
    <n v="12"/>
    <x v="35"/>
    <n v="0"/>
    <n v="0"/>
    <n v="0"/>
    <n v="0.74"/>
    <e v="#DIV/0!"/>
  </r>
  <r>
    <n v="13"/>
    <x v="35"/>
    <n v="20"/>
    <n v="19.91"/>
    <n v="8.9999999999999858E-2"/>
    <n v="0.17399999999999999"/>
    <n v="1.3199999999999993E-2"/>
  </r>
  <r>
    <n v="14"/>
    <x v="35"/>
    <n v="0"/>
    <n v="0"/>
    <n v="0"/>
    <n v="0.23599999999999999"/>
    <e v="#DIV/0!"/>
  </r>
  <r>
    <n v="15"/>
    <x v="35"/>
    <n v="103.84"/>
    <n v="103.94"/>
    <n v="-9.9999999999994316E-2"/>
    <n v="1.2"/>
    <n v="1.0593220338983104E-2"/>
  </r>
  <r>
    <n v="16"/>
    <x v="35"/>
    <n v="0"/>
    <n v="0"/>
    <n v="0"/>
    <n v="0.20499999999999999"/>
    <e v="#DIV/0!"/>
  </r>
  <r>
    <n v="17"/>
    <x v="35"/>
    <n v="22.92"/>
    <n v="22.76"/>
    <n v="0.16000000000000014"/>
    <n v="0.11899999999999999"/>
    <n v="1.2172774869109953E-2"/>
  </r>
  <r>
    <n v="18"/>
    <x v="35"/>
    <n v="0"/>
    <n v="0"/>
    <n v="0"/>
    <n v="0.13800000000000001"/>
    <e v="#DIV/0!"/>
  </r>
  <r>
    <n v="19"/>
    <x v="35"/>
    <n v="0"/>
    <n v="0"/>
    <n v="0"/>
    <n v="0.17499999999999999"/>
    <e v="#DIV/0!"/>
  </r>
  <r>
    <n v="20"/>
    <x v="35"/>
    <n v="20"/>
    <n v="19.97"/>
    <n v="3.0000000000001137E-2"/>
    <n v="0.20499999999999999"/>
    <n v="1.1750000000000056E-2"/>
  </r>
  <r>
    <n v="21"/>
    <x v="35"/>
    <n v="0"/>
    <n v="0"/>
    <n v="0"/>
    <n v="0.30499999999999999"/>
    <e v="#DIV/0!"/>
  </r>
  <r>
    <n v="22"/>
    <x v="35"/>
    <n v="0"/>
    <n v="0"/>
    <n v="0"/>
    <n v="0.14000000000000001"/>
    <e v="#DIV/0!"/>
  </r>
  <r>
    <n v="23"/>
    <x v="35"/>
    <n v="20"/>
    <n v="19.829999999999998"/>
    <n v="0.17000000000000171"/>
    <n v="0.11"/>
    <n v="1.4000000000000085E-2"/>
  </r>
  <r>
    <n v="24"/>
    <x v="35"/>
    <n v="20"/>
    <n v="19.809999999999999"/>
    <n v="0.19000000000000128"/>
    <n v="0.3"/>
    <n v="2.4500000000000063E-2"/>
  </r>
  <r>
    <n v="25"/>
    <x v="35"/>
    <n v="40"/>
    <n v="39.68"/>
    <n v="0.32000000000000028"/>
    <n v="0.11"/>
    <n v="1.0750000000000006E-2"/>
  </r>
  <r>
    <n v="26"/>
    <x v="35"/>
    <n v="0"/>
    <n v="0"/>
    <n v="0"/>
    <n v="0.26"/>
    <e v="#DIV/0!"/>
  </r>
  <r>
    <n v="27"/>
    <x v="35"/>
    <n v="20"/>
    <n v="19.95"/>
    <n v="5.0000000000000711E-2"/>
    <n v="0.27"/>
    <n v="1.6000000000000035E-2"/>
  </r>
  <r>
    <n v="28"/>
    <x v="35"/>
    <n v="20"/>
    <n v="19.82"/>
    <n v="0.17999999999999972"/>
    <n v="0.15"/>
    <n v="1.6499999999999987E-2"/>
  </r>
  <r>
    <n v="29"/>
    <x v="35"/>
    <n v="20"/>
    <n v="19.91"/>
    <n v="8.9999999999999858E-2"/>
    <n v="0.155"/>
    <n v="1.2249999999999994E-2"/>
  </r>
  <r>
    <n v="30"/>
    <x v="35"/>
    <n v="20"/>
    <n v="20"/>
    <n v="0"/>
    <n v="0.23300000000000001"/>
    <n v="1.1650000000000001E-2"/>
  </r>
  <r>
    <n v="31"/>
    <x v="35"/>
    <n v="20"/>
    <n v="19.78"/>
    <n v="0.21999999999999886"/>
    <n v="0.155"/>
    <n v="1.8749999999999944E-2"/>
  </r>
  <r>
    <n v="1"/>
    <x v="36"/>
    <n v="0"/>
    <n v="0"/>
    <n v="0"/>
    <n v="0"/>
    <e v="#DIV/0!"/>
  </r>
  <r>
    <n v="2"/>
    <x v="36"/>
    <n v="20"/>
    <n v="19.88"/>
    <n v="0.12000000000000099"/>
    <n v="0.12"/>
    <n v="1.2000000000000049E-2"/>
  </r>
  <r>
    <n v="3"/>
    <x v="36"/>
    <n v="0"/>
    <n v="0"/>
    <n v="0"/>
    <n v="0"/>
    <e v="#DIV/0!"/>
  </r>
  <r>
    <n v="4"/>
    <x v="36"/>
    <n v="20"/>
    <n v="19.88"/>
    <n v="0.12000000000000099"/>
    <n v="0.12"/>
    <n v="1.2000000000000049E-2"/>
  </r>
  <r>
    <n v="5"/>
    <x v="36"/>
    <n v="20"/>
    <n v="19.829999999999998"/>
    <n v="0.17000000000000171"/>
    <n v="0.21"/>
    <n v="1.9000000000000083E-2"/>
  </r>
  <r>
    <n v="6"/>
    <x v="36"/>
    <n v="0"/>
    <n v="0"/>
    <n v="0"/>
    <n v="0.79"/>
    <e v="#DIV/0!"/>
  </r>
  <r>
    <n v="7"/>
    <x v="36"/>
    <n v="20"/>
    <n v="19.87"/>
    <n v="0.12999999999999901"/>
    <n v="0"/>
    <n v="6.4999999999999503E-3"/>
  </r>
  <r>
    <n v="8"/>
    <x v="36"/>
    <n v="23.2"/>
    <n v="23.09"/>
    <n v="0.10999999999999943"/>
    <n v="0.114"/>
    <n v="9.655172413793078E-3"/>
  </r>
  <r>
    <n v="9"/>
    <x v="36"/>
    <n v="0"/>
    <n v="0"/>
    <n v="0"/>
    <n v="0"/>
    <e v="#DIV/0!"/>
  </r>
  <r>
    <n v="10"/>
    <x v="36"/>
    <n v="28.99"/>
    <n v="28.81"/>
    <n v="0.17999999999999972"/>
    <n v="0"/>
    <n v="6.2090375991721188E-3"/>
  </r>
  <r>
    <n v="11"/>
    <x v="36"/>
    <n v="18"/>
    <n v="17.809999999999999"/>
    <n v="0.19000000000000128"/>
    <n v="0"/>
    <n v="1.0555555555555627E-2"/>
  </r>
  <r>
    <n v="12"/>
    <x v="36"/>
    <n v="0"/>
    <n v="0"/>
    <n v="0"/>
    <n v="0"/>
    <e v="#DIV/0!"/>
  </r>
  <r>
    <n v="13"/>
    <x v="36"/>
    <n v="20"/>
    <n v="19.86"/>
    <n v="0.14000000000000057"/>
    <n v="0.14000000000000001"/>
    <n v="1.400000000000003E-2"/>
  </r>
  <r>
    <n v="14"/>
    <x v="36"/>
    <n v="20.79"/>
    <n v="20.53"/>
    <n v="0.25999999999999801"/>
    <n v="0.26"/>
    <n v="2.5012025012024919E-2"/>
  </r>
  <r>
    <n v="15"/>
    <x v="36"/>
    <n v="0"/>
    <n v="0"/>
    <n v="0"/>
    <n v="0"/>
    <e v="#DIV/0!"/>
  </r>
  <r>
    <n v="16"/>
    <x v="36"/>
    <n v="24.97"/>
    <n v="24.61"/>
    <n v="0.35999999999999943"/>
    <n v="0.28499999999999998"/>
    <n v="2.5830997196635938E-2"/>
  </r>
  <r>
    <n v="17"/>
    <x v="36"/>
    <n v="0"/>
    <n v="0"/>
    <n v="0"/>
    <n v="0.28499999999999998"/>
    <e v="#DIV/0!"/>
  </r>
  <r>
    <n v="18"/>
    <x v="36"/>
    <n v="0"/>
    <n v="0"/>
    <n v="0"/>
    <n v="0"/>
    <e v="#DIV/0!"/>
  </r>
  <r>
    <n v="19"/>
    <x v="36"/>
    <n v="20"/>
    <n v="19.88"/>
    <n v="0.12000000000000099"/>
    <n v="0.12"/>
    <n v="1.2000000000000049E-2"/>
  </r>
  <r>
    <n v="20"/>
    <x v="36"/>
    <n v="0"/>
    <n v="0"/>
    <n v="0"/>
    <n v="0"/>
    <e v="#DIV/0!"/>
  </r>
  <r>
    <n v="21"/>
    <x v="36"/>
    <n v="0"/>
    <n v="0"/>
    <n v="0"/>
    <n v="0"/>
    <e v="#DIV/0!"/>
  </r>
  <r>
    <n v="22"/>
    <x v="36"/>
    <n v="20"/>
    <n v="19.8"/>
    <n v="0.19999999999999929"/>
    <n v="0"/>
    <n v="9.9999999999999638E-3"/>
  </r>
  <r>
    <n v="23"/>
    <x v="36"/>
    <n v="0"/>
    <n v="0"/>
    <n v="0"/>
    <n v="0"/>
    <e v="#DIV/0!"/>
  </r>
  <r>
    <n v="24"/>
    <x v="36"/>
    <n v="0"/>
    <n v="0"/>
    <n v="0"/>
    <n v="0"/>
    <e v="#DIV/0!"/>
  </r>
  <r>
    <n v="25"/>
    <x v="36"/>
    <n v="0"/>
    <n v="0"/>
    <n v="0"/>
    <n v="0"/>
    <e v="#DIV/0!"/>
  </r>
  <r>
    <n v="26"/>
    <x v="36"/>
    <n v="30.46"/>
    <n v="30.25"/>
    <n v="0.21000000000000085"/>
    <n v="0.27800000000000002"/>
    <n v="1.6021011162179938E-2"/>
  </r>
  <r>
    <n v="27"/>
    <x v="36"/>
    <n v="0"/>
    <n v="0"/>
    <n v="0"/>
    <n v="0.375"/>
    <e v="#DIV/0!"/>
  </r>
  <r>
    <n v="28"/>
    <x v="36"/>
    <n v="20"/>
    <n v="19.86"/>
    <n v="0.14000000000000057"/>
    <n v="0.36"/>
    <n v="2.5000000000000029E-2"/>
  </r>
  <r>
    <n v="29"/>
    <x v="36"/>
    <n v="0"/>
    <n v="0"/>
    <n v="0"/>
    <n v="0"/>
    <e v="#DIV/0!"/>
  </r>
  <r>
    <n v="30"/>
    <x v="36"/>
    <n v="0"/>
    <n v="0"/>
    <n v="0"/>
    <n v="0"/>
    <e v="#DIV/0!"/>
  </r>
  <r>
    <n v="31"/>
    <x v="36"/>
    <n v="0"/>
    <n v="0"/>
    <n v="0"/>
    <n v="0.13"/>
    <e v="#DIV/0!"/>
  </r>
  <r>
    <n v="1"/>
    <x v="37"/>
    <n v="20"/>
    <n v="19.96"/>
    <n v="3.9999999999999147E-2"/>
    <n v="0.115"/>
    <n v="7.7499999999999566E-3"/>
  </r>
  <r>
    <n v="2"/>
    <x v="37"/>
    <n v="0"/>
    <n v="0"/>
    <n v="0"/>
    <n v="0.1"/>
    <e v="#DIV/0!"/>
  </r>
  <r>
    <n v="3"/>
    <x v="37"/>
    <n v="0"/>
    <n v="0"/>
    <n v="0"/>
    <n v="0.105"/>
    <e v="#DIV/0!"/>
  </r>
  <r>
    <n v="4"/>
    <x v="37"/>
    <n v="20"/>
    <n v="19.7"/>
    <n v="0.30000000000000071"/>
    <n v="0"/>
    <n v="1.5000000000000036E-2"/>
  </r>
  <r>
    <n v="5"/>
    <x v="37"/>
    <n v="0"/>
    <n v="0"/>
    <n v="0"/>
    <n v="-0.26000000000000156"/>
    <e v="#DIV/0!"/>
  </r>
  <r>
    <n v="6"/>
    <x v="37"/>
    <n v="20"/>
    <n v="19.600000000000001"/>
    <n v="0.39999999999999858"/>
    <n v="0.14499999999999999"/>
    <n v="2.7249999999999931E-2"/>
  </r>
  <r>
    <n v="7"/>
    <x v="37"/>
    <n v="0"/>
    <n v="0"/>
    <n v="0"/>
    <n v="0.155"/>
    <e v="#DIV/0!"/>
  </r>
  <r>
    <n v="10"/>
    <x v="37"/>
    <n v="20"/>
    <n v="19.64"/>
    <n v="0.35999999999999943"/>
    <n v="0.11500000000000199"/>
    <n v="2.375000000000007E-2"/>
  </r>
  <r>
    <n v="8"/>
    <x v="37"/>
    <n v="20"/>
    <n v="19.61"/>
    <n v="0.39000000000000057"/>
    <n v="0.13500000000000001"/>
    <n v="2.625000000000003E-2"/>
  </r>
  <r>
    <n v="9"/>
    <x v="37"/>
    <n v="0"/>
    <n v="0"/>
    <n v="0"/>
    <n v="0.16499999999999915"/>
    <e v="#DIV/0!"/>
  </r>
  <r>
    <n v="11"/>
    <x v="37"/>
    <n v="0"/>
    <n v="0"/>
    <n v="0"/>
    <n v="0.13500000000000001"/>
    <e v="#DIV/0!"/>
  </r>
  <r>
    <n v="12"/>
    <x v="37"/>
    <n v="20"/>
    <n v="19.670000000000002"/>
    <n v="0.32999999999999829"/>
    <n v="0.16"/>
    <n v="2.4499999999999918E-2"/>
  </r>
  <r>
    <n v="13"/>
    <x v="37"/>
    <n v="0"/>
    <n v="0"/>
    <n v="0"/>
    <n v="0.185"/>
    <e v="#DIV/0!"/>
  </r>
  <r>
    <n v="14"/>
    <x v="37"/>
    <n v="0"/>
    <n v="0"/>
    <n v="0"/>
    <n v="0.155"/>
    <e v="#DIV/0!"/>
  </r>
  <r>
    <n v="15"/>
    <x v="37"/>
    <n v="0"/>
    <n v="0"/>
    <n v="0"/>
    <n v="0.13500000000000001"/>
    <e v="#DIV/0!"/>
  </r>
  <r>
    <n v="16"/>
    <x v="37"/>
    <n v="20"/>
    <n v="19.7"/>
    <n v="0.30000000000000071"/>
    <n v="0.15"/>
    <n v="2.2500000000000037E-2"/>
  </r>
  <r>
    <n v="17"/>
    <x v="37"/>
    <n v="0"/>
    <n v="0"/>
    <n v="0"/>
    <n v="0.185"/>
    <e v="#DIV/0!"/>
  </r>
  <r>
    <n v="18"/>
    <x v="37"/>
    <n v="20"/>
    <n v="19.64"/>
    <n v="0.35999999999999943"/>
    <n v="0.12"/>
    <n v="2.3999999999999973E-2"/>
  </r>
  <r>
    <n v="19"/>
    <x v="37"/>
    <n v="0"/>
    <n v="0"/>
    <n v="0"/>
    <n v="0.155"/>
    <e v="#DIV/0!"/>
  </r>
  <r>
    <n v="20"/>
    <x v="37"/>
    <n v="20"/>
    <n v="19.86"/>
    <n v="0.14000000000000057"/>
    <n v="0.18"/>
    <n v="1.6000000000000028E-2"/>
  </r>
  <r>
    <n v="21"/>
    <x v="37"/>
    <n v="0"/>
    <n v="0"/>
    <n v="0"/>
    <n v="0.155"/>
    <e v="#DIV/0!"/>
  </r>
  <r>
    <n v="22"/>
    <x v="37"/>
    <n v="20"/>
    <n v="19.62"/>
    <n v="0.37999999999999901"/>
    <n v="0.1"/>
    <n v="2.3999999999999948E-2"/>
  </r>
  <r>
    <n v="23"/>
    <x v="37"/>
    <n v="20"/>
    <n v="19.68"/>
    <n v="0.32000000000000028"/>
    <n v="0.15"/>
    <n v="2.3500000000000014E-2"/>
  </r>
  <r>
    <n v="24"/>
    <x v="37"/>
    <n v="24.02"/>
    <n v="23.67"/>
    <n v="0.34999999999999787"/>
    <n v="0.15"/>
    <n v="2.081598667776844E-2"/>
  </r>
  <r>
    <n v="25"/>
    <x v="37"/>
    <n v="0"/>
    <n v="0"/>
    <n v="0"/>
    <n v="0.13500000000000001"/>
    <e v="#DIV/0!"/>
  </r>
  <r>
    <n v="26"/>
    <x v="37"/>
    <n v="0"/>
    <n v="0"/>
    <n v="0"/>
    <n v="0.16500000000000001"/>
    <e v="#DIV/0!"/>
  </r>
  <r>
    <n v="27"/>
    <x v="37"/>
    <n v="0"/>
    <n v="0"/>
    <n v="0"/>
    <n v="0.16"/>
    <e v="#DIV/0!"/>
  </r>
  <r>
    <n v="28"/>
    <x v="37"/>
    <n v="40"/>
    <n v="39.54"/>
    <n v="0.46000000000000085"/>
    <n v="0.13500000000000001"/>
    <n v="1.4875000000000022E-2"/>
  </r>
  <r>
    <n v="29"/>
    <x v="37"/>
    <n v="0"/>
    <n v="0"/>
    <n v="0"/>
    <n v="0.155"/>
    <e v="#DIV/0!"/>
  </r>
  <r>
    <n v="30"/>
    <x v="37"/>
    <n v="20"/>
    <n v="19.68"/>
    <n v="0.32000000000000028"/>
    <n v="0.12"/>
    <n v="2.2000000000000013E-2"/>
  </r>
  <r>
    <n v="31"/>
    <x v="37"/>
    <n v="20"/>
    <n v="19.73"/>
    <n v="0.26999999999999957"/>
    <n v="0.14499999999999999"/>
    <n v="2.074999999999998E-2"/>
  </r>
  <r>
    <n v="1"/>
    <x v="38"/>
    <n v="20"/>
    <n v="19.809999999999999"/>
    <n v="0.19000000000000128"/>
    <n v="0.185"/>
    <n v="1.8750000000000065E-2"/>
  </r>
  <r>
    <n v="2"/>
    <x v="38"/>
    <n v="0"/>
    <n v="0"/>
    <n v="0"/>
    <n v="0.1390000000000029"/>
    <e v="#DIV/0!"/>
  </r>
  <r>
    <n v="3"/>
    <x v="38"/>
    <n v="20"/>
    <n v="19.93"/>
    <n v="7.0000000000000284E-2"/>
    <n v="0.32800000000000001"/>
    <n v="1.9900000000000015E-2"/>
  </r>
  <r>
    <n v="4"/>
    <x v="38"/>
    <n v="20"/>
    <n v="19.5"/>
    <n v="0.5"/>
    <n v="0.35199999999999998"/>
    <n v="4.2599999999999999E-2"/>
  </r>
  <r>
    <n v="5"/>
    <x v="38"/>
    <n v="40"/>
    <n v="39.479999999999997"/>
    <n v="0.52000000000000313"/>
    <n v="0.46500000000000002"/>
    <n v="2.4625000000000081E-2"/>
  </r>
  <r>
    <n v="6"/>
    <x v="38"/>
    <n v="0"/>
    <n v="0"/>
    <n v="0"/>
    <n v="0.19700000000000001"/>
    <e v="#DIV/0!"/>
  </r>
  <r>
    <n v="7"/>
    <x v="38"/>
    <n v="20"/>
    <n v="19.5"/>
    <n v="0.5"/>
    <n v="0.39199999999999591"/>
    <n v="4.4599999999999793E-2"/>
  </r>
  <r>
    <n v="10"/>
    <x v="38"/>
    <n v="20"/>
    <n v="19.57"/>
    <n v="0.42999999999999972"/>
    <n v="0.20399999999999999"/>
    <n v="3.1699999999999985E-2"/>
  </r>
  <r>
    <n v="8"/>
    <x v="38"/>
    <n v="0"/>
    <n v="0"/>
    <n v="0"/>
    <n v="0"/>
    <e v="#DIV/0!"/>
  </r>
  <r>
    <n v="9"/>
    <x v="38"/>
    <n v="20"/>
    <n v="19.739999999999998"/>
    <n v="0.26000000000000156"/>
    <n v="0.104"/>
    <n v="1.8200000000000077E-2"/>
  </r>
  <r>
    <n v="11"/>
    <x v="38"/>
    <n v="20"/>
    <n v="19.34"/>
    <n v="0.66000000000000014"/>
    <n v="9.5000000000002416E-2"/>
    <n v="3.7750000000000131E-2"/>
  </r>
  <r>
    <n v="12"/>
    <x v="38"/>
    <n v="40"/>
    <n v="39.659999999999997"/>
    <n v="0.34000000000000341"/>
    <n v="0.375"/>
    <n v="1.7875000000000085E-2"/>
  </r>
  <r>
    <n v="13"/>
    <x v="38"/>
    <n v="20"/>
    <n v="19.760000000000002"/>
    <n v="0.23999999999999844"/>
    <n v="0.19500000000000001"/>
    <n v="2.1749999999999922E-2"/>
  </r>
  <r>
    <n v="14"/>
    <x v="38"/>
    <n v="0"/>
    <n v="0"/>
    <n v="0"/>
    <n v="0.19400000000000001"/>
    <e v="#DIV/0!"/>
  </r>
  <r>
    <n v="15"/>
    <x v="38"/>
    <n v="0"/>
    <n v="0"/>
    <n v="0"/>
    <n v="0.51200000000000001"/>
    <e v="#DIV/0!"/>
  </r>
  <r>
    <n v="16"/>
    <x v="38"/>
    <n v="20"/>
    <n v="19.809999999999999"/>
    <n v="0.19000000000000128"/>
    <n v="0.185"/>
    <n v="1.8750000000000065E-2"/>
  </r>
  <r>
    <n v="17"/>
    <x v="38"/>
    <n v="0"/>
    <n v="0"/>
    <n v="0"/>
    <n v="0.20599999999999999"/>
    <e v="#DIV/0!"/>
  </r>
  <r>
    <n v="18"/>
    <x v="38"/>
    <n v="0"/>
    <n v="0"/>
    <n v="0"/>
    <n v="0.13000000000000078"/>
    <e v="#DIV/0!"/>
  </r>
  <r>
    <n v="19"/>
    <x v="38"/>
    <n v="0"/>
    <n v="0"/>
    <n v="0"/>
    <n v="0.123"/>
    <e v="#DIV/0!"/>
  </r>
  <r>
    <n v="20"/>
    <x v="38"/>
    <n v="6.64"/>
    <n v="6.59"/>
    <n v="4.9999999999999822E-2"/>
    <n v="8.2000000000000003E-2"/>
    <n v="1.9879518072289132E-2"/>
  </r>
  <r>
    <n v="21"/>
    <x v="38"/>
    <n v="12.9"/>
    <n v="12.81"/>
    <n v="8.9999999999999858E-2"/>
    <n v="0.16600000000000001"/>
    <n v="1.9844961240310068E-2"/>
  </r>
  <r>
    <n v="22"/>
    <x v="38"/>
    <n v="30.16"/>
    <n v="29.98"/>
    <n v="0.17999999999999972"/>
    <n v="0.193"/>
    <n v="1.2367374005305031E-2"/>
  </r>
  <r>
    <n v="23"/>
    <x v="38"/>
    <n v="3.58"/>
    <n v="3.56"/>
    <n v="2.0000000000000018E-2"/>
    <n v="4.1000000000000002E-2"/>
    <n v="1.7039106145251403E-2"/>
  </r>
  <r>
    <n v="24"/>
    <x v="38"/>
    <n v="9.2799999999999994"/>
    <n v="9.23"/>
    <n v="4.9999999999998934E-2"/>
    <n v="0.115"/>
    <n v="1.778017241379299E-2"/>
  </r>
  <r>
    <n v="25"/>
    <x v="38"/>
    <n v="8.44"/>
    <n v="8.4"/>
    <n v="3.9999999999999147E-2"/>
    <n v="0.34100000000000003"/>
    <n v="4.5142180094786634E-2"/>
  </r>
  <r>
    <n v="26"/>
    <x v="38"/>
    <n v="11.09"/>
    <n v="11.01"/>
    <n v="8.0000000000000071E-2"/>
    <n v="5.1999999999999998E-2"/>
    <n v="1.1902614968440042E-2"/>
  </r>
  <r>
    <n v="27"/>
    <x v="38"/>
    <n v="0"/>
    <n v="0"/>
    <n v="0"/>
    <n v="5.1999999999999998E-2"/>
    <e v="#DIV/0!"/>
  </r>
  <r>
    <n v="28"/>
    <x v="38"/>
    <n v="30.63"/>
    <n v="30.45"/>
    <n v="0.17999999999999972"/>
    <n v="0.38200000000000001"/>
    <n v="1.8348024812275539E-2"/>
  </r>
  <r>
    <n v="29"/>
    <x v="38"/>
    <n v="9.52"/>
    <n v="9.4499999999999993"/>
    <n v="7.0000000000000284E-2"/>
    <n v="5.8000000000000003E-2"/>
    <n v="1.3445378151260534E-2"/>
  </r>
  <r>
    <n v="30"/>
    <x v="38"/>
    <n v="0"/>
    <n v="0"/>
    <n v="0"/>
    <n v="0.06"/>
    <e v="#DIV/0!"/>
  </r>
  <r>
    <n v="31"/>
    <x v="38"/>
    <n v="20.16"/>
    <n v="20.04"/>
    <n v="0.12000000000000099"/>
    <n v="0.159"/>
    <n v="1.3839285714285766E-2"/>
  </r>
  <r>
    <n v="1"/>
    <x v="39"/>
    <n v="0"/>
    <n v="0"/>
    <n v="0"/>
    <n v="0"/>
    <e v="#DIV/0!"/>
  </r>
  <r>
    <n v="2"/>
    <x v="39"/>
    <n v="0"/>
    <n v="0"/>
    <n v="0"/>
    <n v="0"/>
    <e v="#DIV/0!"/>
  </r>
  <r>
    <n v="3"/>
    <x v="39"/>
    <n v="80"/>
    <n v="77.33"/>
    <n v="2.6700000000000017"/>
    <n v="9.6000000000000002E-2"/>
    <n v="3.4575000000000022E-2"/>
  </r>
  <r>
    <n v="4"/>
    <x v="39"/>
    <n v="20"/>
    <n v="19.100000000000001"/>
    <n v="0.89999999999999858"/>
    <n v="8.4000000000000005E-2"/>
    <n v="4.9199999999999924E-2"/>
  </r>
  <r>
    <n v="5"/>
    <x v="39"/>
    <n v="40"/>
    <n v="38.1"/>
    <n v="1.8999999999999986"/>
    <n v="9.1999999999999998E-2"/>
    <n v="4.9799999999999969E-2"/>
  </r>
  <r>
    <n v="6"/>
    <x v="39"/>
    <n v="20"/>
    <n v="18.77"/>
    <n v="1.2300000000000004"/>
    <n v="0.104"/>
    <n v="6.6700000000000023E-2"/>
  </r>
  <r>
    <n v="7"/>
    <x v="39"/>
    <n v="20"/>
    <n v="19.02"/>
    <n v="0.98000000000000043"/>
    <n v="0.129"/>
    <n v="5.545000000000002E-2"/>
  </r>
  <r>
    <n v="10"/>
    <x v="39"/>
    <n v="30.56"/>
    <n v="29.14"/>
    <n v="1.4199999999999982"/>
    <n v="8.4000000000000005E-2"/>
    <n v="4.9214659685863818E-2"/>
  </r>
  <r>
    <n v="8"/>
    <x v="39"/>
    <n v="0"/>
    <n v="0"/>
    <n v="0"/>
    <n v="2.5999999999999999E-2"/>
    <e v="#DIV/0!"/>
  </r>
  <r>
    <n v="9"/>
    <x v="39"/>
    <n v="20"/>
    <n v="19.059999999999999"/>
    <n v="0.94000000000000128"/>
    <n v="0.03"/>
    <n v="4.8500000000000064E-2"/>
  </r>
  <r>
    <n v="11"/>
    <x v="39"/>
    <n v="0"/>
    <n v="0"/>
    <n v="0"/>
    <n v="7.0999999999999994E-2"/>
    <e v="#DIV/0!"/>
  </r>
  <r>
    <n v="12"/>
    <x v="39"/>
    <n v="0"/>
    <n v="0"/>
    <n v="0"/>
    <n v="2E-3"/>
    <e v="#DIV/0!"/>
  </r>
  <r>
    <n v="13"/>
    <x v="39"/>
    <n v="23.154"/>
    <n v="22.05"/>
    <n v="1.1039999999999992"/>
    <n v="0.18100000000000094"/>
    <n v="5.5497970113155402E-2"/>
  </r>
  <r>
    <n v="14"/>
    <x v="39"/>
    <n v="0"/>
    <n v="0"/>
    <n v="0"/>
    <n v="0"/>
    <e v="#DIV/0!"/>
  </r>
  <r>
    <n v="15"/>
    <x v="39"/>
    <n v="25.77"/>
    <n v="24.66"/>
    <n v="1.1099999999999994"/>
    <n v="0.02"/>
    <n v="4.3849437330228926E-2"/>
  </r>
  <r>
    <n v="16"/>
    <x v="39"/>
    <n v="28.271999999999998"/>
    <n v="27.25"/>
    <n v="1.0219999999999985"/>
    <n v="0.12299999999999756"/>
    <n v="4.0499434069043438E-2"/>
  </r>
  <r>
    <n v="17"/>
    <x v="39"/>
    <n v="2"/>
    <n v="1.98"/>
    <n v="2.0000000000000018E-2"/>
    <n v="7.0000000000000007E-2"/>
    <n v="4.5000000000000012E-2"/>
  </r>
  <r>
    <n v="18"/>
    <x v="39"/>
    <n v="0"/>
    <n v="0"/>
    <n v="0"/>
    <n v="7.4999999999999997E-2"/>
    <e v="#DIV/0!"/>
  </r>
  <r>
    <n v="19"/>
    <x v="39"/>
    <n v="29.62"/>
    <n v="28.28"/>
    <n v="1.3399999999999999"/>
    <n v="6.6000000000000003E-2"/>
    <n v="4.7467927076299793E-2"/>
  </r>
  <r>
    <n v="20"/>
    <x v="39"/>
    <n v="0"/>
    <n v="0"/>
    <n v="0"/>
    <n v="5.6000000000000001E-2"/>
    <e v="#DIV/0!"/>
  </r>
  <r>
    <n v="21"/>
    <x v="39"/>
    <n v="0"/>
    <n v="0"/>
    <n v="0"/>
    <n v="0.14899999999999999"/>
    <e v="#DIV/0!"/>
  </r>
  <r>
    <n v="22"/>
    <x v="39"/>
    <n v="0"/>
    <n v="0"/>
    <n v="0"/>
    <n v="8.5999999999999993E-2"/>
    <e v="#DIV/0!"/>
  </r>
  <r>
    <n v="23"/>
    <x v="39"/>
    <n v="20"/>
    <n v="19.059999999999999"/>
    <n v="0.94000000000000128"/>
    <n v="0.113"/>
    <n v="5.2650000000000065E-2"/>
  </r>
  <r>
    <n v="24"/>
    <x v="39"/>
    <n v="17"/>
    <n v="16.88"/>
    <n v="0.12000000000000099"/>
    <n v="0.36599999999999999"/>
    <n v="2.8588235294117706E-2"/>
  </r>
  <r>
    <n v="25"/>
    <x v="39"/>
    <n v="39.619999999999997"/>
    <n v="38.409999999999997"/>
    <n v="1.2100000000000009"/>
    <n v="0.14599999999999999"/>
    <n v="3.4225138818778415E-2"/>
  </r>
  <r>
    <n v="26"/>
    <x v="39"/>
    <n v="40"/>
    <n v="38.29"/>
    <n v="1.7100000000000009"/>
    <n v="0.04"/>
    <n v="4.3750000000000025E-2"/>
  </r>
  <r>
    <n v="27"/>
    <x v="39"/>
    <n v="40"/>
    <n v="38.270000000000003"/>
    <n v="1.7299999999999969"/>
    <n v="0.158"/>
    <n v="4.7199999999999923E-2"/>
  </r>
  <r>
    <n v="28"/>
    <x v="39"/>
    <n v="0"/>
    <n v="0"/>
    <n v="0"/>
    <n v="0.14199999999999999"/>
    <e v="#DIV/0!"/>
  </r>
  <r>
    <n v="29"/>
    <x v="39"/>
    <n v="0"/>
    <n v="0"/>
    <n v="0"/>
    <n v="9.5000000000000001E-2"/>
    <e v="#DIV/0!"/>
  </r>
  <r>
    <n v="30"/>
    <x v="39"/>
    <n v="0"/>
    <n v="0"/>
    <n v="0"/>
    <n v="0.17399999999999999"/>
    <e v="#DIV/0!"/>
  </r>
  <r>
    <n v="31"/>
    <x v="39"/>
    <n v="20"/>
    <n v="19.11"/>
    <n v="0.89000000000000057"/>
    <n v="1.0999999999999999E-2"/>
    <n v="4.5050000000000028E-2"/>
  </r>
  <r>
    <n v="1"/>
    <x v="40"/>
    <n v="0"/>
    <n v="0"/>
    <n v="0"/>
    <n v="0"/>
    <e v="#DIV/0!"/>
  </r>
  <r>
    <n v="2"/>
    <x v="40"/>
    <n v="0"/>
    <n v="0"/>
    <n v="0"/>
    <n v="0"/>
    <e v="#DIV/0!"/>
  </r>
  <r>
    <n v="3"/>
    <x v="40"/>
    <n v="0"/>
    <n v="0"/>
    <n v="0"/>
    <n v="0"/>
    <e v="#DIV/0!"/>
  </r>
  <r>
    <n v="4"/>
    <x v="40"/>
    <n v="0"/>
    <n v="0"/>
    <n v="0"/>
    <n v="0"/>
    <e v="#DIV/0!"/>
  </r>
  <r>
    <n v="5"/>
    <x v="40"/>
    <n v="0"/>
    <n v="0"/>
    <n v="0"/>
    <n v="0"/>
    <e v="#DIV/0!"/>
  </r>
  <r>
    <n v="6"/>
    <x v="40"/>
    <n v="0"/>
    <n v="0"/>
    <n v="0"/>
    <n v="0"/>
    <e v="#DIV/0!"/>
  </r>
  <r>
    <n v="7"/>
    <x v="40"/>
    <n v="0"/>
    <n v="0"/>
    <n v="0"/>
    <n v="0"/>
    <e v="#DIV/0!"/>
  </r>
  <r>
    <n v="8"/>
    <x v="40"/>
    <n v="0"/>
    <n v="0"/>
    <n v="0"/>
    <n v="0"/>
    <e v="#DIV/0!"/>
  </r>
  <r>
    <n v="9"/>
    <x v="40"/>
    <n v="0"/>
    <n v="0"/>
    <n v="0"/>
    <n v="0"/>
    <e v="#DIV/0!"/>
  </r>
  <r>
    <n v="10"/>
    <x v="40"/>
    <n v="0"/>
    <n v="0"/>
    <n v="0"/>
    <n v="0"/>
    <e v="#DIV/0!"/>
  </r>
  <r>
    <n v="11"/>
    <x v="40"/>
    <n v="0"/>
    <n v="0"/>
    <n v="0"/>
    <n v="0"/>
    <e v="#DIV/0!"/>
  </r>
  <r>
    <n v="12"/>
    <x v="40"/>
    <n v="0"/>
    <n v="0"/>
    <n v="0"/>
    <n v="0"/>
    <e v="#DIV/0!"/>
  </r>
  <r>
    <n v="13"/>
    <x v="40"/>
    <n v="0"/>
    <n v="0"/>
    <n v="0"/>
    <n v="0"/>
    <e v="#DIV/0!"/>
  </r>
  <r>
    <n v="14"/>
    <x v="40"/>
    <n v="0"/>
    <n v="0"/>
    <n v="0"/>
    <n v="0"/>
    <e v="#DIV/0!"/>
  </r>
  <r>
    <n v="15"/>
    <x v="40"/>
    <n v="20"/>
    <n v="19.809999999999999"/>
    <n v="0.19000000000000128"/>
    <n v="0.65500000000000003"/>
    <n v="4.2250000000000065E-2"/>
  </r>
  <r>
    <n v="16"/>
    <x v="40"/>
    <n v="0"/>
    <n v="0"/>
    <n v="0"/>
    <n v="0.2"/>
    <e v="#DIV/0!"/>
  </r>
  <r>
    <n v="17"/>
    <x v="40"/>
    <n v="0"/>
    <n v="0"/>
    <n v="0"/>
    <n v="0.125"/>
    <e v="#DIV/0!"/>
  </r>
  <r>
    <n v="18"/>
    <x v="40"/>
    <n v="0"/>
    <n v="0"/>
    <n v="0"/>
    <n v="0.1"/>
    <e v="#DIV/0!"/>
  </r>
  <r>
    <n v="19"/>
    <x v="40"/>
    <n v="0"/>
    <n v="0"/>
    <n v="0"/>
    <n v="0.09"/>
    <e v="#DIV/0!"/>
  </r>
  <r>
    <n v="20"/>
    <x v="40"/>
    <n v="20"/>
    <n v="19.87"/>
    <n v="0.12999999999999901"/>
    <n v="-0.58499999999999996"/>
    <n v="-2.2750000000000048E-2"/>
  </r>
  <r>
    <n v="21"/>
    <x v="40"/>
    <n v="0"/>
    <n v="0"/>
    <n v="0"/>
    <n v="9.5000000000000001E-2"/>
    <e v="#DIV/0!"/>
  </r>
  <r>
    <n v="22"/>
    <x v="40"/>
    <n v="0"/>
    <n v="0"/>
    <n v="0"/>
    <n v="0.18"/>
    <e v="#DIV/0!"/>
  </r>
  <r>
    <n v="23"/>
    <x v="40"/>
    <n v="0"/>
    <n v="0"/>
    <n v="0"/>
    <n v="0.66"/>
    <e v="#DIV/0!"/>
  </r>
  <r>
    <n v="24"/>
    <x v="40"/>
    <n v="0"/>
    <n v="0"/>
    <n v="0"/>
    <n v="0.105"/>
    <e v="#DIV/0!"/>
  </r>
  <r>
    <n v="25"/>
    <x v="40"/>
    <n v="0"/>
    <n v="0"/>
    <n v="0"/>
    <n v="0.03"/>
    <e v="#DIV/0!"/>
  </r>
  <r>
    <n v="26"/>
    <x v="40"/>
    <n v="0"/>
    <n v="0"/>
    <n v="0"/>
    <n v="0.185"/>
    <e v="#DIV/0!"/>
  </r>
  <r>
    <n v="27"/>
    <x v="40"/>
    <n v="0"/>
    <n v="0"/>
    <n v="0"/>
    <n v="0.20499999999999999"/>
    <e v="#DIV/0!"/>
  </r>
  <r>
    <n v="28"/>
    <x v="40"/>
    <n v="0"/>
    <n v="0"/>
    <n v="0"/>
    <n v="-2.58"/>
    <e v="#DIV/0!"/>
  </r>
  <r>
    <n v="29"/>
    <x v="40"/>
    <n v="0"/>
    <n v="0"/>
    <n v="0"/>
    <n v="0.19"/>
    <e v="#DIV/0!"/>
  </r>
  <r>
    <n v="30"/>
    <x v="40"/>
    <n v="0"/>
    <n v="0"/>
    <n v="0"/>
    <n v="5.5E-2"/>
    <e v="#DIV/0!"/>
  </r>
  <r>
    <n v="31"/>
    <x v="40"/>
    <n v="0"/>
    <n v="0"/>
    <n v="0"/>
    <n v="0.05"/>
    <e v="#DIV/0!"/>
  </r>
  <r>
    <n v="1"/>
    <x v="41"/>
    <n v="0"/>
    <n v="0"/>
    <n v="0"/>
    <n v="0"/>
    <e v="#DIV/0!"/>
  </r>
  <r>
    <n v="2"/>
    <x v="41"/>
    <n v="0"/>
    <n v="0"/>
    <n v="0"/>
    <n v="0"/>
    <e v="#DIV/0!"/>
  </r>
  <r>
    <n v="3"/>
    <x v="41"/>
    <n v="0"/>
    <n v="0"/>
    <n v="0"/>
    <n v="0"/>
    <e v="#DIV/0!"/>
  </r>
  <r>
    <n v="4"/>
    <x v="41"/>
    <n v="0"/>
    <n v="0"/>
    <n v="0"/>
    <n v="0"/>
    <e v="#DIV/0!"/>
  </r>
  <r>
    <n v="5"/>
    <x v="41"/>
    <n v="0"/>
    <n v="0"/>
    <n v="0"/>
    <n v="0"/>
    <e v="#DIV/0!"/>
  </r>
  <r>
    <n v="6"/>
    <x v="41"/>
    <n v="0"/>
    <n v="0"/>
    <n v="0"/>
    <n v="0"/>
    <e v="#DIV/0!"/>
  </r>
  <r>
    <n v="7"/>
    <x v="41"/>
    <n v="0"/>
    <n v="0"/>
    <n v="0"/>
    <n v="0"/>
    <e v="#DIV/0!"/>
  </r>
  <r>
    <n v="8"/>
    <x v="41"/>
    <n v="0"/>
    <n v="0"/>
    <n v="0"/>
    <n v="0"/>
    <e v="#DIV/0!"/>
  </r>
  <r>
    <n v="9"/>
    <x v="41"/>
    <n v="0"/>
    <n v="0"/>
    <n v="0"/>
    <n v="0"/>
    <e v="#DIV/0!"/>
  </r>
  <r>
    <n v="10"/>
    <x v="41"/>
    <n v="0"/>
    <n v="0"/>
    <n v="0"/>
    <n v="0"/>
    <e v="#DIV/0!"/>
  </r>
  <r>
    <n v="11"/>
    <x v="41"/>
    <n v="0"/>
    <n v="0"/>
    <n v="0"/>
    <n v="0"/>
    <e v="#DIV/0!"/>
  </r>
  <r>
    <n v="12"/>
    <x v="41"/>
    <n v="0"/>
    <n v="0"/>
    <n v="0"/>
    <n v="0"/>
    <e v="#DIV/0!"/>
  </r>
  <r>
    <n v="13"/>
    <x v="41"/>
    <n v="0"/>
    <n v="0"/>
    <n v="0"/>
    <n v="0"/>
    <e v="#DIV/0!"/>
  </r>
  <r>
    <n v="14"/>
    <x v="41"/>
    <n v="0"/>
    <n v="0"/>
    <n v="0"/>
    <n v="0"/>
    <e v="#DIV/0!"/>
  </r>
  <r>
    <n v="15"/>
    <x v="41"/>
    <n v="0"/>
    <n v="0"/>
    <n v="0"/>
    <n v="0"/>
    <e v="#DIV/0!"/>
  </r>
  <r>
    <n v="16"/>
    <x v="41"/>
    <n v="0"/>
    <n v="0"/>
    <n v="0"/>
    <n v="0"/>
    <e v="#DIV/0!"/>
  </r>
  <r>
    <n v="17"/>
    <x v="41"/>
    <n v="60"/>
    <n v="59.59"/>
    <n v="0.40999999999999659"/>
    <n v="0.125"/>
    <n v="8.9166666666666092E-3"/>
  </r>
  <r>
    <n v="18"/>
    <x v="41"/>
    <n v="20"/>
    <n v="19.8"/>
    <n v="0.19999999999999929"/>
    <n v="9.8000000000000004E-2"/>
    <n v="1.4899999999999964E-2"/>
  </r>
  <r>
    <n v="19"/>
    <x v="41"/>
    <n v="0"/>
    <n v="0"/>
    <n v="0"/>
    <n v="9.7000000000000003E-2"/>
    <e v="#DIV/0!"/>
  </r>
  <r>
    <n v="20"/>
    <x v="41"/>
    <n v="20"/>
    <n v="19.899999999999999"/>
    <n v="0.10000000000000142"/>
    <n v="0.186"/>
    <n v="1.4300000000000071E-2"/>
  </r>
  <r>
    <n v="21"/>
    <x v="41"/>
    <n v="0"/>
    <n v="0"/>
    <n v="0"/>
    <n v="0.1"/>
    <e v="#DIV/0!"/>
  </r>
  <r>
    <n v="22"/>
    <x v="41"/>
    <n v="20"/>
    <n v="19.760000000000002"/>
    <n v="0.23999999999999844"/>
    <n v="6.5000000000000002E-2"/>
    <n v="1.5249999999999922E-2"/>
  </r>
  <r>
    <n v="23"/>
    <x v="41"/>
    <n v="27.66"/>
    <n v="27.42"/>
    <n v="0.23999999999999844"/>
    <n v="0.16400000000000001"/>
    <n v="1.4605929139551645E-2"/>
  </r>
  <r>
    <n v="24"/>
    <x v="41"/>
    <n v="0"/>
    <n v="0"/>
    <n v="0"/>
    <n v="0.215"/>
    <e v="#DIV/0!"/>
  </r>
  <r>
    <n v="25"/>
    <x v="41"/>
    <n v="23.44"/>
    <n v="23.39"/>
    <n v="5.0000000000000711E-2"/>
    <n v="0.19"/>
    <n v="1.0238907849829381E-2"/>
  </r>
  <r>
    <n v="26"/>
    <x v="41"/>
    <n v="26.55"/>
    <n v="26.33"/>
    <n v="0.22000000000000242"/>
    <n v="0.17799999999999999"/>
    <n v="1.4990583804143216E-2"/>
  </r>
  <r>
    <n v="27"/>
    <x v="41"/>
    <n v="20"/>
    <n v="19.72"/>
    <n v="0.28000000000000114"/>
    <n v="6.2E-2"/>
    <n v="1.7100000000000056E-2"/>
  </r>
  <r>
    <n v="28"/>
    <x v="41"/>
    <n v="0"/>
    <n v="0"/>
    <n v="0"/>
    <n v="0.2"/>
    <e v="#DIV/0!"/>
  </r>
  <r>
    <n v="29"/>
    <x v="41"/>
    <n v="60"/>
    <n v="59.44"/>
    <n v="0.56000000000000227"/>
    <n v="0.28999999999999998"/>
    <n v="1.4166666666666706E-2"/>
  </r>
  <r>
    <n v="30"/>
    <x v="41"/>
    <n v="23.85"/>
    <n v="23.65"/>
    <n v="0.20000000000000284"/>
    <n v="0.16"/>
    <n v="1.5094339622641629E-2"/>
  </r>
  <r>
    <n v="31"/>
    <x v="41"/>
    <n v="20"/>
    <n v="19.829999999999998"/>
    <n v="0.17000000000000171"/>
    <n v="0.14499999999999999"/>
    <n v="1.5750000000000087E-2"/>
  </r>
  <r>
    <n v="1"/>
    <x v="42"/>
    <n v="0"/>
    <n v="0"/>
    <n v="0"/>
    <n v="0"/>
    <e v="#DIV/0!"/>
  </r>
  <r>
    <n v="2"/>
    <x v="42"/>
    <n v="0"/>
    <n v="0"/>
    <n v="0"/>
    <n v="0"/>
    <e v="#DIV/0!"/>
  </r>
  <r>
    <n v="3"/>
    <x v="42"/>
    <n v="0"/>
    <n v="0"/>
    <n v="0"/>
    <n v="0"/>
    <e v="#DIV/0!"/>
  </r>
  <r>
    <n v="4"/>
    <x v="42"/>
    <n v="0"/>
    <n v="0"/>
    <n v="0"/>
    <n v="0"/>
    <e v="#DIV/0!"/>
  </r>
  <r>
    <n v="5"/>
    <x v="42"/>
    <n v="0"/>
    <n v="0"/>
    <n v="0"/>
    <n v="0"/>
    <e v="#DIV/0!"/>
  </r>
  <r>
    <n v="6"/>
    <x v="42"/>
    <n v="0"/>
    <n v="0"/>
    <n v="0"/>
    <n v="0"/>
    <e v="#DIV/0!"/>
  </r>
  <r>
    <n v="7"/>
    <x v="42"/>
    <n v="0"/>
    <n v="0"/>
    <n v="0"/>
    <n v="0"/>
    <e v="#DIV/0!"/>
  </r>
  <r>
    <n v="8"/>
    <x v="42"/>
    <n v="0"/>
    <n v="0"/>
    <n v="0"/>
    <n v="0"/>
    <e v="#DIV/0!"/>
  </r>
  <r>
    <n v="9"/>
    <x v="42"/>
    <n v="0"/>
    <n v="0"/>
    <n v="0"/>
    <n v="0"/>
    <e v="#DIV/0!"/>
  </r>
  <r>
    <n v="10"/>
    <x v="42"/>
    <n v="0"/>
    <n v="0"/>
    <n v="0"/>
    <n v="0"/>
    <e v="#DIV/0!"/>
  </r>
  <r>
    <n v="11"/>
    <x v="42"/>
    <n v="0"/>
    <n v="0"/>
    <n v="0"/>
    <n v="0"/>
    <e v="#DIV/0!"/>
  </r>
  <r>
    <n v="12"/>
    <x v="42"/>
    <n v="0"/>
    <n v="0"/>
    <n v="0"/>
    <n v="0"/>
    <e v="#DIV/0!"/>
  </r>
  <r>
    <n v="13"/>
    <x v="42"/>
    <n v="0"/>
    <n v="0"/>
    <n v="0"/>
    <n v="0"/>
    <e v="#DIV/0!"/>
  </r>
  <r>
    <n v="14"/>
    <x v="42"/>
    <n v="0"/>
    <n v="0"/>
    <n v="0"/>
    <n v="0"/>
    <e v="#DIV/0!"/>
  </r>
  <r>
    <n v="15"/>
    <x v="42"/>
    <n v="0"/>
    <n v="0"/>
    <n v="0"/>
    <n v="0"/>
    <e v="#DIV/0!"/>
  </r>
  <r>
    <n v="16"/>
    <x v="42"/>
    <n v="0"/>
    <n v="0"/>
    <n v="0"/>
    <n v="0"/>
    <e v="#DIV/0!"/>
  </r>
  <r>
    <n v="17"/>
    <x v="42"/>
    <n v="0"/>
    <n v="0"/>
    <n v="0"/>
    <n v="0"/>
    <e v="#DIV/0!"/>
  </r>
  <r>
    <n v="18"/>
    <x v="42"/>
    <n v="0"/>
    <n v="0"/>
    <n v="0"/>
    <n v="0"/>
    <e v="#DIV/0!"/>
  </r>
  <r>
    <n v="19"/>
    <x v="42"/>
    <n v="0"/>
    <n v="0"/>
    <n v="0"/>
    <n v="0"/>
    <e v="#DIV/0!"/>
  </r>
  <r>
    <n v="20"/>
    <x v="42"/>
    <n v="0"/>
    <n v="0"/>
    <n v="0"/>
    <n v="0"/>
    <e v="#DIV/0!"/>
  </r>
  <r>
    <n v="21"/>
    <x v="42"/>
    <n v="0"/>
    <n v="0"/>
    <n v="0"/>
    <n v="0"/>
    <e v="#DIV/0!"/>
  </r>
  <r>
    <n v="22"/>
    <x v="42"/>
    <n v="0"/>
    <n v="0"/>
    <n v="0"/>
    <n v="0"/>
    <e v="#DIV/0!"/>
  </r>
  <r>
    <n v="23"/>
    <x v="42"/>
    <n v="0"/>
    <n v="0"/>
    <n v="0"/>
    <n v="0"/>
    <e v="#DIV/0!"/>
  </r>
  <r>
    <n v="24"/>
    <x v="42"/>
    <n v="0"/>
    <n v="0"/>
    <n v="0"/>
    <n v="0"/>
    <e v="#DIV/0!"/>
  </r>
  <r>
    <n v="25"/>
    <x v="42"/>
    <n v="0"/>
    <n v="0"/>
    <n v="0"/>
    <n v="0"/>
    <e v="#DIV/0!"/>
  </r>
  <r>
    <n v="26"/>
    <x v="42"/>
    <n v="0"/>
    <n v="0"/>
    <n v="0"/>
    <n v="0"/>
    <e v="#DIV/0!"/>
  </r>
  <r>
    <n v="27"/>
    <x v="42"/>
    <n v="0"/>
    <n v="0"/>
    <n v="0"/>
    <n v="0"/>
    <e v="#DIV/0!"/>
  </r>
  <r>
    <n v="28"/>
    <x v="42"/>
    <n v="0"/>
    <n v="0"/>
    <n v="0"/>
    <n v="0"/>
    <e v="#DIV/0!"/>
  </r>
  <r>
    <n v="29"/>
    <x v="42"/>
    <n v="80"/>
    <n v="79.36"/>
    <n v="0.64000000000000057"/>
    <n v="2.4990000000000001"/>
    <n v="3.9237500000000008E-2"/>
  </r>
  <r>
    <n v="30"/>
    <x v="42"/>
    <n v="60"/>
    <n v="59.51"/>
    <n v="0.49000000000000199"/>
    <n v="0.65400000000000003"/>
    <n v="1.9066666666666697E-2"/>
  </r>
  <r>
    <n v="31"/>
    <x v="42"/>
    <n v="60"/>
    <n v="59.56"/>
    <n v="0.43999999999999773"/>
    <n v="0.82799999999999996"/>
    <n v="2.1133333333333292E-2"/>
  </r>
  <r>
    <n v="1"/>
    <x v="43"/>
    <n v="0"/>
    <n v="0"/>
    <n v="0"/>
    <n v="0"/>
    <e v="#DIV/0!"/>
  </r>
  <r>
    <n v="2"/>
    <x v="43"/>
    <n v="0"/>
    <n v="0"/>
    <n v="0"/>
    <n v="0"/>
    <e v="#DIV/0!"/>
  </r>
  <r>
    <n v="3"/>
    <x v="43"/>
    <n v="0"/>
    <n v="0"/>
    <n v="0"/>
    <n v="0"/>
    <e v="#DIV/0!"/>
  </r>
  <r>
    <n v="4"/>
    <x v="43"/>
    <n v="0"/>
    <n v="0"/>
    <n v="0"/>
    <n v="0"/>
    <e v="#DIV/0!"/>
  </r>
  <r>
    <n v="5"/>
    <x v="43"/>
    <n v="0"/>
    <n v="0"/>
    <n v="0"/>
    <n v="0"/>
    <e v="#DIV/0!"/>
  </r>
  <r>
    <n v="6"/>
    <x v="43"/>
    <n v="0"/>
    <n v="0"/>
    <n v="0"/>
    <n v="0"/>
    <e v="#DIV/0!"/>
  </r>
  <r>
    <n v="7"/>
    <x v="43"/>
    <n v="0"/>
    <n v="0"/>
    <n v="0"/>
    <n v="0"/>
    <e v="#DIV/0!"/>
  </r>
  <r>
    <n v="8"/>
    <x v="43"/>
    <n v="0"/>
    <n v="0"/>
    <n v="0"/>
    <n v="0"/>
    <e v="#DIV/0!"/>
  </r>
  <r>
    <n v="9"/>
    <x v="43"/>
    <n v="0"/>
    <n v="0"/>
    <n v="0"/>
    <n v="0"/>
    <e v="#DIV/0!"/>
  </r>
  <r>
    <n v="10"/>
    <x v="43"/>
    <n v="0"/>
    <n v="0"/>
    <n v="0"/>
    <n v="0"/>
    <e v="#DIV/0!"/>
  </r>
  <r>
    <n v="11"/>
    <x v="43"/>
    <n v="0"/>
    <n v="0"/>
    <n v="0"/>
    <n v="0"/>
    <e v="#DIV/0!"/>
  </r>
  <r>
    <n v="12"/>
    <x v="43"/>
    <n v="0"/>
    <n v="0"/>
    <n v="0"/>
    <n v="0"/>
    <e v="#DIV/0!"/>
  </r>
  <r>
    <n v="13"/>
    <x v="43"/>
    <n v="0"/>
    <n v="0"/>
    <n v="0"/>
    <n v="0"/>
    <e v="#DIV/0!"/>
  </r>
  <r>
    <n v="14"/>
    <x v="43"/>
    <n v="0"/>
    <n v="0"/>
    <n v="0"/>
    <n v="0"/>
    <e v="#DIV/0!"/>
  </r>
  <r>
    <n v="15"/>
    <x v="43"/>
    <n v="0"/>
    <n v="0"/>
    <n v="0"/>
    <n v="0"/>
    <e v="#DIV/0!"/>
  </r>
  <r>
    <n v="16"/>
    <x v="43"/>
    <n v="0"/>
    <n v="0"/>
    <n v="0"/>
    <n v="0"/>
    <e v="#DIV/0!"/>
  </r>
  <r>
    <n v="17"/>
    <x v="43"/>
    <n v="0"/>
    <n v="0"/>
    <n v="0"/>
    <n v="0"/>
    <e v="#DIV/0!"/>
  </r>
  <r>
    <n v="18"/>
    <x v="43"/>
    <n v="0"/>
    <n v="0"/>
    <n v="0"/>
    <n v="0"/>
    <e v="#DIV/0!"/>
  </r>
  <r>
    <n v="19"/>
    <x v="43"/>
    <n v="0"/>
    <n v="0"/>
    <n v="0"/>
    <n v="0"/>
    <e v="#DIV/0!"/>
  </r>
  <r>
    <n v="20"/>
    <x v="43"/>
    <n v="0"/>
    <n v="0"/>
    <n v="0"/>
    <n v="0"/>
    <e v="#DIV/0!"/>
  </r>
  <r>
    <n v="21"/>
    <x v="43"/>
    <n v="0"/>
    <n v="0"/>
    <n v="0"/>
    <n v="0"/>
    <e v="#DIV/0!"/>
  </r>
  <r>
    <n v="22"/>
    <x v="43"/>
    <n v="0"/>
    <n v="0"/>
    <n v="0"/>
    <n v="0"/>
    <e v="#DIV/0!"/>
  </r>
  <r>
    <n v="23"/>
    <x v="43"/>
    <n v="0"/>
    <n v="0"/>
    <n v="0"/>
    <n v="0"/>
    <e v="#DIV/0!"/>
  </r>
  <r>
    <n v="24"/>
    <x v="43"/>
    <n v="0"/>
    <n v="0"/>
    <n v="0"/>
    <n v="0"/>
    <e v="#DIV/0!"/>
  </r>
  <r>
    <n v="25"/>
    <x v="43"/>
    <n v="0"/>
    <n v="0"/>
    <n v="0"/>
    <n v="0"/>
    <e v="#DIV/0!"/>
  </r>
  <r>
    <n v="26"/>
    <x v="43"/>
    <n v="0"/>
    <n v="0"/>
    <n v="0"/>
    <n v="0"/>
    <e v="#DIV/0!"/>
  </r>
  <r>
    <n v="27"/>
    <x v="43"/>
    <n v="0"/>
    <n v="0"/>
    <n v="0"/>
    <n v="0"/>
    <e v="#DIV/0!"/>
  </r>
  <r>
    <n v="28"/>
    <x v="43"/>
    <n v="0"/>
    <n v="0"/>
    <n v="0"/>
    <n v="0"/>
    <e v="#DIV/0!"/>
  </r>
  <r>
    <n v="29"/>
    <x v="43"/>
    <n v="0"/>
    <n v="0"/>
    <n v="0"/>
    <n v="0"/>
    <e v="#DIV/0!"/>
  </r>
  <r>
    <n v="30"/>
    <x v="43"/>
    <n v="60"/>
    <n v="59.92"/>
    <n v="7.9999999999998295E-2"/>
    <n v="1.05"/>
    <n v="1.8833333333333306E-2"/>
  </r>
  <r>
    <n v="31"/>
    <x v="43"/>
    <n v="0"/>
    <n v="0"/>
    <n v="0"/>
    <n v="0.307"/>
    <e v="#DIV/0!"/>
  </r>
  <r>
    <n v="1"/>
    <x v="44"/>
    <n v="0"/>
    <n v="0"/>
    <n v="0"/>
    <n v="0"/>
    <e v="#DIV/0!"/>
  </r>
  <r>
    <n v="2"/>
    <x v="44"/>
    <n v="0"/>
    <n v="0"/>
    <n v="0"/>
    <n v="0"/>
    <e v="#DIV/0!"/>
  </r>
  <r>
    <n v="3"/>
    <x v="44"/>
    <n v="0"/>
    <n v="0"/>
    <n v="0"/>
    <n v="0"/>
    <e v="#DIV/0!"/>
  </r>
  <r>
    <n v="4"/>
    <x v="44"/>
    <n v="0"/>
    <n v="0"/>
    <n v="0"/>
    <n v="0"/>
    <e v="#DIV/0!"/>
  </r>
  <r>
    <n v="5"/>
    <x v="44"/>
    <n v="0"/>
    <n v="0"/>
    <n v="0"/>
    <n v="0"/>
    <e v="#DIV/0!"/>
  </r>
  <r>
    <n v="6"/>
    <x v="44"/>
    <n v="0"/>
    <n v="0"/>
    <n v="0"/>
    <n v="0"/>
    <e v="#DIV/0!"/>
  </r>
  <r>
    <n v="7"/>
    <x v="44"/>
    <n v="0"/>
    <n v="0"/>
    <n v="0"/>
    <n v="0"/>
    <e v="#DIV/0!"/>
  </r>
  <r>
    <n v="8"/>
    <x v="44"/>
    <n v="0"/>
    <n v="0"/>
    <n v="0"/>
    <n v="0"/>
    <e v="#DIV/0!"/>
  </r>
  <r>
    <n v="9"/>
    <x v="44"/>
    <n v="0"/>
    <n v="0"/>
    <n v="0"/>
    <n v="0"/>
    <e v="#DIV/0!"/>
  </r>
  <r>
    <n v="10"/>
    <x v="44"/>
    <n v="0"/>
    <n v="0"/>
    <n v="0"/>
    <n v="0"/>
    <e v="#DIV/0!"/>
  </r>
  <r>
    <n v="11"/>
    <x v="44"/>
    <n v="0"/>
    <n v="0"/>
    <n v="0"/>
    <n v="0"/>
    <e v="#DIV/0!"/>
  </r>
  <r>
    <n v="12"/>
    <x v="44"/>
    <n v="0"/>
    <n v="0"/>
    <n v="0"/>
    <n v="0"/>
    <e v="#DIV/0!"/>
  </r>
  <r>
    <n v="13"/>
    <x v="44"/>
    <n v="0"/>
    <n v="0"/>
    <n v="0"/>
    <n v="0"/>
    <e v="#DIV/0!"/>
  </r>
  <r>
    <n v="14"/>
    <x v="44"/>
    <n v="0"/>
    <n v="0"/>
    <n v="0"/>
    <n v="0"/>
    <e v="#DIV/0!"/>
  </r>
  <r>
    <n v="15"/>
    <x v="44"/>
    <n v="0"/>
    <n v="0"/>
    <n v="0"/>
    <n v="0"/>
    <e v="#DIV/0!"/>
  </r>
  <r>
    <n v="16"/>
    <x v="44"/>
    <n v="0"/>
    <n v="0"/>
    <n v="0"/>
    <n v="0"/>
    <e v="#DIV/0!"/>
  </r>
  <r>
    <n v="17"/>
    <x v="44"/>
    <n v="0"/>
    <n v="0"/>
    <n v="0"/>
    <n v="0"/>
    <e v="#DIV/0!"/>
  </r>
  <r>
    <n v="18"/>
    <x v="44"/>
    <n v="0"/>
    <n v="0"/>
    <n v="0"/>
    <n v="0"/>
    <e v="#DIV/0!"/>
  </r>
  <r>
    <n v="19"/>
    <x v="44"/>
    <n v="0"/>
    <n v="0"/>
    <n v="0"/>
    <n v="0"/>
    <e v="#DIV/0!"/>
  </r>
  <r>
    <n v="20"/>
    <x v="44"/>
    <n v="0"/>
    <n v="0"/>
    <n v="0"/>
    <n v="0"/>
    <e v="#DIV/0!"/>
  </r>
  <r>
    <n v="21"/>
    <x v="44"/>
    <n v="0"/>
    <n v="0"/>
    <n v="0"/>
    <n v="0"/>
    <e v="#DIV/0!"/>
  </r>
  <r>
    <n v="22"/>
    <x v="44"/>
    <n v="0"/>
    <n v="0"/>
    <n v="0"/>
    <n v="0"/>
    <e v="#DIV/0!"/>
  </r>
  <r>
    <n v="23"/>
    <x v="44"/>
    <n v="0"/>
    <n v="0"/>
    <n v="0"/>
    <n v="0"/>
    <e v="#DIV/0!"/>
  </r>
  <r>
    <n v="24"/>
    <x v="44"/>
    <n v="0"/>
    <n v="0"/>
    <n v="0"/>
    <n v="0"/>
    <e v="#DIV/0!"/>
  </r>
  <r>
    <n v="25"/>
    <x v="44"/>
    <n v="0"/>
    <n v="0"/>
    <n v="0"/>
    <n v="0"/>
    <e v="#DIV/0!"/>
  </r>
  <r>
    <n v="26"/>
    <x v="44"/>
    <n v="0"/>
    <n v="0"/>
    <n v="0"/>
    <n v="0"/>
    <e v="#DIV/0!"/>
  </r>
  <r>
    <n v="27"/>
    <x v="44"/>
    <n v="0"/>
    <n v="0"/>
    <n v="0"/>
    <n v="0"/>
    <e v="#DIV/0!"/>
  </r>
  <r>
    <n v="28"/>
    <x v="44"/>
    <n v="0"/>
    <n v="0"/>
    <n v="0"/>
    <n v="0"/>
    <e v="#DIV/0!"/>
  </r>
  <r>
    <n v="29"/>
    <x v="44"/>
    <n v="0"/>
    <n v="0"/>
    <n v="0"/>
    <n v="0"/>
    <e v="#DIV/0!"/>
  </r>
  <r>
    <n v="30"/>
    <x v="44"/>
    <n v="0"/>
    <n v="0"/>
    <n v="0"/>
    <n v="0"/>
    <e v="#DIV/0!"/>
  </r>
  <r>
    <n v="31"/>
    <x v="44"/>
    <n v="60"/>
    <n v="59.82"/>
    <n v="0.17999999999999972"/>
    <n v="0.222"/>
    <n v="6.699999999999995E-3"/>
  </r>
  <r>
    <n v="1"/>
    <x v="45"/>
    <n v="0"/>
    <n v="0"/>
    <n v="0"/>
    <n v="8.7999999999999995E-2"/>
    <e v="#DIV/0!"/>
  </r>
  <r>
    <n v="2"/>
    <x v="45"/>
    <n v="0"/>
    <n v="0"/>
    <n v="0"/>
    <n v="7.3999999999999996E-2"/>
    <e v="#DIV/0!"/>
  </r>
  <r>
    <n v="3"/>
    <x v="45"/>
    <n v="0"/>
    <n v="0"/>
    <n v="0"/>
    <n v="6.2E-2"/>
    <e v="#DIV/0!"/>
  </r>
  <r>
    <n v="4"/>
    <x v="45"/>
    <n v="20"/>
    <n v="19.95"/>
    <n v="5.0000000000000711E-2"/>
    <n v="8.2000000000000003E-2"/>
    <n v="6.6000000000000364E-3"/>
  </r>
  <r>
    <n v="5"/>
    <x v="45"/>
    <n v="0"/>
    <n v="0"/>
    <n v="0"/>
    <n v="7.8E-2"/>
    <e v="#DIV/0!"/>
  </r>
  <r>
    <n v="6"/>
    <x v="45"/>
    <n v="0"/>
    <n v="0"/>
    <n v="0"/>
    <n v="6.4000000000000001E-2"/>
    <e v="#DIV/0!"/>
  </r>
  <r>
    <n v="7"/>
    <x v="45"/>
    <n v="20"/>
    <n v="19.91"/>
    <n v="8.9999999999999858E-2"/>
    <n v="8.4000000000000005E-2"/>
    <n v="8.6999999999999942E-3"/>
  </r>
  <r>
    <n v="10"/>
    <x v="45"/>
    <n v="0"/>
    <n v="0"/>
    <n v="0"/>
    <n v="8.2000000000000003E-2"/>
    <e v="#DIV/0!"/>
  </r>
  <r>
    <n v="8"/>
    <x v="45"/>
    <n v="0"/>
    <n v="0"/>
    <n v="0"/>
    <n v="7.3999999999999996E-2"/>
    <e v="#DIV/0!"/>
  </r>
  <r>
    <n v="9"/>
    <x v="45"/>
    <n v="0"/>
    <n v="0"/>
    <n v="0"/>
    <n v="7.3999999999999996E-2"/>
    <e v="#DIV/0!"/>
  </r>
  <r>
    <n v="11"/>
    <x v="45"/>
    <n v="22.99"/>
    <n v="22.82"/>
    <n v="0.16999999999999815"/>
    <n v="7.5999999999999998E-2"/>
    <n v="1.0700304480208707E-2"/>
  </r>
  <r>
    <n v="12"/>
    <x v="45"/>
    <n v="0"/>
    <n v="0"/>
    <n v="0"/>
    <n v="7.0000000000000007E-2"/>
    <e v="#DIV/0!"/>
  </r>
  <r>
    <n v="13"/>
    <x v="45"/>
    <n v="0"/>
    <n v="0"/>
    <n v="0"/>
    <n v="7.1999999999999995E-2"/>
    <e v="#DIV/0!"/>
  </r>
  <r>
    <n v="14"/>
    <x v="45"/>
    <n v="23.54"/>
    <n v="23.54"/>
    <n v="0"/>
    <n v="8.2000000000000003E-2"/>
    <n v="3.4834324553950726E-3"/>
  </r>
  <r>
    <n v="15"/>
    <x v="45"/>
    <n v="0"/>
    <n v="0"/>
    <n v="0"/>
    <n v="7.5999999999999998E-2"/>
    <e v="#DIV/0!"/>
  </r>
  <r>
    <n v="16"/>
    <x v="45"/>
    <n v="0"/>
    <n v="0"/>
    <n v="0"/>
    <n v="7.0000000000000007E-2"/>
    <e v="#DIV/0!"/>
  </r>
  <r>
    <n v="17"/>
    <x v="45"/>
    <n v="0"/>
    <n v="0"/>
    <n v="0"/>
    <n v="7.5999999999999998E-2"/>
    <e v="#DIV/0!"/>
  </r>
  <r>
    <n v="18"/>
    <x v="45"/>
    <n v="20"/>
    <n v="19.95"/>
    <n v="5.0000000000000711E-2"/>
    <n v="7.0000000000000007E-2"/>
    <n v="6.0000000000000357E-3"/>
  </r>
  <r>
    <n v="19"/>
    <x v="45"/>
    <n v="0"/>
    <n v="0"/>
    <n v="0"/>
    <n v="7.5999999999999998E-2"/>
    <e v="#DIV/0!"/>
  </r>
  <r>
    <n v="20"/>
    <x v="45"/>
    <n v="0"/>
    <n v="0"/>
    <n v="0"/>
    <n v="7.3999999999999996E-2"/>
    <e v="#DIV/0!"/>
  </r>
  <r>
    <n v="21"/>
    <x v="45"/>
    <n v="20"/>
    <n v="19.940000000000001"/>
    <n v="5.9999999999998721E-2"/>
    <n v="8.2000000000000003E-2"/>
    <n v="7.0999999999999371E-3"/>
  </r>
  <r>
    <n v="22"/>
    <x v="45"/>
    <n v="0"/>
    <n v="0"/>
    <n v="0"/>
    <n v="7.4399999999999994E-2"/>
    <e v="#DIV/0!"/>
  </r>
  <r>
    <n v="23"/>
    <x v="45"/>
    <n v="0"/>
    <n v="0"/>
    <n v="0"/>
    <n v="0.06"/>
    <e v="#DIV/0!"/>
  </r>
  <r>
    <n v="24"/>
    <x v="45"/>
    <n v="0"/>
    <n v="0"/>
    <n v="0"/>
    <n v="7.0000000000000007E-2"/>
    <e v="#DIV/0!"/>
  </r>
  <r>
    <n v="25"/>
    <x v="45"/>
    <n v="0"/>
    <n v="0"/>
    <n v="0"/>
    <n v="0"/>
    <e v="#DIV/0!"/>
  </r>
  <r>
    <n v="26"/>
    <x v="45"/>
    <n v="0"/>
    <n v="0"/>
    <n v="0"/>
    <n v="8.2000000000000003E-2"/>
    <e v="#DIV/0!"/>
  </r>
  <r>
    <n v="27"/>
    <x v="45"/>
    <n v="0"/>
    <n v="0"/>
    <n v="0"/>
    <n v="0.06"/>
    <e v="#DIV/0!"/>
  </r>
  <r>
    <n v="28"/>
    <x v="45"/>
    <n v="20"/>
    <n v="19.899999999999999"/>
    <n v="0.10000000000000142"/>
    <n v="6.2E-2"/>
    <n v="8.1000000000000707E-3"/>
  </r>
  <r>
    <n v="29"/>
    <x v="45"/>
    <n v="0"/>
    <n v="0"/>
    <n v="0"/>
    <n v="6.8000000000000005E-2"/>
    <e v="#DIV/0!"/>
  </r>
  <r>
    <n v="30"/>
    <x v="45"/>
    <n v="0"/>
    <n v="0"/>
    <n v="0"/>
    <n v="7.3999999999999996E-2"/>
    <e v="#DIV/0!"/>
  </r>
  <r>
    <n v="31"/>
    <x v="45"/>
    <n v="20"/>
    <n v="19.95"/>
    <n v="5.0000000000000711E-2"/>
    <n v="7.8E-2"/>
    <n v="6.4000000000000359E-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6">
  <r>
    <n v="1"/>
    <x v="0"/>
    <n v="60"/>
    <n v="59.41"/>
    <n v="0.59000000000000341"/>
    <n v="0.15799999999998704"/>
    <n v="1.2466666666666508E-2"/>
  </r>
  <r>
    <n v="2"/>
    <x v="0"/>
    <n v="60"/>
    <n v="59.43"/>
    <n v="0.57000000000000028"/>
    <n v="0.35499999999999998"/>
    <n v="1.5416666666666671E-2"/>
  </r>
  <r>
    <n v="3"/>
    <x v="0"/>
    <n v="60"/>
    <n v="59.58"/>
    <n v="0.42000000000000171"/>
    <n v="0.35399999999999998"/>
    <n v="1.2900000000000028E-2"/>
  </r>
  <r>
    <n v="4"/>
    <x v="0"/>
    <n v="60"/>
    <n v="59.77"/>
    <n v="0.22999999999999687"/>
    <n v="0.26"/>
    <n v="8.1666666666666155E-3"/>
  </r>
  <r>
    <n v="5"/>
    <x v="0"/>
    <n v="60"/>
    <n v="59.44"/>
    <n v="0.56000000000000227"/>
    <n v="0"/>
    <n v="9.3333333333333705E-3"/>
  </r>
  <r>
    <n v="6"/>
    <x v="0"/>
    <n v="40"/>
    <n v="39.68"/>
    <n v="0.32000000000000028"/>
    <n v="0.2"/>
    <n v="1.3000000000000006E-2"/>
  </r>
  <r>
    <n v="7"/>
    <x v="0"/>
    <n v="80"/>
    <n v="79.78"/>
    <n v="0.21999999999999886"/>
    <n v="0.24"/>
    <n v="5.749999999999986E-3"/>
  </r>
  <r>
    <n v="10"/>
    <x v="0"/>
    <n v="60"/>
    <n v="59.66"/>
    <n v="0.34000000000000341"/>
    <n v="0.2"/>
    <n v="9.0000000000000566E-3"/>
  </r>
  <r>
    <n v="8"/>
    <x v="0"/>
    <n v="40"/>
    <n v="39.78"/>
    <n v="0.21999999999999886"/>
    <n v="0.254"/>
    <n v="1.1849999999999972E-2"/>
  </r>
  <r>
    <n v="9"/>
    <x v="0"/>
    <n v="60"/>
    <n v="59.58"/>
    <n v="0.42000000000000171"/>
    <n v="0.35"/>
    <n v="1.2833333333333362E-2"/>
  </r>
  <r>
    <n v="11"/>
    <x v="0"/>
    <n v="80"/>
    <n v="79.790000000000006"/>
    <n v="0.20999999999999375"/>
    <n v="0.37"/>
    <n v="7.2499999999999214E-3"/>
  </r>
  <r>
    <n v="12"/>
    <x v="0"/>
    <n v="40"/>
    <n v="39.64"/>
    <n v="0.35999999999999943"/>
    <n v="0.17"/>
    <n v="1.3249999999999987E-2"/>
  </r>
  <r>
    <n v="13"/>
    <x v="0"/>
    <n v="40"/>
    <n v="39.68"/>
    <n v="0.32000000000000028"/>
    <n v="0.14000000000000001"/>
    <n v="1.1500000000000007E-2"/>
  </r>
  <r>
    <n v="14"/>
    <x v="0"/>
    <n v="60"/>
    <n v="59.67"/>
    <n v="0.32999999999999829"/>
    <n v="0.38500000000000001"/>
    <n v="1.1916666666666638E-2"/>
  </r>
  <r>
    <n v="15"/>
    <x v="0"/>
    <n v="80.040000000000006"/>
    <n v="79.459999999999994"/>
    <n v="0.58000000000001251"/>
    <n v="0.32500000000000001"/>
    <n v="1.1306846576711799E-2"/>
  </r>
  <r>
    <n v="16"/>
    <x v="0"/>
    <n v="60"/>
    <n v="59.65"/>
    <n v="0.35000000000000142"/>
    <n v="0.378"/>
    <n v="1.2133333333333357E-2"/>
  </r>
  <r>
    <n v="17"/>
    <x v="0"/>
    <n v="40"/>
    <n v="39.79"/>
    <n v="0.21000000000000085"/>
    <n v="0"/>
    <n v="5.2500000000000211E-3"/>
  </r>
  <r>
    <n v="18"/>
    <x v="0"/>
    <n v="60"/>
    <n v="59.48"/>
    <n v="0.52000000000000313"/>
    <n v="0.254"/>
    <n v="1.2900000000000052E-2"/>
  </r>
  <r>
    <n v="19"/>
    <x v="0"/>
    <n v="160"/>
    <n v="159.29"/>
    <n v="0.71000000000000796"/>
    <n v="0.105"/>
    <n v="5.0937500000000496E-3"/>
  </r>
  <r>
    <n v="20"/>
    <x v="0"/>
    <n v="80"/>
    <n v="79.680000000000007"/>
    <n v="0.31999999999999318"/>
    <n v="0.112"/>
    <n v="5.3999999999999144E-3"/>
  </r>
  <r>
    <n v="21"/>
    <x v="0"/>
    <n v="60"/>
    <n v="59.48"/>
    <n v="0.52000000000000313"/>
    <n v="0.222"/>
    <n v="1.2366666666666718E-2"/>
  </r>
  <r>
    <n v="22"/>
    <x v="0"/>
    <n v="25"/>
    <n v="24.88"/>
    <n v="0.12000000000000099"/>
    <n v="0.32100000000000001"/>
    <n v="1.7640000000000041E-2"/>
  </r>
  <r>
    <n v="23"/>
    <x v="0"/>
    <n v="50"/>
    <n v="49.65"/>
    <n v="0.35000000000000142"/>
    <n v="0.16600000000000001"/>
    <n v="1.0320000000000029E-2"/>
  </r>
  <r>
    <n v="24"/>
    <x v="0"/>
    <n v="50"/>
    <n v="49.67"/>
    <n v="0.32999999999999829"/>
    <n v="0.2"/>
    <n v="1.0599999999999965E-2"/>
  </r>
  <r>
    <n v="25"/>
    <x v="0"/>
    <n v="65"/>
    <n v="64.650000000000006"/>
    <n v="0.34999999999999432"/>
    <n v="0.17399999999999999"/>
    <n v="8.0615384615383735E-3"/>
  </r>
  <r>
    <n v="26"/>
    <x v="0"/>
    <n v="50"/>
    <n v="49.66"/>
    <n v="0.34000000000000341"/>
    <n v="0.186"/>
    <n v="1.0520000000000067E-2"/>
  </r>
  <r>
    <n v="27"/>
    <x v="0"/>
    <n v="25"/>
    <n v="24.76"/>
    <n v="0.23999999999999844"/>
    <n v="0.128"/>
    <n v="1.4719999999999938E-2"/>
  </r>
  <r>
    <n v="28"/>
    <x v="0"/>
    <n v="100"/>
    <n v="99.32"/>
    <n v="0.68000000000000682"/>
    <n v="0.254"/>
    <n v="9.3400000000000687E-3"/>
  </r>
  <r>
    <n v="29"/>
    <x v="0"/>
    <n v="50"/>
    <n v="49.37"/>
    <n v="0.63000000000000256"/>
    <n v="0.20399999999999999"/>
    <n v="1.6680000000000049E-2"/>
  </r>
  <r>
    <n v="30"/>
    <x v="0"/>
    <n v="50"/>
    <n v="49.62"/>
    <n v="0.38000000000000256"/>
    <n v="0"/>
    <n v="7.6000000000000512E-3"/>
  </r>
  <r>
    <n v="31"/>
    <x v="0"/>
    <n v="50"/>
    <n v="49.6"/>
    <n v="0.39999999999999858"/>
    <n v="0.125"/>
    <n v="1.0499999999999971E-2"/>
  </r>
  <r>
    <n v="1"/>
    <x v="1"/>
    <n v="20"/>
    <n v="19.940000000000001"/>
    <n v="5.9999999999998721E-2"/>
    <n v="0"/>
    <n v="2.9999999999999359E-3"/>
  </r>
  <r>
    <n v="2"/>
    <x v="1"/>
    <n v="0"/>
    <n v="0"/>
    <n v="0"/>
    <n v="0.124"/>
    <e v="#DIV/0!"/>
  </r>
  <r>
    <n v="3"/>
    <x v="1"/>
    <n v="40"/>
    <n v="38.54"/>
    <n v="1.4600000000000009"/>
    <n v="0.50600000000000001"/>
    <n v="4.915000000000002E-2"/>
  </r>
  <r>
    <n v="4"/>
    <x v="1"/>
    <n v="0"/>
    <n v="0"/>
    <n v="0"/>
    <n v="0"/>
    <e v="#DIV/0!"/>
  </r>
  <r>
    <n v="5"/>
    <x v="1"/>
    <n v="20"/>
    <n v="19.88"/>
    <n v="0.12000000000000099"/>
    <n v="0"/>
    <n v="6.0000000000000496E-3"/>
  </r>
  <r>
    <n v="6"/>
    <x v="1"/>
    <n v="20"/>
    <n v="19.84"/>
    <n v="0.16000000000000014"/>
    <n v="0"/>
    <n v="8.0000000000000071E-3"/>
  </r>
  <r>
    <n v="7"/>
    <x v="1"/>
    <n v="0"/>
    <n v="0"/>
    <n v="0"/>
    <n v="0"/>
    <e v="#DIV/0!"/>
  </r>
  <r>
    <n v="10"/>
    <x v="1"/>
    <n v="40"/>
    <n v="39.78"/>
    <n v="0.21999999999999886"/>
    <n v="0"/>
    <n v="5.4999999999999719E-3"/>
  </r>
  <r>
    <n v="8"/>
    <x v="1"/>
    <n v="20.02"/>
    <n v="19.899999999999999"/>
    <n v="0.12000000000000099"/>
    <n v="0"/>
    <n v="5.9940059940060434E-3"/>
  </r>
  <r>
    <n v="9"/>
    <x v="1"/>
    <n v="20"/>
    <n v="19.940000000000001"/>
    <n v="5.9999999999998721E-2"/>
    <n v="0.28999999999999998"/>
    <n v="1.7499999999999936E-2"/>
  </r>
  <r>
    <n v="11"/>
    <x v="1"/>
    <n v="25"/>
    <n v="25"/>
    <n v="0"/>
    <n v="0.91800000000000004"/>
    <n v="3.6720000000000003E-2"/>
  </r>
  <r>
    <n v="12"/>
    <x v="1"/>
    <n v="25"/>
    <n v="25"/>
    <n v="0"/>
    <n v="7.0999999999999994E-2"/>
    <n v="2.8399999999999996E-3"/>
  </r>
  <r>
    <n v="13"/>
    <x v="1"/>
    <n v="25"/>
    <n v="24.74"/>
    <n v="0.26000000000000156"/>
    <n v="0.159"/>
    <n v="1.6760000000000063E-2"/>
  </r>
  <r>
    <n v="14"/>
    <x v="1"/>
    <n v="0"/>
    <n v="0"/>
    <n v="0"/>
    <n v="0"/>
    <e v="#DIV/0!"/>
  </r>
  <r>
    <n v="15"/>
    <x v="1"/>
    <n v="0"/>
    <n v="0"/>
    <n v="0"/>
    <n v="0.247"/>
    <e v="#DIV/0!"/>
  </r>
  <r>
    <n v="16"/>
    <x v="1"/>
    <n v="25"/>
    <n v="25"/>
    <n v="0"/>
    <n v="0.39"/>
    <n v="1.5600000000000001E-2"/>
  </r>
  <r>
    <n v="17"/>
    <x v="1"/>
    <n v="25.12"/>
    <n v="24.84"/>
    <n v="0.28000000000000114"/>
    <n v="0.51700000000000002"/>
    <n v="3.1727707006369468E-2"/>
  </r>
  <r>
    <n v="18"/>
    <x v="1"/>
    <n v="0"/>
    <n v="0"/>
    <n v="0"/>
    <n v="0"/>
    <e v="#DIV/0!"/>
  </r>
  <r>
    <n v="19"/>
    <x v="1"/>
    <n v="50"/>
    <n v="49.88"/>
    <n v="0.11999999999999744"/>
    <n v="0.29499999999999998"/>
    <n v="8.299999999999948E-3"/>
  </r>
  <r>
    <n v="20"/>
    <x v="1"/>
    <n v="0"/>
    <n v="0"/>
    <n v="0"/>
    <n v="0"/>
    <e v="#DIV/0!"/>
  </r>
  <r>
    <n v="21"/>
    <x v="1"/>
    <n v="20"/>
    <n v="19.899999999999999"/>
    <n v="0.10000000000000142"/>
    <n v="0.20599999999999999"/>
    <n v="1.5300000000000069E-2"/>
  </r>
  <r>
    <n v="22"/>
    <x v="1"/>
    <n v="10"/>
    <n v="10"/>
    <n v="0"/>
    <n v="0.111000000000001"/>
    <n v="1.1100000000000099E-2"/>
  </r>
  <r>
    <n v="23"/>
    <x v="1"/>
    <n v="25"/>
    <n v="24.8"/>
    <n v="0.19999999999999929"/>
    <n v="0.02"/>
    <n v="8.799999999999971E-3"/>
  </r>
  <r>
    <n v="24"/>
    <x v="1"/>
    <n v="25"/>
    <n v="25"/>
    <n v="0"/>
    <n v="0.39200000000000002"/>
    <n v="1.5679999999999999E-2"/>
  </r>
  <r>
    <n v="25"/>
    <x v="1"/>
    <n v="55"/>
    <n v="54.82"/>
    <n v="0.17999999999999972"/>
    <n v="1.0289999999999999"/>
    <n v="2.1981818181818175E-2"/>
  </r>
  <r>
    <n v="26"/>
    <x v="1"/>
    <n v="0"/>
    <n v="0"/>
    <n v="0"/>
    <n v="0"/>
    <e v="#DIV/0!"/>
  </r>
  <r>
    <n v="27"/>
    <x v="1"/>
    <n v="0"/>
    <n v="0"/>
    <n v="0"/>
    <n v="0"/>
    <e v="#DIV/0!"/>
  </r>
  <r>
    <n v="28"/>
    <x v="1"/>
    <n v="10.4"/>
    <n v="10.119999999999999"/>
    <n v="0.28000000000000114"/>
    <n v="0"/>
    <n v="2.6923076923077032E-2"/>
  </r>
  <r>
    <n v="29"/>
    <x v="1"/>
    <n v="25"/>
    <n v="25"/>
    <n v="0"/>
    <n v="0.41399999999999998"/>
    <n v="1.6559999999999998E-2"/>
  </r>
  <r>
    <n v="30"/>
    <x v="1"/>
    <n v="0"/>
    <n v="0"/>
    <n v="0"/>
    <n v="0"/>
    <e v="#DIV/0!"/>
  </r>
  <r>
    <n v="31"/>
    <x v="1"/>
    <n v="25"/>
    <n v="25"/>
    <n v="0"/>
    <n v="0.33400000000000002"/>
    <n v="1.336E-2"/>
  </r>
  <r>
    <n v="1"/>
    <x v="2"/>
    <n v="0"/>
    <n v="0"/>
    <n v="0"/>
    <n v="0.23499999999999999"/>
    <e v="#DIV/0!"/>
  </r>
  <r>
    <n v="2"/>
    <x v="2"/>
    <n v="20"/>
    <n v="19.72"/>
    <n v="0.28000000000000114"/>
    <n v="0.26400000000000001"/>
    <n v="2.7200000000000057E-2"/>
  </r>
  <r>
    <n v="3"/>
    <x v="2"/>
    <n v="0"/>
    <n v="0"/>
    <n v="0"/>
    <n v="0.26700000000000002"/>
    <e v="#DIV/0!"/>
  </r>
  <r>
    <n v="4"/>
    <x v="2"/>
    <n v="20"/>
    <n v="19.96"/>
    <n v="3.9999999999999147E-2"/>
    <n v="0.28000000000000003"/>
    <n v="1.5999999999999959E-2"/>
  </r>
  <r>
    <n v="5"/>
    <x v="2"/>
    <n v="0"/>
    <n v="0"/>
    <n v="0"/>
    <n v="0.26600000000000001"/>
    <e v="#DIV/0!"/>
  </r>
  <r>
    <n v="6"/>
    <x v="2"/>
    <n v="0"/>
    <n v="0"/>
    <n v="0"/>
    <n v="0.16900000000000001"/>
    <e v="#DIV/0!"/>
  </r>
  <r>
    <n v="7"/>
    <x v="2"/>
    <n v="0"/>
    <n v="0"/>
    <n v="0"/>
    <n v="0.23100000000000001"/>
    <e v="#DIV/0!"/>
  </r>
  <r>
    <n v="10"/>
    <x v="2"/>
    <n v="0"/>
    <n v="0"/>
    <n v="0"/>
    <n v="0.13200000000000001"/>
    <e v="#DIV/0!"/>
  </r>
  <r>
    <n v="8"/>
    <x v="2"/>
    <n v="0"/>
    <n v="0"/>
    <n v="0"/>
    <n v="0.13400000000000001"/>
    <e v="#DIV/0!"/>
  </r>
  <r>
    <n v="9"/>
    <x v="2"/>
    <n v="0"/>
    <n v="0"/>
    <n v="0"/>
    <n v="0.188"/>
    <e v="#DIV/0!"/>
  </r>
  <r>
    <n v="11"/>
    <x v="2"/>
    <n v="0"/>
    <n v="0"/>
    <n v="0"/>
    <n v="0.13300000000000001"/>
    <e v="#DIV/0!"/>
  </r>
  <r>
    <n v="12"/>
    <x v="2"/>
    <n v="0"/>
    <n v="0"/>
    <n v="0"/>
    <n v="0.23599999999999999"/>
    <e v="#DIV/0!"/>
  </r>
  <r>
    <n v="13"/>
    <x v="2"/>
    <n v="0"/>
    <n v="0"/>
    <n v="0"/>
    <n v="0.24200000000000088"/>
    <e v="#DIV/0!"/>
  </r>
  <r>
    <n v="14"/>
    <x v="2"/>
    <n v="0"/>
    <n v="0"/>
    <n v="0"/>
    <n v="0.216"/>
    <e v="#DIV/0!"/>
  </r>
  <r>
    <n v="15"/>
    <x v="2"/>
    <n v="0"/>
    <n v="0"/>
    <n v="0"/>
    <n v="0.221"/>
    <e v="#DIV/0!"/>
  </r>
  <r>
    <n v="16"/>
    <x v="2"/>
    <n v="0"/>
    <n v="0"/>
    <n v="0"/>
    <n v="0.17699999999999999"/>
    <e v="#DIV/0!"/>
  </r>
  <r>
    <n v="17"/>
    <x v="2"/>
    <n v="0"/>
    <n v="0"/>
    <n v="0"/>
    <n v="0.115"/>
    <e v="#DIV/0!"/>
  </r>
  <r>
    <n v="18"/>
    <x v="2"/>
    <n v="0"/>
    <n v="0"/>
    <n v="0"/>
    <n v="0.23300000000000001"/>
    <e v="#DIV/0!"/>
  </r>
  <r>
    <n v="19"/>
    <x v="2"/>
    <n v="0"/>
    <n v="0"/>
    <n v="0"/>
    <n v="0.128"/>
    <e v="#DIV/0!"/>
  </r>
  <r>
    <n v="20"/>
    <x v="2"/>
    <n v="0"/>
    <n v="0"/>
    <n v="0"/>
    <n v="0"/>
    <e v="#DIV/0!"/>
  </r>
  <r>
    <n v="21"/>
    <x v="2"/>
    <n v="0"/>
    <n v="0"/>
    <n v="0"/>
    <n v="0.19800000000000001"/>
    <e v="#DIV/0!"/>
  </r>
  <r>
    <n v="22"/>
    <x v="2"/>
    <n v="20"/>
    <n v="19.78"/>
    <n v="0.21999999999999886"/>
    <n v="0.153"/>
    <n v="1.8649999999999944E-2"/>
  </r>
  <r>
    <n v="23"/>
    <x v="2"/>
    <n v="0"/>
    <n v="0"/>
    <n v="0"/>
    <n v="0.154"/>
    <e v="#DIV/0!"/>
  </r>
  <r>
    <n v="24"/>
    <x v="2"/>
    <n v="0"/>
    <n v="0"/>
    <n v="0"/>
    <n v="0.129"/>
    <e v="#DIV/0!"/>
  </r>
  <r>
    <n v="25"/>
    <x v="2"/>
    <n v="20"/>
    <n v="19.95"/>
    <n v="5.0000000000000711E-2"/>
    <n v="0.17699999999999999"/>
    <n v="1.1350000000000035E-2"/>
  </r>
  <r>
    <n v="26"/>
    <x v="2"/>
    <n v="0"/>
    <n v="0"/>
    <n v="0"/>
    <n v="0.26200000000000001"/>
    <e v="#DIV/0!"/>
  </r>
  <r>
    <n v="27"/>
    <x v="2"/>
    <n v="40"/>
    <n v="39.4"/>
    <n v="0.60000000000000142"/>
    <n v="0.28599999999999998"/>
    <n v="2.2150000000000038E-2"/>
  </r>
  <r>
    <n v="28"/>
    <x v="2"/>
    <n v="0"/>
    <n v="0"/>
    <n v="0"/>
    <n v="0.28599999999999998"/>
    <e v="#DIV/0!"/>
  </r>
  <r>
    <n v="29"/>
    <x v="2"/>
    <n v="20"/>
    <n v="19.77"/>
    <n v="0.23000000000000043"/>
    <n v="0.252"/>
    <n v="2.4100000000000021E-2"/>
  </r>
  <r>
    <n v="30"/>
    <x v="2"/>
    <n v="20"/>
    <n v="19.559999999999999"/>
    <n v="0.44000000000000128"/>
    <n v="0.253"/>
    <n v="3.4650000000000063E-2"/>
  </r>
  <r>
    <n v="31"/>
    <x v="2"/>
    <n v="0"/>
    <n v="0"/>
    <n v="0"/>
    <n v="0.16600000000000001"/>
    <e v="#DIV/0!"/>
  </r>
  <r>
    <n v="1"/>
    <x v="3"/>
    <n v="52.18"/>
    <n v="51.5"/>
    <n v="0.67999999999999972"/>
    <n v="0"/>
    <n v="1.3031812955155226E-2"/>
  </r>
  <r>
    <n v="2"/>
    <x v="3"/>
    <n v="0"/>
    <n v="0"/>
    <n v="0"/>
    <n v="0.67"/>
    <e v="#DIV/0!"/>
  </r>
  <r>
    <n v="3"/>
    <x v="3"/>
    <n v="0"/>
    <n v="0"/>
    <n v="0"/>
    <n v="0"/>
    <e v="#DIV/0!"/>
  </r>
  <r>
    <n v="4"/>
    <x v="3"/>
    <n v="0"/>
    <n v="0"/>
    <n v="0"/>
    <n v="0.53"/>
    <e v="#DIV/0!"/>
  </r>
  <r>
    <n v="5"/>
    <x v="3"/>
    <n v="0"/>
    <n v="0"/>
    <n v="0"/>
    <n v="0.49"/>
    <e v="#DIV/0!"/>
  </r>
  <r>
    <n v="6"/>
    <x v="3"/>
    <n v="0"/>
    <n v="0"/>
    <n v="0"/>
    <n v="0.21"/>
    <e v="#DIV/0!"/>
  </r>
  <r>
    <n v="7"/>
    <x v="3"/>
    <n v="0"/>
    <n v="0"/>
    <n v="0"/>
    <n v="0.31"/>
    <e v="#DIV/0!"/>
  </r>
  <r>
    <n v="10"/>
    <x v="3"/>
    <n v="0"/>
    <n v="0"/>
    <n v="0"/>
    <n v="0.43"/>
    <e v="#DIV/0!"/>
  </r>
  <r>
    <n v="8"/>
    <x v="3"/>
    <n v="0"/>
    <n v="0"/>
    <n v="0"/>
    <n v="0.35399999999999998"/>
    <e v="#DIV/0!"/>
  </r>
  <r>
    <n v="9"/>
    <x v="3"/>
    <n v="0"/>
    <n v="0"/>
    <n v="0"/>
    <n v="0.31"/>
    <e v="#DIV/0!"/>
  </r>
  <r>
    <n v="11"/>
    <x v="3"/>
    <n v="0"/>
    <n v="0"/>
    <n v="0"/>
    <n v="0.245"/>
    <e v="#DIV/0!"/>
  </r>
  <r>
    <n v="12"/>
    <x v="3"/>
    <n v="0"/>
    <n v="0"/>
    <n v="0"/>
    <n v="0.21"/>
    <e v="#DIV/0!"/>
  </r>
  <r>
    <n v="13"/>
    <x v="3"/>
    <n v="0"/>
    <n v="0"/>
    <n v="0"/>
    <n v="0.21"/>
    <e v="#DIV/0!"/>
  </r>
  <r>
    <n v="14"/>
    <x v="3"/>
    <n v="0"/>
    <n v="0"/>
    <n v="0"/>
    <n v="0.25"/>
    <e v="#DIV/0!"/>
  </r>
  <r>
    <n v="15"/>
    <x v="3"/>
    <n v="0"/>
    <n v="0"/>
    <n v="0"/>
    <n v="0.38"/>
    <e v="#DIV/0!"/>
  </r>
  <r>
    <n v="16"/>
    <x v="3"/>
    <n v="25"/>
    <n v="24.8"/>
    <n v="0.19999999999999929"/>
    <n v="0.33"/>
    <n v="2.1199999999999976E-2"/>
  </r>
  <r>
    <n v="17"/>
    <x v="3"/>
    <n v="0"/>
    <n v="0"/>
    <n v="0"/>
    <n v="0.35"/>
    <e v="#DIV/0!"/>
  </r>
  <r>
    <n v="18"/>
    <x v="3"/>
    <n v="0"/>
    <n v="0"/>
    <n v="0"/>
    <n v="0.20100000000000001"/>
    <e v="#DIV/0!"/>
  </r>
  <r>
    <n v="19"/>
    <x v="3"/>
    <n v="0"/>
    <n v="0"/>
    <n v="0"/>
    <n v="0.33600000000000002"/>
    <e v="#DIV/0!"/>
  </r>
  <r>
    <n v="20"/>
    <x v="3"/>
    <n v="70.28"/>
    <n v="69.58"/>
    <n v="0.70000000000000284"/>
    <n v="0.25"/>
    <n v="1.3517359134889056E-2"/>
  </r>
  <r>
    <n v="21"/>
    <x v="3"/>
    <n v="0"/>
    <n v="0"/>
    <n v="0"/>
    <n v="0.311"/>
    <e v="#DIV/0!"/>
  </r>
  <r>
    <n v="22"/>
    <x v="3"/>
    <n v="0"/>
    <n v="0"/>
    <n v="0"/>
    <n v="0.21000000000000099"/>
    <e v="#DIV/0!"/>
  </r>
  <r>
    <n v="23"/>
    <x v="3"/>
    <n v="0"/>
    <n v="0"/>
    <n v="0"/>
    <n v="0.21099999999999999"/>
    <e v="#DIV/0!"/>
  </r>
  <r>
    <n v="24"/>
    <x v="3"/>
    <n v="0"/>
    <n v="0"/>
    <n v="0"/>
    <n v="0.21399999999999864"/>
    <e v="#DIV/0!"/>
  </r>
  <r>
    <n v="25"/>
    <x v="3"/>
    <n v="25"/>
    <n v="24.84"/>
    <n v="0.16000000000000014"/>
    <n v="0.35"/>
    <n v="2.0400000000000005E-2"/>
  </r>
  <r>
    <n v="26"/>
    <x v="3"/>
    <n v="0"/>
    <n v="0"/>
    <n v="0"/>
    <n v="0.21"/>
    <e v="#DIV/0!"/>
  </r>
  <r>
    <n v="27"/>
    <x v="3"/>
    <n v="0"/>
    <n v="0"/>
    <n v="0"/>
    <n v="0.25"/>
    <e v="#DIV/0!"/>
  </r>
  <r>
    <n v="28"/>
    <x v="3"/>
    <n v="25.2"/>
    <n v="24.58"/>
    <n v="0.62000000000000099"/>
    <n v="0.3"/>
    <n v="3.6507936507936552E-2"/>
  </r>
  <r>
    <n v="29"/>
    <x v="3"/>
    <n v="0"/>
    <n v="0"/>
    <n v="0"/>
    <n v="0.21"/>
    <e v="#DIV/0!"/>
  </r>
  <r>
    <n v="30"/>
    <x v="3"/>
    <n v="0"/>
    <n v="0"/>
    <n v="0"/>
    <n v="0.25"/>
    <e v="#DIV/0!"/>
  </r>
  <r>
    <n v="31"/>
    <x v="3"/>
    <n v="0"/>
    <n v="0"/>
    <n v="0"/>
    <n v="0.22"/>
    <e v="#DIV/0!"/>
  </r>
  <r>
    <n v="1"/>
    <x v="4"/>
    <n v="40"/>
    <n v="39.6"/>
    <n v="0.39999999999999858"/>
    <n v="0.486999999999985"/>
    <n v="2.2174999999999591E-2"/>
  </r>
  <r>
    <n v="2"/>
    <x v="4"/>
    <n v="80"/>
    <n v="78.849999999999994"/>
    <n v="1.1500000000000057"/>
    <n v="0.56599999999999995"/>
    <n v="2.145000000000007E-2"/>
  </r>
  <r>
    <n v="3"/>
    <x v="4"/>
    <n v="20"/>
    <n v="19.5"/>
    <n v="0.5"/>
    <n v="0.56599999999999995"/>
    <n v="5.3299999999999993E-2"/>
  </r>
  <r>
    <n v="4"/>
    <x v="4"/>
    <n v="40"/>
    <n v="39.6"/>
    <n v="0.39999999999999858"/>
    <n v="0.68300000000001049"/>
    <n v="2.7075000000000227E-2"/>
  </r>
  <r>
    <n v="5"/>
    <x v="4"/>
    <n v="80"/>
    <n v="79.55"/>
    <n v="0.45000000000000284"/>
    <n v="0.42099999999999999"/>
    <n v="1.0887500000000036E-2"/>
  </r>
  <r>
    <n v="6"/>
    <x v="4"/>
    <n v="20"/>
    <n v="19.8"/>
    <n v="0.19999999999999929"/>
    <n v="0.32500000000000001"/>
    <n v="2.6249999999999961E-2"/>
  </r>
  <r>
    <n v="7"/>
    <x v="4"/>
    <n v="40"/>
    <n v="39.1"/>
    <n v="0.89999999999999858"/>
    <n v="0.32500000000000001"/>
    <n v="3.0624999999999965E-2"/>
  </r>
  <r>
    <n v="10"/>
    <x v="4"/>
    <n v="25"/>
    <n v="24.8"/>
    <n v="0.19999999999999929"/>
    <n v="0.38000000000000256"/>
    <n v="2.3200000000000075E-2"/>
  </r>
  <r>
    <n v="8"/>
    <x v="4"/>
    <n v="40"/>
    <n v="39.450000000000003"/>
    <n v="0.54999999999999716"/>
    <n v="0.434"/>
    <n v="2.4599999999999927E-2"/>
  </r>
  <r>
    <n v="9"/>
    <x v="4"/>
    <n v="0"/>
    <n v="0"/>
    <n v="0"/>
    <n v="0.5"/>
    <e v="#DIV/0!"/>
  </r>
  <r>
    <n v="11"/>
    <x v="4"/>
    <n v="20"/>
    <n v="19.850000000000001"/>
    <n v="0.14999999999999858"/>
    <n v="0.48399999999999999"/>
    <n v="3.169999999999993E-2"/>
  </r>
  <r>
    <n v="12"/>
    <x v="4"/>
    <n v="25"/>
    <n v="24.85"/>
    <n v="0.14999999999999858"/>
    <n v="0.57199999999999995"/>
    <n v="2.887999999999994E-2"/>
  </r>
  <r>
    <n v="13"/>
    <x v="4"/>
    <n v="40"/>
    <n v="39.700000000000003"/>
    <n v="0.29999999999999716"/>
    <n v="0.755"/>
    <n v="2.6374999999999926E-2"/>
  </r>
  <r>
    <n v="14"/>
    <x v="4"/>
    <n v="40"/>
    <n v="39.6"/>
    <n v="0.39999999999999858"/>
    <n v="0.64900000000000002"/>
    <n v="2.6224999999999964E-2"/>
  </r>
  <r>
    <n v="15"/>
    <x v="4"/>
    <n v="20"/>
    <n v="19.8"/>
    <n v="0.19999999999999929"/>
    <n v="0.50600000000000001"/>
    <n v="3.5299999999999963E-2"/>
  </r>
  <r>
    <n v="16"/>
    <x v="4"/>
    <n v="25"/>
    <n v="24.8"/>
    <n v="0.19999999999999929"/>
    <n v="0.33300000000000002"/>
    <n v="2.1319999999999971E-2"/>
  </r>
  <r>
    <n v="17"/>
    <x v="4"/>
    <n v="58"/>
    <n v="57.7"/>
    <n v="0.29999999999999716"/>
    <n v="0.48699999999999999"/>
    <n v="1.356896551724133E-2"/>
  </r>
  <r>
    <n v="18"/>
    <x v="4"/>
    <n v="25"/>
    <n v="25"/>
    <n v="0"/>
    <n v="0.95199999999999996"/>
    <n v="3.8079999999999996E-2"/>
  </r>
  <r>
    <n v="19"/>
    <x v="4"/>
    <n v="25"/>
    <n v="24.65"/>
    <n v="0.35000000000000142"/>
    <n v="0.57599999999999996"/>
    <n v="3.7040000000000052E-2"/>
  </r>
  <r>
    <n v="20"/>
    <x v="4"/>
    <n v="75"/>
    <n v="74.5"/>
    <n v="0.5"/>
    <n v="0.751"/>
    <n v="1.6679999999999997E-2"/>
  </r>
  <r>
    <n v="21"/>
    <x v="4"/>
    <n v="0"/>
    <n v="0"/>
    <n v="0"/>
    <n v="0.63600000000000001"/>
    <e v="#DIV/0!"/>
  </r>
  <r>
    <n v="22"/>
    <x v="4"/>
    <n v="50"/>
    <n v="49.2"/>
    <n v="0.79999999999999716"/>
    <n v="0.51199999999999901"/>
    <n v="2.6239999999999927E-2"/>
  </r>
  <r>
    <n v="23"/>
    <x v="4"/>
    <n v="25"/>
    <n v="24.9"/>
    <n v="0.10000000000000142"/>
    <n v="0.81299999999999994"/>
    <n v="3.6520000000000052E-2"/>
  </r>
  <r>
    <n v="24"/>
    <x v="4"/>
    <n v="25"/>
    <n v="24.75"/>
    <n v="0.25"/>
    <n v="0.435"/>
    <n v="2.7400000000000001E-2"/>
  </r>
  <r>
    <n v="25"/>
    <x v="4"/>
    <n v="25"/>
    <n v="24.85"/>
    <n v="0.14999999999999858"/>
    <n v="0.69699999999999995"/>
    <n v="3.3879999999999938E-2"/>
  </r>
  <r>
    <n v="26"/>
    <x v="4"/>
    <n v="50"/>
    <n v="49.7"/>
    <n v="0.29999999999999716"/>
    <n v="0.41599999999999998"/>
    <n v="1.4319999999999942E-2"/>
  </r>
  <r>
    <n v="27"/>
    <x v="4"/>
    <n v="50"/>
    <n v="49.7"/>
    <n v="0.29999999999999716"/>
    <n v="0.312"/>
    <n v="1.2239999999999944E-2"/>
  </r>
  <r>
    <n v="28"/>
    <x v="4"/>
    <n v="0"/>
    <n v="0"/>
    <n v="0"/>
    <n v="0.54900000000000004"/>
    <e v="#DIV/0!"/>
  </r>
  <r>
    <n v="29"/>
    <x v="4"/>
    <n v="25"/>
    <n v="24.65"/>
    <n v="0.35000000000000142"/>
    <n v="0.52100000000000002"/>
    <n v="3.4840000000000058E-2"/>
  </r>
  <r>
    <n v="30"/>
    <x v="4"/>
    <n v="25"/>
    <n v="24.7"/>
    <n v="0.30000000000000071"/>
    <n v="0.48199999999999998"/>
    <n v="3.128000000000003E-2"/>
  </r>
  <r>
    <n v="31"/>
    <x v="4"/>
    <n v="25"/>
    <n v="24.85"/>
    <n v="0.14999999999999858"/>
    <n v="0.41799999999999998"/>
    <n v="2.2719999999999942E-2"/>
  </r>
  <r>
    <n v="1"/>
    <x v="5"/>
    <n v="20"/>
    <n v="19.78"/>
    <n v="0.21999999999999886"/>
    <n v="0.28799999999999998"/>
    <n v="2.5399999999999943E-2"/>
  </r>
  <r>
    <n v="2"/>
    <x v="5"/>
    <n v="20"/>
    <n v="19.86"/>
    <n v="0.14000000000000057"/>
    <n v="0.186"/>
    <n v="1.630000000000003E-2"/>
  </r>
  <r>
    <n v="3"/>
    <x v="5"/>
    <n v="20"/>
    <n v="19.86"/>
    <n v="0.14000000000000057"/>
    <n v="0.22800000000000001"/>
    <n v="1.8400000000000027E-2"/>
  </r>
  <r>
    <n v="4"/>
    <x v="5"/>
    <n v="20"/>
    <n v="19.72"/>
    <n v="0.28000000000000114"/>
    <n v="0.184"/>
    <n v="2.3200000000000057E-2"/>
  </r>
  <r>
    <n v="5"/>
    <x v="5"/>
    <n v="0"/>
    <n v="0"/>
    <n v="0"/>
    <n v="0.19400000000000001"/>
    <e v="#DIV/0!"/>
  </r>
  <r>
    <n v="6"/>
    <x v="5"/>
    <n v="20"/>
    <n v="19.86"/>
    <n v="0.14000000000000057"/>
    <n v="0.23100000000000001"/>
    <n v="1.8550000000000028E-2"/>
  </r>
  <r>
    <n v="7"/>
    <x v="5"/>
    <n v="20"/>
    <n v="19.86"/>
    <n v="0.14000000000000057"/>
    <n v="0.19800000000000001"/>
    <n v="1.690000000000003E-2"/>
  </r>
  <r>
    <n v="10"/>
    <x v="5"/>
    <n v="0"/>
    <n v="0"/>
    <n v="0"/>
    <n v="0.128"/>
    <e v="#DIV/0!"/>
  </r>
  <r>
    <n v="8"/>
    <x v="5"/>
    <n v="0"/>
    <n v="0"/>
    <n v="0"/>
    <n v="0.156"/>
    <e v="#DIV/0!"/>
  </r>
  <r>
    <n v="9"/>
    <x v="5"/>
    <n v="40"/>
    <n v="39.4"/>
    <n v="0.60000000000000142"/>
    <n v="0.17399999999999999"/>
    <n v="1.9350000000000034E-2"/>
  </r>
  <r>
    <n v="11"/>
    <x v="5"/>
    <n v="0"/>
    <n v="0"/>
    <n v="0"/>
    <n v="0.20300000000000001"/>
    <e v="#DIV/0!"/>
  </r>
  <r>
    <n v="12"/>
    <x v="5"/>
    <n v="20"/>
    <n v="19.8"/>
    <n v="0.19999999999999929"/>
    <n v="0.14199999999999999"/>
    <n v="1.7099999999999966E-2"/>
  </r>
  <r>
    <n v="13"/>
    <x v="5"/>
    <n v="0"/>
    <n v="0"/>
    <n v="0"/>
    <n v="0.21199999999999999"/>
    <e v="#DIV/0!"/>
  </r>
  <r>
    <n v="14"/>
    <x v="5"/>
    <n v="20"/>
    <n v="19.739999999999998"/>
    <n v="0.26000000000000156"/>
    <n v="0.14599999999999999"/>
    <n v="2.0300000000000078E-2"/>
  </r>
  <r>
    <n v="15"/>
    <x v="5"/>
    <n v="0"/>
    <n v="0"/>
    <n v="0"/>
    <n v="0.13600000000000001"/>
    <e v="#DIV/0!"/>
  </r>
  <r>
    <n v="16"/>
    <x v="5"/>
    <n v="0"/>
    <n v="0"/>
    <n v="0"/>
    <n v="0.20100000000000001"/>
    <e v="#DIV/0!"/>
  </r>
  <r>
    <n v="17"/>
    <x v="5"/>
    <n v="20"/>
    <n v="19.8"/>
    <n v="0.19999999999999929"/>
    <n v="0.16600000000000001"/>
    <n v="1.8299999999999966E-2"/>
  </r>
  <r>
    <n v="18"/>
    <x v="5"/>
    <n v="0"/>
    <n v="0"/>
    <n v="0"/>
    <n v="0.188"/>
    <e v="#DIV/0!"/>
  </r>
  <r>
    <n v="19"/>
    <x v="5"/>
    <n v="0"/>
    <n v="0"/>
    <n v="0"/>
    <n v="0.16600000000000001"/>
    <e v="#DIV/0!"/>
  </r>
  <r>
    <n v="20"/>
    <x v="5"/>
    <n v="20"/>
    <n v="19.82"/>
    <n v="0.17999999999999972"/>
    <n v="0.254"/>
    <n v="2.1699999999999987E-2"/>
  </r>
  <r>
    <n v="21"/>
    <x v="5"/>
    <n v="40"/>
    <n v="39.61"/>
    <n v="0.39000000000000057"/>
    <n v="0.379"/>
    <n v="1.9225000000000013E-2"/>
  </r>
  <r>
    <n v="22"/>
    <x v="5"/>
    <n v="20"/>
    <n v="19.739999999999998"/>
    <n v="0.26000000000000156"/>
    <n v="0.106999999999996"/>
    <n v="1.8349999999999877E-2"/>
  </r>
  <r>
    <n v="23"/>
    <x v="5"/>
    <n v="20"/>
    <n v="19.86"/>
    <n v="0.14000000000000057"/>
    <n v="0.108"/>
    <n v="1.2400000000000027E-2"/>
  </r>
  <r>
    <n v="24"/>
    <x v="5"/>
    <n v="20"/>
    <n v="19.72"/>
    <n v="0.28000000000000114"/>
    <n v="0.222"/>
    <n v="2.5100000000000056E-2"/>
  </r>
  <r>
    <n v="25"/>
    <x v="5"/>
    <n v="0"/>
    <n v="0"/>
    <n v="0"/>
    <n v="0.17599999999999999"/>
    <e v="#DIV/0!"/>
  </r>
  <r>
    <n v="26"/>
    <x v="5"/>
    <n v="50"/>
    <n v="49.8"/>
    <n v="0.20000000000000284"/>
    <n v="0.20300000000000001"/>
    <n v="8.0600000000000567E-3"/>
  </r>
  <r>
    <n v="27"/>
    <x v="5"/>
    <n v="20"/>
    <n v="19.86"/>
    <n v="0.14000000000000057"/>
    <n v="0.21099999999999999"/>
    <n v="1.7550000000000027E-2"/>
  </r>
  <r>
    <n v="28"/>
    <x v="5"/>
    <n v="0"/>
    <n v="0"/>
    <n v="0"/>
    <n v="0.20200000000000001"/>
    <e v="#DIV/0!"/>
  </r>
  <r>
    <n v="29"/>
    <x v="5"/>
    <n v="25"/>
    <n v="24.94"/>
    <n v="5.9999999999998721E-2"/>
    <n v="0.29399999999999998"/>
    <n v="1.4159999999999949E-2"/>
  </r>
  <r>
    <n v="30"/>
    <x v="5"/>
    <n v="0"/>
    <n v="0"/>
    <n v="0"/>
    <n v="0.24"/>
    <e v="#DIV/0!"/>
  </r>
  <r>
    <n v="31"/>
    <x v="5"/>
    <n v="0"/>
    <n v="0"/>
    <n v="0"/>
    <n v="0.19800000000000217"/>
    <e v="#DIV/0!"/>
  </r>
  <r>
    <n v="1"/>
    <x v="6"/>
    <n v="40"/>
    <n v="39.880000000000003"/>
    <n v="0.11999999999999744"/>
    <n v="0.35799999999999998"/>
    <n v="1.1949999999999936E-2"/>
  </r>
  <r>
    <n v="2"/>
    <x v="6"/>
    <n v="40"/>
    <n v="39.979999999999997"/>
    <n v="2.0000000000003126E-2"/>
    <n v="0.57299999999999995"/>
    <n v="1.4825000000000078E-2"/>
  </r>
  <r>
    <n v="3"/>
    <x v="6"/>
    <n v="220"/>
    <n v="219.02"/>
    <n v="0.97999999999998977"/>
    <n v="1.8640000000000001"/>
    <n v="1.292727272727268E-2"/>
  </r>
  <r>
    <n v="4"/>
    <x v="6"/>
    <n v="140"/>
    <n v="138.68"/>
    <n v="1.3199999999999932"/>
    <n v="0.79300000000000004"/>
    <n v="1.5092857142857095E-2"/>
  </r>
  <r>
    <n v="5"/>
    <x v="6"/>
    <n v="0"/>
    <n v="0"/>
    <n v="0"/>
    <n v="0.66700000000000004"/>
    <e v="#DIV/0!"/>
  </r>
  <r>
    <n v="6"/>
    <x v="6"/>
    <n v="100"/>
    <n v="99.82"/>
    <n v="0.18000000000000682"/>
    <n v="0.71499999999999997"/>
    <n v="8.9500000000000673E-3"/>
  </r>
  <r>
    <n v="7"/>
    <x v="6"/>
    <n v="20"/>
    <n v="19.96"/>
    <n v="3.9999999999999147E-2"/>
    <n v="0.29599999999999999"/>
    <n v="1.6799999999999957E-2"/>
  </r>
  <r>
    <n v="10"/>
    <x v="6"/>
    <n v="0"/>
    <n v="0"/>
    <n v="0"/>
    <n v="0.35199999999999998"/>
    <e v="#DIV/0!"/>
  </r>
  <r>
    <n v="8"/>
    <x v="6"/>
    <n v="60"/>
    <n v="59.36"/>
    <n v="0.64000000000000057"/>
    <n v="0.81299999999999994"/>
    <n v="2.4216666666666675E-2"/>
  </r>
  <r>
    <n v="9"/>
    <x v="6"/>
    <n v="45"/>
    <n v="44.540000000000006"/>
    <n v="0.45999999999999375"/>
    <n v="0.59399999999999997"/>
    <n v="2.3422222222222081E-2"/>
  </r>
  <r>
    <n v="11"/>
    <x v="6"/>
    <n v="25"/>
    <n v="24.9"/>
    <n v="0.10000000000000142"/>
    <n v="0.98299999999999998"/>
    <n v="4.332000000000006E-2"/>
  </r>
  <r>
    <n v="12"/>
    <x v="6"/>
    <n v="51.3"/>
    <n v="50.2"/>
    <n v="1.0999999999999943"/>
    <n v="0.31900000000000001"/>
    <n v="2.7660818713450181E-2"/>
  </r>
  <r>
    <n v="13"/>
    <x v="6"/>
    <n v="25"/>
    <n v="25.3"/>
    <n v="-0.30000000000000071"/>
    <n v="0.245"/>
    <n v="-2.2000000000000288E-3"/>
  </r>
  <r>
    <n v="14"/>
    <x v="6"/>
    <n v="25"/>
    <n v="25.3"/>
    <n v="-0.30000000000000071"/>
    <n v="0.41799999999999998"/>
    <n v="4.7199999999999707E-3"/>
  </r>
  <r>
    <n v="15"/>
    <x v="6"/>
    <n v="25"/>
    <n v="25.1"/>
    <n v="-0.10000000000000142"/>
    <n v="0.41099999999999998"/>
    <n v="1.2439999999999942E-2"/>
  </r>
  <r>
    <n v="16"/>
    <x v="6"/>
    <n v="50"/>
    <n v="49.8"/>
    <n v="0.20000000000000284"/>
    <n v="0.12"/>
    <n v="6.4000000000000567E-3"/>
  </r>
  <r>
    <n v="17"/>
    <x v="6"/>
    <n v="50"/>
    <n v="49.6"/>
    <n v="0.39999999999999858"/>
    <n v="0.38600000000000001"/>
    <n v="1.571999999999997E-2"/>
  </r>
  <r>
    <n v="18"/>
    <x v="6"/>
    <n v="25"/>
    <n v="25.1"/>
    <n v="-0.10000000000000142"/>
    <n v="0.33"/>
    <n v="9.1999999999999443E-3"/>
  </r>
  <r>
    <n v="19"/>
    <x v="6"/>
    <n v="0"/>
    <n v="0"/>
    <n v="0"/>
    <n v="0.35"/>
    <e v="#DIV/0!"/>
  </r>
  <r>
    <n v="20"/>
    <x v="6"/>
    <n v="25"/>
    <n v="25.3"/>
    <n v="-0.30000000000000071"/>
    <n v="0.91300000000000003"/>
    <n v="2.4519999999999972E-2"/>
  </r>
  <r>
    <n v="21"/>
    <x v="6"/>
    <n v="50"/>
    <n v="50.6"/>
    <n v="-0.60000000000000142"/>
    <n v="0.19500000000000001"/>
    <n v="-8.1000000000000291E-3"/>
  </r>
  <r>
    <n v="22"/>
    <x v="6"/>
    <n v="50"/>
    <n v="49"/>
    <n v="1"/>
    <n v="0.70600000000000995"/>
    <n v="3.4120000000000199E-2"/>
  </r>
  <r>
    <n v="23"/>
    <x v="6"/>
    <n v="20"/>
    <n v="20"/>
    <n v="0"/>
    <n v="0.32400000000000001"/>
    <n v="1.6199999999999999E-2"/>
  </r>
  <r>
    <n v="24"/>
    <x v="6"/>
    <n v="60"/>
    <n v="59.04"/>
    <n v="0.96000000000000085"/>
    <n v="0.75"/>
    <n v="2.8500000000000015E-2"/>
  </r>
  <r>
    <n v="25"/>
    <x v="6"/>
    <n v="65"/>
    <n v="64.94"/>
    <n v="6.0000000000002274E-2"/>
    <n v="0.68600000000000005"/>
    <n v="1.1476923076923112E-2"/>
  </r>
  <r>
    <n v="26"/>
    <x v="6"/>
    <n v="50"/>
    <n v="49.8"/>
    <n v="0.20000000000000284"/>
    <n v="0.58499999999999996"/>
    <n v="1.5700000000000058E-2"/>
  </r>
  <r>
    <n v="27"/>
    <x v="6"/>
    <n v="330"/>
    <n v="327.22000000000003"/>
    <n v="2.7799999999999727"/>
    <n v="0.20300000000000001"/>
    <n v="9.0393939393938558E-3"/>
  </r>
  <r>
    <n v="28"/>
    <x v="6"/>
    <n v="50"/>
    <n v="49.8"/>
    <n v="0.20000000000000284"/>
    <n v="0.21299999999999999"/>
    <n v="8.2600000000000555E-3"/>
  </r>
  <r>
    <n v="29"/>
    <x v="6"/>
    <n v="25"/>
    <n v="24.7"/>
    <n v="0.30000000000000071"/>
    <n v="0.4"/>
    <n v="2.8000000000000028E-2"/>
  </r>
  <r>
    <n v="30"/>
    <x v="6"/>
    <n v="50"/>
    <n v="48.8"/>
    <n v="1.2000000000000028"/>
    <n v="0.29099999999999682"/>
    <n v="2.9819999999999992E-2"/>
  </r>
  <r>
    <n v="31"/>
    <x v="6"/>
    <n v="50"/>
    <n v="49.6"/>
    <n v="0.39999999999999858"/>
    <n v="0.65700000000000003"/>
    <n v="2.1139999999999971E-2"/>
  </r>
  <r>
    <n v="1"/>
    <x v="7"/>
    <n v="0"/>
    <n v="0"/>
    <n v="0"/>
    <n v="0.10119000000000078"/>
    <e v="#DIV/0!"/>
  </r>
  <r>
    <n v="2"/>
    <x v="7"/>
    <n v="40"/>
    <n v="39.659999999999997"/>
    <n v="0.34000000000000341"/>
    <n v="0.309"/>
    <n v="1.6225000000000083E-2"/>
  </r>
  <r>
    <n v="3"/>
    <x v="7"/>
    <n v="0"/>
    <n v="0"/>
    <n v="0"/>
    <n v="0.11700000000000001"/>
    <e v="#DIV/0!"/>
  </r>
  <r>
    <n v="4"/>
    <x v="7"/>
    <n v="0"/>
    <n v="0"/>
    <n v="0"/>
    <n v="8.8999999999999996E-2"/>
    <e v="#DIV/0!"/>
  </r>
  <r>
    <n v="5"/>
    <x v="7"/>
    <n v="0"/>
    <n v="0"/>
    <n v="0"/>
    <n v="6.2E-2"/>
    <e v="#DIV/0!"/>
  </r>
  <r>
    <n v="6"/>
    <x v="7"/>
    <n v="20"/>
    <n v="19.82"/>
    <n v="0.17999999999999972"/>
    <n v="6.9000000000000006E-2"/>
    <n v="1.2449999999999985E-2"/>
  </r>
  <r>
    <n v="7"/>
    <x v="7"/>
    <n v="0"/>
    <n v="0"/>
    <n v="0"/>
    <n v="0.33800000000000002"/>
    <e v="#DIV/0!"/>
  </r>
  <r>
    <n v="10"/>
    <x v="7"/>
    <n v="0"/>
    <n v="0"/>
    <n v="0"/>
    <n v="0.16700000000000001"/>
    <e v="#DIV/0!"/>
  </r>
  <r>
    <n v="8"/>
    <x v="7"/>
    <n v="40"/>
    <n v="39.729999999999997"/>
    <n v="0.27000000000000313"/>
    <n v="0.18"/>
    <n v="1.1250000000000078E-2"/>
  </r>
  <r>
    <n v="9"/>
    <x v="7"/>
    <n v="0"/>
    <n v="0"/>
    <n v="0"/>
    <n v="8.6999999999999994E-2"/>
    <e v="#DIV/0!"/>
  </r>
  <r>
    <n v="11"/>
    <x v="7"/>
    <n v="0"/>
    <n v="0"/>
    <n v="0"/>
    <n v="5.8000000000000003E-2"/>
    <e v="#DIV/0!"/>
  </r>
  <r>
    <n v="12"/>
    <x v="7"/>
    <n v="20"/>
    <n v="19.91"/>
    <n v="8.9999999999999858E-2"/>
    <n v="0.17"/>
    <n v="1.2999999999999994E-2"/>
  </r>
  <r>
    <n v="13"/>
    <x v="7"/>
    <n v="0"/>
    <n v="0"/>
    <n v="0"/>
    <n v="0.14299999999999999"/>
    <e v="#DIV/0!"/>
  </r>
  <r>
    <n v="14"/>
    <x v="7"/>
    <n v="20"/>
    <n v="19.850000000000001"/>
    <n v="0.14999999999999858"/>
    <n v="0.12"/>
    <n v="1.3499999999999929E-2"/>
  </r>
  <r>
    <n v="15"/>
    <x v="7"/>
    <n v="0"/>
    <n v="0"/>
    <n v="0"/>
    <n v="0.16500000000000001"/>
    <e v="#DIV/0!"/>
  </r>
  <r>
    <n v="16"/>
    <x v="7"/>
    <n v="25"/>
    <n v="25"/>
    <n v="0"/>
    <n v="8.3000000000000004E-2"/>
    <n v="3.32E-3"/>
  </r>
  <r>
    <n v="17"/>
    <x v="7"/>
    <n v="0"/>
    <n v="0"/>
    <n v="0"/>
    <n v="6.3E-2"/>
    <e v="#DIV/0!"/>
  </r>
  <r>
    <n v="18"/>
    <x v="7"/>
    <n v="0"/>
    <n v="0"/>
    <n v="0"/>
    <n v="6.0999999999999999E-2"/>
    <e v="#DIV/0!"/>
  </r>
  <r>
    <n v="19"/>
    <x v="7"/>
    <n v="0"/>
    <n v="0"/>
    <n v="0"/>
    <n v="0.107"/>
    <e v="#DIV/0!"/>
  </r>
  <r>
    <n v="20"/>
    <x v="7"/>
    <n v="0"/>
    <n v="0"/>
    <n v="0"/>
    <n v="4.2999999999999997E-2"/>
    <e v="#DIV/0!"/>
  </r>
  <r>
    <n v="21"/>
    <x v="7"/>
    <n v="40"/>
    <n v="39.61"/>
    <n v="0.39000000000000057"/>
    <n v="0.379"/>
    <n v="1.9225000000000013E-2"/>
  </r>
  <r>
    <n v="22"/>
    <x v="7"/>
    <n v="0"/>
    <n v="0"/>
    <n v="0"/>
    <n v="9.0239999999999695E-2"/>
    <e v="#DIV/0!"/>
  </r>
  <r>
    <n v="23"/>
    <x v="7"/>
    <n v="0"/>
    <n v="0"/>
    <n v="0"/>
    <n v="0.16500000000000001"/>
    <e v="#DIV/0!"/>
  </r>
  <r>
    <n v="24"/>
    <x v="7"/>
    <n v="0"/>
    <n v="0"/>
    <n v="0"/>
    <n v="4.8000000000000001E-2"/>
    <e v="#DIV/0!"/>
  </r>
  <r>
    <n v="25"/>
    <x v="7"/>
    <n v="0"/>
    <n v="0"/>
    <n v="0"/>
    <n v="4.2999999999999997E-2"/>
    <e v="#DIV/0!"/>
  </r>
  <r>
    <n v="26"/>
    <x v="7"/>
    <n v="70"/>
    <n v="70"/>
    <n v="0"/>
    <n v="0.106"/>
    <n v="1.5142857142857143E-3"/>
  </r>
  <r>
    <n v="27"/>
    <x v="7"/>
    <n v="0"/>
    <n v="0"/>
    <n v="0"/>
    <n v="0.77300000000000002"/>
    <e v="#DIV/0!"/>
  </r>
  <r>
    <n v="28"/>
    <x v="7"/>
    <n v="0"/>
    <n v="0"/>
    <n v="0"/>
    <n v="3.7999999999999999E-2"/>
    <e v="#DIV/0!"/>
  </r>
  <r>
    <n v="29"/>
    <x v="7"/>
    <n v="0"/>
    <n v="0"/>
    <n v="0"/>
    <n v="6.8000000000000005E-2"/>
    <e v="#DIV/0!"/>
  </r>
  <r>
    <n v="30"/>
    <x v="7"/>
    <n v="0"/>
    <n v="0"/>
    <n v="0"/>
    <n v="5.5E-2"/>
    <e v="#DIV/0!"/>
  </r>
  <r>
    <n v="31"/>
    <x v="7"/>
    <n v="30"/>
    <n v="30"/>
    <n v="0"/>
    <n v="6.4000000000000001E-2"/>
    <n v="2.1333333333333334E-3"/>
  </r>
  <r>
    <n v="1"/>
    <x v="8"/>
    <n v="0"/>
    <n v="0"/>
    <n v="0"/>
    <n v="0"/>
    <e v="#DIV/0!"/>
  </r>
  <r>
    <n v="2"/>
    <x v="8"/>
    <n v="20"/>
    <n v="19.88"/>
    <n v="0.12000000000000099"/>
    <n v="0.24099999999999999"/>
    <n v="1.8050000000000049E-2"/>
  </r>
  <r>
    <n v="3"/>
    <x v="8"/>
    <n v="20"/>
    <n v="19.75"/>
    <n v="0.25"/>
    <n v="0.124"/>
    <n v="1.8700000000000001E-2"/>
  </r>
  <r>
    <n v="4"/>
    <x v="8"/>
    <n v="40"/>
    <n v="39.58"/>
    <n v="0.42000000000000171"/>
    <n v="0.21"/>
    <n v="1.5750000000000042E-2"/>
  </r>
  <r>
    <n v="5"/>
    <x v="8"/>
    <n v="20"/>
    <n v="19.87"/>
    <n v="0.12999999999999901"/>
    <n v="0.25"/>
    <n v="1.8999999999999951E-2"/>
  </r>
  <r>
    <n v="6"/>
    <x v="8"/>
    <n v="0"/>
    <n v="0"/>
    <n v="0"/>
    <n v="0.154"/>
    <e v="#DIV/0!"/>
  </r>
  <r>
    <n v="7"/>
    <x v="8"/>
    <n v="20"/>
    <n v="19.82"/>
    <n v="0.17999999999999972"/>
    <n v="0.20819999999999972"/>
    <n v="1.9409999999999972E-2"/>
  </r>
  <r>
    <n v="10"/>
    <x v="8"/>
    <n v="20"/>
    <n v="19.78"/>
    <n v="0.21999999999999886"/>
    <n v="0.224"/>
    <n v="2.2199999999999942E-2"/>
  </r>
  <r>
    <n v="8"/>
    <x v="8"/>
    <n v="20"/>
    <n v="19.72"/>
    <n v="0.28000000000000114"/>
    <n v="0.224"/>
    <n v="2.5200000000000056E-2"/>
  </r>
  <r>
    <n v="9"/>
    <x v="8"/>
    <n v="0"/>
    <n v="0"/>
    <n v="0"/>
    <n v="0.109"/>
    <e v="#DIV/0!"/>
  </r>
  <r>
    <n v="11"/>
    <x v="8"/>
    <n v="20"/>
    <n v="19.899999999999999"/>
    <n v="0.10000000000000142"/>
    <n v="0.22"/>
    <n v="1.600000000000007E-2"/>
  </r>
  <r>
    <n v="12"/>
    <x v="8"/>
    <n v="20"/>
    <n v="19.8"/>
    <n v="0.19999999999999929"/>
    <n v="0.11"/>
    <n v="1.5499999999999963E-2"/>
  </r>
  <r>
    <n v="13"/>
    <x v="8"/>
    <n v="0"/>
    <n v="0"/>
    <n v="0"/>
    <n v="0.192"/>
    <e v="#DIV/0!"/>
  </r>
  <r>
    <n v="14"/>
    <x v="8"/>
    <n v="0"/>
    <n v="0"/>
    <n v="0"/>
    <n v="0.20599999999999999"/>
    <e v="#DIV/0!"/>
  </r>
  <r>
    <n v="15"/>
    <x v="8"/>
    <n v="20"/>
    <n v="19.88"/>
    <n v="0.12000000000000099"/>
    <n v="0.23200000000000001"/>
    <n v="1.760000000000005E-2"/>
  </r>
  <r>
    <n v="16"/>
    <x v="8"/>
    <n v="0"/>
    <n v="0"/>
    <n v="0"/>
    <n v="0.17799999999999999"/>
    <e v="#DIV/0!"/>
  </r>
  <r>
    <n v="17"/>
    <x v="8"/>
    <n v="20"/>
    <n v="19.690000000000001"/>
    <n v="0.30999999999999872"/>
    <n v="0.214"/>
    <n v="2.6199999999999935E-2"/>
  </r>
  <r>
    <n v="18"/>
    <x v="8"/>
    <n v="20"/>
    <n v="19.8"/>
    <n v="0.19999999999999929"/>
    <n v="0.16"/>
    <n v="1.7999999999999967E-2"/>
  </r>
  <r>
    <n v="19"/>
    <x v="8"/>
    <n v="20"/>
    <n v="19.84"/>
    <n v="0.16000000000000014"/>
    <n v="0.21"/>
    <n v="1.8500000000000006E-2"/>
  </r>
  <r>
    <n v="20"/>
    <x v="8"/>
    <n v="0"/>
    <n v="0"/>
    <n v="0"/>
    <n v="0.2"/>
    <e v="#DIV/0!"/>
  </r>
  <r>
    <n v="21"/>
    <x v="8"/>
    <n v="0"/>
    <n v="0"/>
    <n v="0"/>
    <n v="8.8999999999999996E-2"/>
    <e v="#DIV/0!"/>
  </r>
  <r>
    <n v="22"/>
    <x v="8"/>
    <n v="20"/>
    <n v="19.829999999999998"/>
    <n v="0.17000000000000171"/>
    <n v="0.20799999999999699"/>
    <n v="1.8899999999999934E-2"/>
  </r>
  <r>
    <n v="23"/>
    <x v="8"/>
    <n v="0"/>
    <n v="0"/>
    <n v="0"/>
    <n v="0"/>
    <e v="#DIV/0!"/>
  </r>
  <r>
    <n v="24"/>
    <x v="8"/>
    <n v="20"/>
    <n v="19.79"/>
    <n v="0.21000000000000085"/>
    <n v="0.22500000000000001"/>
    <n v="2.175000000000004E-2"/>
  </r>
  <r>
    <n v="25"/>
    <x v="8"/>
    <n v="20"/>
    <n v="19.809999999999999"/>
    <n v="0.19000000000000128"/>
    <n v="0.27700000000000002"/>
    <n v="2.3350000000000065E-2"/>
  </r>
  <r>
    <n v="26"/>
    <x v="8"/>
    <n v="25"/>
    <n v="24.67"/>
    <n v="0.32999999999999829"/>
    <n v="0.253"/>
    <n v="2.3319999999999931E-2"/>
  </r>
  <r>
    <n v="27"/>
    <x v="8"/>
    <n v="0"/>
    <n v="0"/>
    <n v="0"/>
    <n v="0.247"/>
    <e v="#DIV/0!"/>
  </r>
  <r>
    <n v="28"/>
    <x v="8"/>
    <n v="25"/>
    <n v="24.76"/>
    <n v="0.23999999999999844"/>
    <n v="0.26200000000000001"/>
    <n v="2.0079999999999938E-2"/>
  </r>
  <r>
    <n v="29"/>
    <x v="8"/>
    <n v="25"/>
    <n v="24.72"/>
    <n v="0.28000000000000114"/>
    <n v="0.26"/>
    <n v="2.1600000000000046E-2"/>
  </r>
  <r>
    <n v="30"/>
    <x v="8"/>
    <n v="25"/>
    <n v="24.72"/>
    <n v="0.28000000000000114"/>
    <n v="0.21299999999999999"/>
    <n v="1.9720000000000043E-2"/>
  </r>
  <r>
    <n v="31"/>
    <x v="8"/>
    <n v="25"/>
    <n v="24.71"/>
    <n v="0.28999999999999915"/>
    <n v="0.219"/>
    <n v="2.0359999999999965E-2"/>
  </r>
  <r>
    <n v="1"/>
    <x v="9"/>
    <n v="20"/>
    <n v="19.88"/>
    <n v="0.12000000000000099"/>
    <n v="0.16600000000000001"/>
    <n v="1.4300000000000052E-2"/>
  </r>
  <r>
    <n v="2"/>
    <x v="9"/>
    <n v="40"/>
    <n v="39.659999999999997"/>
    <n v="0.34000000000000341"/>
    <n v="0.17299999999999999"/>
    <n v="1.2825000000000086E-2"/>
  </r>
  <r>
    <n v="3"/>
    <x v="9"/>
    <n v="40"/>
    <n v="39.770000000000003"/>
    <n v="0.22999999999999687"/>
    <n v="0.14199999999999999"/>
    <n v="9.2999999999999229E-3"/>
  </r>
  <r>
    <n v="4"/>
    <x v="9"/>
    <n v="0"/>
    <n v="0"/>
    <n v="0"/>
    <n v="0.14199999999999999"/>
    <e v="#DIV/0!"/>
  </r>
  <r>
    <n v="5"/>
    <x v="9"/>
    <n v="20"/>
    <n v="19.84"/>
    <n v="0.16000000000000014"/>
    <n v="0.14599999999999999"/>
    <n v="1.5300000000000008E-2"/>
  </r>
  <r>
    <n v="6"/>
    <x v="9"/>
    <n v="20"/>
    <n v="19.829999999999998"/>
    <n v="0.17000000000000171"/>
    <n v="0.13200000000000001"/>
    <n v="1.5100000000000086E-2"/>
  </r>
  <r>
    <n v="7"/>
    <x v="9"/>
    <n v="40"/>
    <n v="39.700000000000003"/>
    <n v="0.29999999999999716"/>
    <n v="0.14199999999999999"/>
    <n v="1.104999999999993E-2"/>
  </r>
  <r>
    <n v="10"/>
    <x v="9"/>
    <n v="20"/>
    <n v="19.78"/>
    <n v="0.21999999999999886"/>
    <n v="0.1"/>
    <n v="1.5999999999999941E-2"/>
  </r>
  <r>
    <n v="8"/>
    <x v="9"/>
    <n v="40"/>
    <n v="39.75"/>
    <n v="0.25"/>
    <n v="0.114"/>
    <n v="9.1000000000000004E-3"/>
  </r>
  <r>
    <n v="9"/>
    <x v="9"/>
    <n v="0"/>
    <n v="0"/>
    <n v="0"/>
    <n v="8.2000000000000003E-2"/>
    <e v="#DIV/0!"/>
  </r>
  <r>
    <n v="11"/>
    <x v="9"/>
    <n v="20"/>
    <n v="19.87"/>
    <n v="0.12999999999999901"/>
    <n v="0.14199999999999999"/>
    <n v="1.3599999999999951E-2"/>
  </r>
  <r>
    <n v="12"/>
    <x v="9"/>
    <n v="20"/>
    <n v="19.78"/>
    <n v="0.21999999999999886"/>
    <n v="0.14199999999999999"/>
    <n v="1.8099999999999943E-2"/>
  </r>
  <r>
    <n v="13"/>
    <x v="9"/>
    <n v="20"/>
    <n v="19.86"/>
    <n v="0.14000000000000057"/>
    <n v="0.14899999999999999"/>
    <n v="1.4450000000000029E-2"/>
  </r>
  <r>
    <n v="14"/>
    <x v="9"/>
    <n v="20"/>
    <n v="19.88"/>
    <n v="0.12000000000000099"/>
    <n v="0.13600000000000001"/>
    <n v="1.2800000000000051E-2"/>
  </r>
  <r>
    <n v="15"/>
    <x v="9"/>
    <n v="20"/>
    <n v="19.760000000000002"/>
    <n v="0.23999999999999844"/>
    <n v="0.152"/>
    <n v="1.9599999999999923E-2"/>
  </r>
  <r>
    <n v="16"/>
    <x v="9"/>
    <n v="40"/>
    <n v="39.729999999999997"/>
    <n v="0.27000000000000313"/>
    <n v="0.14399999999999999"/>
    <n v="1.0350000000000078E-2"/>
  </r>
  <r>
    <n v="17"/>
    <x v="9"/>
    <n v="20"/>
    <n v="19.87"/>
    <n v="0.12999999999999901"/>
    <n v="0.128"/>
    <n v="1.289999999999995E-2"/>
  </r>
  <r>
    <n v="18"/>
    <x v="9"/>
    <n v="20"/>
    <n v="19.87"/>
    <n v="0.12999999999999901"/>
    <n v="0.128"/>
    <n v="1.289999999999995E-2"/>
  </r>
  <r>
    <n v="19"/>
    <x v="9"/>
    <n v="20"/>
    <n v="19.86"/>
    <n v="0.14000000000000057"/>
    <n v="0.13600000000000001"/>
    <n v="1.3800000000000029E-2"/>
  </r>
  <r>
    <n v="20"/>
    <x v="9"/>
    <n v="40"/>
    <n v="39.69"/>
    <n v="0.31000000000000227"/>
    <n v="0.13200000000000001"/>
    <n v="1.1050000000000056E-2"/>
  </r>
  <r>
    <n v="21"/>
    <x v="9"/>
    <n v="25"/>
    <n v="24.87"/>
    <n v="0.12999999999999901"/>
    <n v="0.10100000000000001"/>
    <n v="9.2399999999999601E-3"/>
  </r>
  <r>
    <n v="22"/>
    <x v="9"/>
    <n v="20"/>
    <n v="19.850000000000001"/>
    <n v="0.14999999999999858"/>
    <n v="7.5000000000001094E-2"/>
    <n v="1.1249999999999984E-2"/>
  </r>
  <r>
    <n v="23"/>
    <x v="9"/>
    <n v="25"/>
    <n v="24.87"/>
    <n v="0.12999999999999901"/>
    <n v="0.1"/>
    <n v="9.1999999999999599E-3"/>
  </r>
  <r>
    <n v="24"/>
    <x v="9"/>
    <n v="25"/>
    <n v="24.9"/>
    <n v="0.10000000000000142"/>
    <n v="9.5000000000000001E-2"/>
    <n v="7.8000000000000569E-3"/>
  </r>
  <r>
    <n v="25"/>
    <x v="9"/>
    <n v="0"/>
    <n v="0"/>
    <n v="0"/>
    <n v="0.13200000000000001"/>
    <e v="#DIV/0!"/>
  </r>
  <r>
    <n v="26"/>
    <x v="9"/>
    <n v="25"/>
    <n v="24.9"/>
    <n v="0.10000000000000142"/>
    <n v="0.09"/>
    <n v="7.6000000000000564E-3"/>
  </r>
  <r>
    <n v="27"/>
    <x v="9"/>
    <n v="0"/>
    <n v="0"/>
    <n v="0"/>
    <n v="7.0000000000000007E-2"/>
    <e v="#DIV/0!"/>
  </r>
  <r>
    <n v="28"/>
    <x v="9"/>
    <n v="0"/>
    <n v="0"/>
    <n v="0"/>
    <n v="9.8000000000000004E-2"/>
    <e v="#DIV/0!"/>
  </r>
  <r>
    <n v="29"/>
    <x v="9"/>
    <n v="0"/>
    <n v="0"/>
    <n v="0"/>
    <n v="8.7999999999999995E-2"/>
    <e v="#DIV/0!"/>
  </r>
  <r>
    <n v="30"/>
    <x v="9"/>
    <n v="50"/>
    <n v="49.74"/>
    <n v="0.25999999999999801"/>
    <n v="0.157"/>
    <n v="8.3399999999999603E-3"/>
  </r>
  <r>
    <n v="31"/>
    <x v="9"/>
    <n v="0"/>
    <n v="0"/>
    <n v="0"/>
    <n v="0.09"/>
    <e v="#DIV/0!"/>
  </r>
  <r>
    <n v="1"/>
    <x v="10"/>
    <n v="40"/>
    <n v="39.72"/>
    <n v="0.28000000000000114"/>
    <n v="0.27200000000000002"/>
    <n v="1.3800000000000029E-2"/>
  </r>
  <r>
    <n v="2"/>
    <x v="10"/>
    <n v="20"/>
    <n v="19.88"/>
    <n v="0.12000000000000099"/>
    <n v="0.20799999999999999"/>
    <n v="1.6400000000000046E-2"/>
  </r>
  <r>
    <n v="3"/>
    <x v="10"/>
    <n v="20"/>
    <n v="19.93"/>
    <n v="7.0000000000000284E-2"/>
    <n v="0.251"/>
    <n v="1.6050000000000016E-2"/>
  </r>
  <r>
    <n v="4"/>
    <x v="10"/>
    <n v="40"/>
    <n v="39.68"/>
    <n v="0.32000000000000028"/>
    <n v="5.2999999999999999E-2"/>
    <n v="9.3250000000000069E-3"/>
  </r>
  <r>
    <n v="5"/>
    <x v="10"/>
    <n v="60"/>
    <n v="59.77"/>
    <n v="0.22999999999999687"/>
    <n v="0.32800000000000001"/>
    <n v="9.2999999999999489E-3"/>
  </r>
  <r>
    <n v="6"/>
    <x v="10"/>
    <n v="0"/>
    <n v="0"/>
    <n v="0"/>
    <n v="0.152"/>
    <e v="#DIV/0!"/>
  </r>
  <r>
    <n v="7"/>
    <x v="10"/>
    <n v="20"/>
    <n v="19.86"/>
    <n v="0.14000000000000057"/>
    <n v="2.2000000000002018E-2"/>
    <n v="8.1000000000001297E-3"/>
  </r>
  <r>
    <n v="10"/>
    <x v="10"/>
    <n v="0"/>
    <n v="0"/>
    <n v="0"/>
    <n v="0.11100000000000065"/>
    <e v="#DIV/0!"/>
  </r>
  <r>
    <n v="8"/>
    <x v="10"/>
    <n v="40"/>
    <n v="39.74"/>
    <n v="0.25999999999999801"/>
    <n v="0.13800000000000001"/>
    <n v="9.9499999999999502E-3"/>
  </r>
  <r>
    <n v="9"/>
    <x v="10"/>
    <n v="40"/>
    <n v="39.9"/>
    <n v="0.10000000000000142"/>
    <n v="0.28000000000000003"/>
    <n v="9.5000000000000362E-3"/>
  </r>
  <r>
    <n v="11"/>
    <x v="10"/>
    <n v="40"/>
    <n v="39.97"/>
    <n v="3.0000000000001137E-2"/>
    <n v="0.21199999999999974"/>
    <n v="6.0500000000000224E-3"/>
  </r>
  <r>
    <n v="12"/>
    <x v="10"/>
    <n v="40"/>
    <n v="39.99"/>
    <n v="9.9999999999980105E-3"/>
    <n v="0.42999999999999972"/>
    <n v="1.0999999999999944E-2"/>
  </r>
  <r>
    <n v="13"/>
    <x v="10"/>
    <n v="20"/>
    <n v="19.98"/>
    <n v="1.9999999999999574E-2"/>
    <n v="0.14800000000000324"/>
    <n v="8.40000000000014E-3"/>
  </r>
  <r>
    <n v="14"/>
    <x v="10"/>
    <n v="20"/>
    <n v="19.89"/>
    <n v="0.10999999999999943"/>
    <n v="6.1999999999997613E-2"/>
    <n v="8.5999999999998526E-3"/>
  </r>
  <r>
    <n v="15"/>
    <x v="10"/>
    <n v="40"/>
    <n v="39.68"/>
    <n v="0.32000000000000028"/>
    <n v="7.2000000000000952E-2"/>
    <n v="9.8000000000000309E-3"/>
  </r>
  <r>
    <n v="16"/>
    <x v="10"/>
    <n v="40"/>
    <n v="39.909999999999997"/>
    <n v="9.0000000000003411E-2"/>
    <n v="0.32300000000000001"/>
    <n v="1.0325000000000086E-2"/>
  </r>
  <r>
    <n v="17"/>
    <x v="10"/>
    <n v="0"/>
    <n v="0"/>
    <n v="0"/>
    <n v="0.14099999999999999"/>
    <e v="#DIV/0!"/>
  </r>
  <r>
    <n v="18"/>
    <x v="10"/>
    <n v="40"/>
    <n v="39.93"/>
    <n v="7.0000000000000284E-2"/>
    <n v="0.28700000000000259"/>
    <n v="8.9250000000000718E-3"/>
  </r>
  <r>
    <n v="19"/>
    <x v="10"/>
    <n v="20"/>
    <n v="19.98"/>
    <n v="1.9999999999999574E-2"/>
    <n v="0.17400000000000304"/>
    <n v="9.7000000000001304E-3"/>
  </r>
  <r>
    <n v="20"/>
    <x v="10"/>
    <n v="40"/>
    <n v="39.96"/>
    <n v="3.9999999999999147E-2"/>
    <n v="0.32200000000000001"/>
    <n v="9.0499999999999782E-3"/>
  </r>
  <r>
    <n v="21"/>
    <x v="10"/>
    <n v="20"/>
    <n v="19.850000000000001"/>
    <n v="0.14999999999999858"/>
    <n v="4.2999999999999997E-2"/>
    <n v="9.6499999999999277E-3"/>
  </r>
  <r>
    <n v="22"/>
    <x v="10"/>
    <n v="20"/>
    <n v="19.96"/>
    <n v="3.9999999999999147E-2"/>
    <n v="0.152"/>
    <n v="9.5999999999999575E-3"/>
  </r>
  <r>
    <n v="23"/>
    <x v="10"/>
    <n v="20"/>
    <n v="19.93"/>
    <n v="7.0000000000000284E-2"/>
    <n v="0.125"/>
    <n v="9.7500000000000139E-3"/>
  </r>
  <r>
    <n v="24"/>
    <x v="10"/>
    <n v="40"/>
    <n v="39.880000000000003"/>
    <n v="0.11999999999999744"/>
    <n v="0.27400000000000002"/>
    <n v="9.8499999999999369E-3"/>
  </r>
  <r>
    <n v="25"/>
    <x v="10"/>
    <n v="95"/>
    <n v="94.77"/>
    <n v="0.23000000000000398"/>
    <n v="0.70699999999999996"/>
    <n v="9.8631578947368844E-3"/>
  </r>
  <r>
    <n v="26"/>
    <x v="10"/>
    <n v="0"/>
    <n v="0"/>
    <n v="0"/>
    <n v="0.16"/>
    <e v="#DIV/0!"/>
  </r>
  <r>
    <n v="27"/>
    <x v="10"/>
    <n v="0"/>
    <n v="0"/>
    <n v="0"/>
    <n v="0.20599999999999999"/>
    <e v="#DIV/0!"/>
  </r>
  <r>
    <n v="28"/>
    <x v="10"/>
    <n v="25"/>
    <n v="24.86"/>
    <n v="0.14000000000000057"/>
    <n v="0.04"/>
    <n v="7.2000000000000232E-3"/>
  </r>
  <r>
    <n v="29"/>
    <x v="10"/>
    <n v="0"/>
    <n v="0"/>
    <n v="0"/>
    <n v="0.04"/>
    <e v="#DIV/0!"/>
  </r>
  <r>
    <n v="30"/>
    <x v="10"/>
    <n v="25"/>
    <n v="24.9"/>
    <n v="0.10000000000000142"/>
    <n v="0.14599999999999999"/>
    <n v="9.840000000000057E-3"/>
  </r>
  <r>
    <n v="31"/>
    <x v="10"/>
    <n v="25"/>
    <n v="24.93"/>
    <n v="7.0000000000000284E-2"/>
    <n v="0.21"/>
    <n v="1.120000000000001E-2"/>
  </r>
  <r>
    <n v="1"/>
    <x v="11"/>
    <n v="20"/>
    <n v="19.63"/>
    <n v="0.37000000000000099"/>
    <n v="0.182"/>
    <n v="2.7600000000000048E-2"/>
  </r>
  <r>
    <n v="2"/>
    <x v="11"/>
    <n v="20"/>
    <n v="19.84"/>
    <n v="0.16000000000000014"/>
    <n v="0.105"/>
    <n v="1.3250000000000007E-2"/>
  </r>
  <r>
    <n v="3"/>
    <x v="11"/>
    <n v="40"/>
    <n v="39.54"/>
    <n v="0.46000000000000085"/>
    <n v="0.10199999999999999"/>
    <n v="1.4050000000000021E-2"/>
  </r>
  <r>
    <n v="4"/>
    <x v="11"/>
    <n v="20"/>
    <n v="19.899999999999999"/>
    <n v="0.10000000000000142"/>
    <n v="0.122"/>
    <n v="1.1100000000000072E-2"/>
  </r>
  <r>
    <n v="5"/>
    <x v="11"/>
    <n v="0"/>
    <n v="0"/>
    <n v="0"/>
    <n v="0.21"/>
    <e v="#DIV/0!"/>
  </r>
  <r>
    <n v="6"/>
    <x v="11"/>
    <n v="20"/>
    <n v="19.78"/>
    <n v="0.21999999999999886"/>
    <n v="0.10199999999999999"/>
    <n v="1.6099999999999941E-2"/>
  </r>
  <r>
    <n v="7"/>
    <x v="11"/>
    <n v="0"/>
    <n v="0"/>
    <n v="0"/>
    <n v="0.106"/>
    <e v="#DIV/0!"/>
  </r>
  <r>
    <n v="10"/>
    <x v="11"/>
    <n v="0"/>
    <n v="0"/>
    <n v="0"/>
    <n v="0.105"/>
    <e v="#DIV/0!"/>
  </r>
  <r>
    <n v="8"/>
    <x v="11"/>
    <n v="20"/>
    <n v="19.72"/>
    <n v="0.28000000000000114"/>
    <n v="0.188"/>
    <n v="2.3400000000000056E-2"/>
  </r>
  <r>
    <n v="9"/>
    <x v="11"/>
    <n v="20"/>
    <n v="19.72"/>
    <n v="0.28000000000000114"/>
    <n v="0.10199999999999999"/>
    <n v="1.9100000000000054E-2"/>
  </r>
  <r>
    <n v="11"/>
    <x v="11"/>
    <n v="20"/>
    <n v="19.61"/>
    <n v="0.39000000000000057"/>
    <n v="0.105"/>
    <n v="2.4750000000000029E-2"/>
  </r>
  <r>
    <n v="12"/>
    <x v="11"/>
    <n v="40"/>
    <n v="39.64"/>
    <n v="0.35999999999999943"/>
    <n v="0.10199999999999999"/>
    <n v="1.1549999999999986E-2"/>
  </r>
  <r>
    <n v="13"/>
    <x v="11"/>
    <n v="0"/>
    <n v="0"/>
    <n v="0"/>
    <n v="0.10199999999999999"/>
    <e v="#DIV/0!"/>
  </r>
  <r>
    <n v="14"/>
    <x v="11"/>
    <n v="0"/>
    <n v="0"/>
    <n v="0"/>
    <n v="0"/>
    <e v="#DIV/0!"/>
  </r>
  <r>
    <n v="15"/>
    <x v="11"/>
    <n v="0"/>
    <n v="0"/>
    <n v="0"/>
    <n v="0.125"/>
    <e v="#DIV/0!"/>
  </r>
  <r>
    <n v="16"/>
    <x v="11"/>
    <n v="0"/>
    <n v="0"/>
    <n v="0"/>
    <n v="0.108"/>
    <e v="#DIV/0!"/>
  </r>
  <r>
    <n v="17"/>
    <x v="11"/>
    <n v="0"/>
    <n v="0"/>
    <n v="0"/>
    <n v="0.125"/>
    <e v="#DIV/0!"/>
  </r>
  <r>
    <n v="18"/>
    <x v="11"/>
    <n v="25"/>
    <n v="24.74"/>
    <n v="0.26000000000000156"/>
    <n v="0.2"/>
    <n v="1.8400000000000062E-2"/>
  </r>
  <r>
    <n v="19"/>
    <x v="11"/>
    <n v="25"/>
    <n v="24.66"/>
    <n v="0.33999999999999986"/>
    <n v="0.156"/>
    <n v="1.9839999999999997E-2"/>
  </r>
  <r>
    <n v="20"/>
    <x v="11"/>
    <n v="25"/>
    <n v="24.58"/>
    <n v="0.42000000000000171"/>
    <n v="0.21199999999999999"/>
    <n v="2.5280000000000066E-2"/>
  </r>
  <r>
    <n v="21"/>
    <x v="11"/>
    <n v="25"/>
    <n v="24.62"/>
    <n v="0.37999999999999901"/>
    <n v="0.115"/>
    <n v="1.979999999999996E-2"/>
  </r>
  <r>
    <n v="22"/>
    <x v="11"/>
    <n v="25"/>
    <n v="24.89"/>
    <n v="0.10999999999999943"/>
    <n v="0.122"/>
    <n v="9.2799999999999775E-3"/>
  </r>
  <r>
    <n v="23"/>
    <x v="11"/>
    <n v="0"/>
    <n v="0"/>
    <n v="0"/>
    <n v="0.21199999999999999"/>
    <e v="#DIV/0!"/>
  </r>
  <r>
    <n v="24"/>
    <x v="11"/>
    <n v="25"/>
    <n v="24.86"/>
    <n v="0.14000000000000057"/>
    <n v="0.105"/>
    <n v="9.8000000000000222E-3"/>
  </r>
  <r>
    <n v="25"/>
    <x v="11"/>
    <n v="0"/>
    <n v="0"/>
    <n v="0"/>
    <n v="0"/>
    <e v="#DIV/0!"/>
  </r>
  <r>
    <n v="26"/>
    <x v="11"/>
    <n v="0"/>
    <n v="0"/>
    <n v="0"/>
    <n v="0"/>
    <e v="#DIV/0!"/>
  </r>
  <r>
    <n v="27"/>
    <x v="11"/>
    <n v="0"/>
    <n v="0"/>
    <n v="0"/>
    <n v="0"/>
    <e v="#DIV/0!"/>
  </r>
  <r>
    <n v="28"/>
    <x v="11"/>
    <n v="0"/>
    <n v="0"/>
    <n v="0"/>
    <n v="0"/>
    <e v="#DIV/0!"/>
  </r>
  <r>
    <n v="29"/>
    <x v="11"/>
    <n v="25"/>
    <n v="24.87"/>
    <n v="0.12999999999999901"/>
    <n v="0.113"/>
    <n v="9.7199999999999596E-3"/>
  </r>
  <r>
    <n v="30"/>
    <x v="11"/>
    <n v="0"/>
    <n v="0"/>
    <n v="0"/>
    <n v="0"/>
    <e v="#DIV/0!"/>
  </r>
  <r>
    <n v="31"/>
    <x v="11"/>
    <n v="0"/>
    <n v="0"/>
    <n v="0"/>
    <n v="0"/>
    <e v="#DIV/0!"/>
  </r>
  <r>
    <n v="1"/>
    <x v="12"/>
    <n v="0"/>
    <n v="0"/>
    <n v="0"/>
    <n v="0.12"/>
    <e v="#DIV/0!"/>
  </r>
  <r>
    <n v="2"/>
    <x v="12"/>
    <n v="20"/>
    <n v="19.899999999999999"/>
    <n v="0.10000000000000142"/>
    <n v="0.15"/>
    <n v="1.2500000000000072E-2"/>
  </r>
  <r>
    <n v="3"/>
    <x v="12"/>
    <n v="0"/>
    <n v="0"/>
    <n v="0"/>
    <n v="0"/>
    <e v="#DIV/0!"/>
  </r>
  <r>
    <n v="4"/>
    <x v="12"/>
    <n v="20"/>
    <n v="19.940000000000001"/>
    <n v="5.9999999999998721E-2"/>
    <n v="0"/>
    <n v="2.9999999999999359E-3"/>
  </r>
  <r>
    <n v="5"/>
    <x v="12"/>
    <n v="0"/>
    <n v="0"/>
    <n v="0"/>
    <n v="0.23599999999999999"/>
    <e v="#DIV/0!"/>
  </r>
  <r>
    <n v="6"/>
    <x v="12"/>
    <n v="20"/>
    <n v="19.96"/>
    <n v="3.9999999999999147E-2"/>
    <n v="0.14399999999999999"/>
    <n v="9.1999999999999565E-3"/>
  </r>
  <r>
    <n v="7"/>
    <x v="12"/>
    <n v="0"/>
    <n v="0"/>
    <n v="0"/>
    <n v="7.0000000000000007E-2"/>
    <e v="#DIV/0!"/>
  </r>
  <r>
    <n v="10"/>
    <x v="12"/>
    <n v="0"/>
    <n v="0"/>
    <n v="0"/>
    <n v="8.4000000000000005E-2"/>
    <e v="#DIV/0!"/>
  </r>
  <r>
    <n v="8"/>
    <x v="12"/>
    <n v="20"/>
    <n v="19.920000000000002"/>
    <n v="7.9999999999998295E-2"/>
    <n v="0.122"/>
    <n v="1.0099999999999915E-2"/>
  </r>
  <r>
    <n v="9"/>
    <x v="12"/>
    <n v="0"/>
    <n v="0"/>
    <n v="0"/>
    <n v="0.112"/>
    <e v="#DIV/0!"/>
  </r>
  <r>
    <n v="11"/>
    <x v="12"/>
    <n v="0"/>
    <n v="0"/>
    <n v="0"/>
    <n v="0"/>
    <e v="#DIV/0!"/>
  </r>
  <r>
    <n v="12"/>
    <x v="12"/>
    <n v="20"/>
    <n v="19.98"/>
    <n v="1.9999999999999574E-2"/>
    <n v="0.02"/>
    <n v="1.9999999999999788E-3"/>
  </r>
  <r>
    <n v="13"/>
    <x v="12"/>
    <n v="0"/>
    <n v="0"/>
    <n v="0"/>
    <n v="4.2000000000000003E-2"/>
    <e v="#DIV/0!"/>
  </r>
  <r>
    <n v="14"/>
    <x v="12"/>
    <n v="20"/>
    <n v="19.920000000000002"/>
    <n v="7.9999999999998295E-2"/>
    <n v="3.1E-2"/>
    <n v="5.5499999999999144E-3"/>
  </r>
  <r>
    <n v="15"/>
    <x v="12"/>
    <n v="0"/>
    <n v="0"/>
    <n v="0"/>
    <n v="7.0000000000000007E-2"/>
    <e v="#DIV/0!"/>
  </r>
  <r>
    <n v="16"/>
    <x v="12"/>
    <n v="0"/>
    <n v="0"/>
    <n v="0"/>
    <n v="2.1999999999999999E-2"/>
    <e v="#DIV/0!"/>
  </r>
  <r>
    <n v="17"/>
    <x v="12"/>
    <n v="0"/>
    <n v="0"/>
    <n v="0"/>
    <n v="0.122"/>
    <e v="#DIV/0!"/>
  </r>
  <r>
    <n v="18"/>
    <x v="12"/>
    <n v="20"/>
    <n v="19.899999999999999"/>
    <n v="0.10000000000000142"/>
    <n v="0.122"/>
    <n v="1.1100000000000072E-2"/>
  </r>
  <r>
    <n v="19"/>
    <x v="12"/>
    <n v="40"/>
    <n v="39.82"/>
    <n v="0.17999999999999972"/>
    <n v="2.0999999999999908E-2"/>
    <n v="5.0249999999999904E-3"/>
  </r>
  <r>
    <n v="20"/>
    <x v="12"/>
    <n v="20"/>
    <n v="19.96"/>
    <n v="3.9999999999999147E-2"/>
    <n v="3.6999999999999034E-2"/>
    <n v="3.8499999999999091E-3"/>
  </r>
  <r>
    <n v="21"/>
    <x v="12"/>
    <n v="0"/>
    <n v="0"/>
    <n v="0"/>
    <n v="1.2E-2"/>
    <e v="#DIV/0!"/>
  </r>
  <r>
    <n v="22"/>
    <x v="12"/>
    <n v="0"/>
    <n v="0"/>
    <n v="0"/>
    <n v="2.1000000000000001E-2"/>
    <e v="#DIV/0!"/>
  </r>
  <r>
    <n v="23"/>
    <x v="12"/>
    <n v="0"/>
    <n v="0"/>
    <n v="0"/>
    <n v="1.0999999999999999E-2"/>
    <e v="#DIV/0!"/>
  </r>
  <r>
    <n v="24"/>
    <x v="12"/>
    <n v="0"/>
    <n v="0"/>
    <n v="0"/>
    <n v="0"/>
    <e v="#DIV/0!"/>
  </r>
  <r>
    <n v="25"/>
    <x v="12"/>
    <n v="0"/>
    <n v="0"/>
    <n v="0"/>
    <n v="4.1000000000000002E-2"/>
    <e v="#DIV/0!"/>
  </r>
  <r>
    <n v="26"/>
    <x v="12"/>
    <n v="0"/>
    <n v="0"/>
    <n v="0"/>
    <n v="0.112"/>
    <e v="#DIV/0!"/>
  </r>
  <r>
    <n v="27"/>
    <x v="12"/>
    <n v="20"/>
    <n v="19.920000000000002"/>
    <n v="7.9999999999998295E-2"/>
    <n v="9.7000000000000003E-2"/>
    <n v="8.8499999999999152E-3"/>
  </r>
  <r>
    <n v="28"/>
    <x v="12"/>
    <n v="0"/>
    <n v="0"/>
    <n v="0"/>
    <n v="3.1E-2"/>
    <e v="#DIV/0!"/>
  </r>
  <r>
    <n v="29"/>
    <x v="12"/>
    <n v="0"/>
    <n v="0"/>
    <n v="0"/>
    <n v="3.1E-2"/>
    <e v="#DIV/0!"/>
  </r>
  <r>
    <n v="30"/>
    <x v="12"/>
    <n v="0"/>
    <n v="0"/>
    <n v="0"/>
    <n v="3.3000000000000002E-2"/>
    <e v="#DIV/0!"/>
  </r>
  <r>
    <n v="31"/>
    <x v="12"/>
    <n v="0"/>
    <n v="0"/>
    <n v="0"/>
    <n v="3.3000000000000002E-2"/>
    <e v="#DIV/0!"/>
  </r>
  <r>
    <n v="1"/>
    <x v="13"/>
    <n v="40"/>
    <n v="39.799999999999997"/>
    <n v="0.20000000000000284"/>
    <n v="0.24"/>
    <n v="1.100000000000007E-2"/>
  </r>
  <r>
    <n v="2"/>
    <x v="13"/>
    <n v="20"/>
    <n v="19.84"/>
    <n v="0.16000000000000014"/>
    <n v="0.97199999999999998"/>
    <n v="5.6600000000000004E-2"/>
  </r>
  <r>
    <n v="3"/>
    <x v="13"/>
    <n v="20"/>
    <n v="19.78"/>
    <n v="0.21999999999999886"/>
    <n v="0.16"/>
    <n v="1.8999999999999944E-2"/>
  </r>
  <r>
    <n v="4"/>
    <x v="13"/>
    <n v="40"/>
    <n v="39.72"/>
    <n v="0.28000000000000114"/>
    <n v="0.28999999999999998"/>
    <n v="1.425000000000003E-2"/>
  </r>
  <r>
    <n v="5"/>
    <x v="13"/>
    <n v="40"/>
    <n v="39.630000000000003"/>
    <n v="0.36999999999999744"/>
    <n v="0.2"/>
    <n v="1.4249999999999935E-2"/>
  </r>
  <r>
    <n v="6"/>
    <x v="13"/>
    <n v="20"/>
    <n v="19.59"/>
    <n v="0.41000000000000014"/>
    <n v="0.28000000000000003"/>
    <n v="3.450000000000001E-2"/>
  </r>
  <r>
    <n v="7"/>
    <x v="13"/>
    <n v="40"/>
    <n v="39.93"/>
    <n v="7.0000000000000284E-2"/>
    <n v="0.19"/>
    <n v="6.5000000000000075E-3"/>
  </r>
  <r>
    <n v="10"/>
    <x v="13"/>
    <n v="60"/>
    <n v="59.31"/>
    <n v="0.68999999999999773"/>
    <n v="0"/>
    <n v="1.1499999999999962E-2"/>
  </r>
  <r>
    <n v="8"/>
    <x v="13"/>
    <n v="40"/>
    <n v="39.74"/>
    <n v="0.25999999999999801"/>
    <n v="0.97199999999999998"/>
    <n v="3.0799999999999949E-2"/>
  </r>
  <r>
    <n v="9"/>
    <x v="13"/>
    <n v="40"/>
    <n v="39.82"/>
    <n v="0.17999999999999972"/>
    <n v="0"/>
    <n v="4.4999999999999927E-3"/>
  </r>
  <r>
    <n v="11"/>
    <x v="13"/>
    <n v="40"/>
    <n v="39.479999999999997"/>
    <n v="0.52000000000000313"/>
    <n v="0.11"/>
    <n v="1.5750000000000076E-2"/>
  </r>
  <r>
    <n v="12"/>
    <x v="13"/>
    <n v="20"/>
    <n v="19.73"/>
    <n v="0.26999999999999957"/>
    <n v="0"/>
    <n v="1.3499999999999979E-2"/>
  </r>
  <r>
    <n v="13"/>
    <x v="13"/>
    <n v="40"/>
    <n v="39.49"/>
    <n v="0.50999999999999801"/>
    <n v="0.8230000000000004"/>
    <n v="3.3324999999999959E-2"/>
  </r>
  <r>
    <n v="14"/>
    <x v="13"/>
    <n v="40"/>
    <n v="39.51"/>
    <n v="0.49000000000000199"/>
    <n v="0"/>
    <n v="1.2250000000000049E-2"/>
  </r>
  <r>
    <n v="15"/>
    <x v="13"/>
    <n v="40"/>
    <n v="39.659999999999997"/>
    <n v="0.34000000000000341"/>
    <n v="2.25"/>
    <n v="6.4750000000000085E-2"/>
  </r>
  <r>
    <n v="16"/>
    <x v="13"/>
    <n v="40"/>
    <n v="39.799999999999997"/>
    <n v="0.20000000000000284"/>
    <n v="0"/>
    <n v="5.0000000000000712E-3"/>
  </r>
  <r>
    <n v="17"/>
    <x v="13"/>
    <n v="40"/>
    <n v="39.54"/>
    <n v="0.46000000000000085"/>
    <n v="0"/>
    <n v="1.1500000000000021E-2"/>
  </r>
  <r>
    <n v="18"/>
    <x v="13"/>
    <n v="20"/>
    <n v="19.64"/>
    <n v="0.35999999999999943"/>
    <n v="0"/>
    <n v="1.7999999999999971E-2"/>
  </r>
  <r>
    <n v="19"/>
    <x v="13"/>
    <n v="0"/>
    <n v="0"/>
    <n v="0"/>
    <n v="0.69199999999999995"/>
    <e v="#DIV/0!"/>
  </r>
  <r>
    <n v="20"/>
    <x v="13"/>
    <n v="0"/>
    <n v="0"/>
    <n v="0"/>
    <n v="0.25"/>
    <e v="#DIV/0!"/>
  </r>
  <r>
    <n v="21"/>
    <x v="13"/>
    <n v="0"/>
    <n v="0"/>
    <n v="0"/>
    <n v="0"/>
    <e v="#DIV/0!"/>
  </r>
  <r>
    <n v="22"/>
    <x v="13"/>
    <n v="0"/>
    <n v="0"/>
    <n v="0"/>
    <n v="0"/>
    <e v="#DIV/0!"/>
  </r>
  <r>
    <n v="23"/>
    <x v="13"/>
    <n v="0"/>
    <n v="0"/>
    <n v="0"/>
    <n v="0"/>
    <e v="#DIV/0!"/>
  </r>
  <r>
    <n v="24"/>
    <x v="13"/>
    <n v="0"/>
    <n v="0"/>
    <n v="0"/>
    <n v="0"/>
    <e v="#DIV/0!"/>
  </r>
  <r>
    <n v="25"/>
    <x v="13"/>
    <n v="0"/>
    <n v="0"/>
    <n v="0"/>
    <n v="0.18"/>
    <e v="#DIV/0!"/>
  </r>
  <r>
    <n v="26"/>
    <x v="13"/>
    <n v="0"/>
    <n v="0"/>
    <n v="0"/>
    <n v="0.158"/>
    <e v="#DIV/0!"/>
  </r>
  <r>
    <n v="27"/>
    <x v="13"/>
    <n v="0"/>
    <n v="0"/>
    <n v="0"/>
    <n v="0"/>
    <e v="#DIV/0!"/>
  </r>
  <r>
    <n v="28"/>
    <x v="13"/>
    <n v="0"/>
    <n v="0"/>
    <n v="0"/>
    <n v="0"/>
    <e v="#DIV/0!"/>
  </r>
  <r>
    <n v="29"/>
    <x v="13"/>
    <n v="0"/>
    <n v="0"/>
    <n v="0"/>
    <n v="-1.591"/>
    <e v="#DIV/0!"/>
  </r>
  <r>
    <n v="30"/>
    <x v="13"/>
    <n v="0"/>
    <n v="0"/>
    <n v="0"/>
    <n v="0"/>
    <e v="#DIV/0!"/>
  </r>
  <r>
    <n v="31"/>
    <x v="13"/>
    <n v="0"/>
    <n v="0"/>
    <n v="0"/>
    <n v="0.49399999999999999"/>
    <e v="#DIV/0!"/>
  </r>
  <r>
    <n v="1"/>
    <x v="14"/>
    <n v="0"/>
    <n v="0"/>
    <n v="0"/>
    <n v="0.14799999999999999"/>
    <e v="#DIV/0!"/>
  </r>
  <r>
    <n v="2"/>
    <x v="14"/>
    <n v="20"/>
    <n v="19.89"/>
    <n v="0.10999999999999943"/>
    <n v="0.12"/>
    <n v="1.1499999999999972E-2"/>
  </r>
  <r>
    <n v="3"/>
    <x v="14"/>
    <n v="40"/>
    <n v="39.78"/>
    <n v="0.21999999999999886"/>
    <n v="0.13600000000000001"/>
    <n v="8.8999999999999722E-3"/>
  </r>
  <r>
    <n v="4"/>
    <x v="14"/>
    <n v="20"/>
    <n v="19.87"/>
    <n v="0.12999999999999901"/>
    <n v="9.4E-2"/>
    <n v="1.119999999999995E-2"/>
  </r>
  <r>
    <n v="5"/>
    <x v="14"/>
    <n v="60"/>
    <n v="59.57"/>
    <n v="0.42999999999999972"/>
    <n v="0.125"/>
    <n v="9.2499999999999961E-3"/>
  </r>
  <r>
    <n v="6"/>
    <x v="14"/>
    <n v="20"/>
    <n v="19.8"/>
    <n v="0.19999999999999929"/>
    <n v="0.125"/>
    <n v="1.6249999999999966E-2"/>
  </r>
  <r>
    <n v="7"/>
    <x v="14"/>
    <n v="20"/>
    <n v="19.93"/>
    <n v="7.0000000000000284E-2"/>
    <n v="0.128"/>
    <n v="9.9000000000000147E-3"/>
  </r>
  <r>
    <n v="10"/>
    <x v="14"/>
    <n v="20"/>
    <n v="19.850000000000001"/>
    <n v="0.14999999999999858"/>
    <n v="0.112"/>
    <n v="1.3099999999999928E-2"/>
  </r>
  <r>
    <n v="8"/>
    <x v="14"/>
    <n v="20"/>
    <n v="19.899999999999999"/>
    <n v="0.10000000000000142"/>
    <n v="0.13"/>
    <n v="1.1500000000000071E-2"/>
  </r>
  <r>
    <n v="9"/>
    <x v="14"/>
    <n v="20"/>
    <n v="19.88"/>
    <n v="0.12000000000000099"/>
    <n v="0.14299999999999999"/>
    <n v="1.3150000000000051E-2"/>
  </r>
  <r>
    <n v="11"/>
    <x v="14"/>
    <n v="40"/>
    <n v="39.79"/>
    <n v="0.21000000000000085"/>
    <n v="0.14399999999999999"/>
    <n v="8.850000000000021E-3"/>
  </r>
  <r>
    <n v="12"/>
    <x v="14"/>
    <n v="20"/>
    <n v="19.88"/>
    <n v="0.12000000000000099"/>
    <n v="0.114"/>
    <n v="1.1700000000000049E-2"/>
  </r>
  <r>
    <n v="13"/>
    <x v="14"/>
    <n v="20"/>
    <n v="19.809999999999999"/>
    <n v="0.19000000000000128"/>
    <n v="0.128"/>
    <n v="1.5900000000000063E-2"/>
  </r>
  <r>
    <n v="14"/>
    <x v="14"/>
    <n v="175"/>
    <n v="173.68"/>
    <n v="1.3199999999999932"/>
    <n v="0.188"/>
    <n v="8.617142857142818E-3"/>
  </r>
  <r>
    <n v="15"/>
    <x v="14"/>
    <n v="50"/>
    <n v="49.86"/>
    <n v="0.14000000000000057"/>
    <n v="0.56999999999999995"/>
    <n v="1.4200000000000011E-2"/>
  </r>
  <r>
    <n v="16"/>
    <x v="14"/>
    <n v="25"/>
    <n v="24.77"/>
    <n v="0.23000000000000043"/>
    <n v="0.11"/>
    <n v="1.3600000000000017E-2"/>
  </r>
  <r>
    <n v="17"/>
    <x v="14"/>
    <n v="45"/>
    <n v="44.71"/>
    <n v="0.28999999999999915"/>
    <n v="0.154"/>
    <n v="9.8666666666666486E-3"/>
  </r>
  <r>
    <n v="18"/>
    <x v="14"/>
    <n v="50"/>
    <n v="49.68"/>
    <n v="0.32000000000000028"/>
    <n v="0.13600000000000001"/>
    <n v="9.1200000000000066E-3"/>
  </r>
  <r>
    <n v="19"/>
    <x v="14"/>
    <n v="150"/>
    <n v="148.97999999999999"/>
    <n v="1.0200000000000102"/>
    <n v="0.128"/>
    <n v="7.6533333333334026E-3"/>
  </r>
  <r>
    <n v="20"/>
    <x v="14"/>
    <n v="25"/>
    <n v="24.85"/>
    <n v="0.14999999999999858"/>
    <n v="0.14199999999999999"/>
    <n v="1.1679999999999944E-2"/>
  </r>
  <r>
    <n v="21"/>
    <x v="14"/>
    <n v="50"/>
    <n v="49.77"/>
    <n v="0.22999999999999687"/>
    <n v="0.12"/>
    <n v="6.9999999999999377E-3"/>
  </r>
  <r>
    <n v="22"/>
    <x v="14"/>
    <n v="20"/>
    <n v="19.920000000000002"/>
    <n v="7.9999999999998295E-2"/>
    <n v="0.14000000000000001"/>
    <n v="1.0999999999999916E-2"/>
  </r>
  <r>
    <n v="23"/>
    <x v="14"/>
    <n v="20"/>
    <n v="19.920000000000002"/>
    <n v="7.9999999999998295E-2"/>
    <n v="0.14000000000000001"/>
    <n v="1.0999999999999916E-2"/>
  </r>
  <r>
    <n v="24"/>
    <x v="14"/>
    <n v="25"/>
    <n v="24.93"/>
    <n v="7.0000000000000284E-2"/>
    <n v="0.11"/>
    <n v="7.2000000000000111E-3"/>
  </r>
  <r>
    <n v="25"/>
    <x v="14"/>
    <n v="25"/>
    <n v="24.9"/>
    <n v="0.10000000000000142"/>
    <n v="0.11600000000000001"/>
    <n v="8.6400000000000574E-3"/>
  </r>
  <r>
    <n v="26"/>
    <x v="14"/>
    <n v="50"/>
    <n v="49.74"/>
    <n v="0.25999999999999801"/>
    <n v="0.14199999999999999"/>
    <n v="8.0399999999999604E-3"/>
  </r>
  <r>
    <n v="27"/>
    <x v="14"/>
    <n v="20"/>
    <n v="19.920000000000002"/>
    <n v="7.9999999999998295E-2"/>
    <n v="0.126"/>
    <n v="1.0299999999999915E-2"/>
  </r>
  <r>
    <n v="28"/>
    <x v="14"/>
    <n v="20"/>
    <n v="19.93"/>
    <n v="7.0000000000000284E-2"/>
    <n v="0.128"/>
    <n v="9.9000000000000147E-3"/>
  </r>
  <r>
    <n v="29"/>
    <x v="14"/>
    <n v="40"/>
    <n v="39.81"/>
    <n v="0.18999999999999773"/>
    <n v="0.13400000000000001"/>
    <n v="8.0999999999999441E-3"/>
  </r>
  <r>
    <n v="30"/>
    <x v="14"/>
    <n v="25"/>
    <n v="24.82"/>
    <n v="0.17999999999999972"/>
    <n v="0.128"/>
    <n v="1.2319999999999989E-2"/>
  </r>
  <r>
    <n v="31"/>
    <x v="14"/>
    <n v="25"/>
    <n v="24.82"/>
    <n v="0.17999999999999972"/>
    <n v="0.13200000000000001"/>
    <n v="1.2479999999999989E-2"/>
  </r>
  <r>
    <n v="1"/>
    <x v="15"/>
    <n v="0"/>
    <n v="0"/>
    <n v="0"/>
    <n v="6.8000000000000005E-2"/>
    <e v="#DIV/0!"/>
  </r>
  <r>
    <n v="2"/>
    <x v="15"/>
    <n v="0"/>
    <n v="0"/>
    <n v="0"/>
    <n v="7.3999999999999996E-2"/>
    <e v="#DIV/0!"/>
  </r>
  <r>
    <n v="3"/>
    <x v="15"/>
    <n v="0"/>
    <n v="0"/>
    <n v="0"/>
    <n v="0.12"/>
    <e v="#DIV/0!"/>
  </r>
  <r>
    <n v="4"/>
    <x v="15"/>
    <n v="0"/>
    <n v="0"/>
    <n v="0"/>
    <n v="3.4000000000000002E-2"/>
    <e v="#DIV/0!"/>
  </r>
  <r>
    <n v="5"/>
    <x v="15"/>
    <n v="0"/>
    <n v="0"/>
    <n v="0"/>
    <n v="0.08"/>
    <e v="#DIV/0!"/>
  </r>
  <r>
    <n v="6"/>
    <x v="15"/>
    <n v="0"/>
    <n v="0"/>
    <n v="0"/>
    <n v="6.6000000000000003E-2"/>
    <e v="#DIV/0!"/>
  </r>
  <r>
    <n v="7"/>
    <x v="15"/>
    <n v="0"/>
    <n v="0"/>
    <n v="0"/>
    <n v="7.0000000000000007E-2"/>
    <e v="#DIV/0!"/>
  </r>
  <r>
    <n v="10"/>
    <x v="15"/>
    <n v="0"/>
    <n v="0"/>
    <n v="0"/>
    <n v="7.5999999999999998E-2"/>
    <e v="#DIV/0!"/>
  </r>
  <r>
    <n v="8"/>
    <x v="15"/>
    <n v="0"/>
    <n v="0"/>
    <n v="0"/>
    <n v="0.26200000000000001"/>
    <e v="#DIV/0!"/>
  </r>
  <r>
    <n v="9"/>
    <x v="15"/>
    <n v="0"/>
    <n v="0"/>
    <n v="0"/>
    <n v="7.0000000000000007E-2"/>
    <e v="#DIV/0!"/>
  </r>
  <r>
    <n v="11"/>
    <x v="15"/>
    <n v="0"/>
    <n v="0"/>
    <n v="0"/>
    <n v="7.3999999999999996E-2"/>
    <e v="#DIV/0!"/>
  </r>
  <r>
    <n v="12"/>
    <x v="15"/>
    <n v="0"/>
    <n v="0"/>
    <n v="0"/>
    <n v="7.5999999999999998E-2"/>
    <e v="#DIV/0!"/>
  </r>
  <r>
    <n v="13"/>
    <x v="15"/>
    <n v="0"/>
    <n v="0"/>
    <n v="0"/>
    <n v="0.08"/>
    <e v="#DIV/0!"/>
  </r>
  <r>
    <n v="14"/>
    <x v="15"/>
    <n v="0"/>
    <n v="0"/>
    <n v="0"/>
    <n v="3.4000000000000002E-2"/>
    <e v="#DIV/0!"/>
  </r>
  <r>
    <n v="15"/>
    <x v="15"/>
    <n v="0"/>
    <n v="0"/>
    <n v="0"/>
    <n v="7.0000000000000007E-2"/>
    <e v="#DIV/0!"/>
  </r>
  <r>
    <n v="16"/>
    <x v="15"/>
    <n v="0"/>
    <n v="0"/>
    <n v="0"/>
    <n v="8.7999999999999995E-2"/>
    <e v="#DIV/0!"/>
  </r>
  <r>
    <n v="17"/>
    <x v="15"/>
    <n v="0"/>
    <n v="0"/>
    <n v="0"/>
    <n v="7.0000000000000007E-2"/>
    <e v="#DIV/0!"/>
  </r>
  <r>
    <n v="18"/>
    <x v="15"/>
    <n v="0"/>
    <n v="0"/>
    <n v="0"/>
    <n v="0.15"/>
    <e v="#DIV/0!"/>
  </r>
  <r>
    <n v="19"/>
    <x v="15"/>
    <n v="0"/>
    <n v="0"/>
    <n v="0"/>
    <n v="3.4000000000000002E-2"/>
    <e v="#DIV/0!"/>
  </r>
  <r>
    <n v="20"/>
    <x v="15"/>
    <n v="0"/>
    <n v="0"/>
    <n v="0"/>
    <n v="7.8E-2"/>
    <e v="#DIV/0!"/>
  </r>
  <r>
    <n v="21"/>
    <x v="15"/>
    <n v="0"/>
    <n v="0"/>
    <n v="0"/>
    <n v="0.1"/>
    <e v="#DIV/0!"/>
  </r>
  <r>
    <n v="22"/>
    <x v="15"/>
    <n v="0"/>
    <n v="0"/>
    <n v="0"/>
    <n v="0.08"/>
    <e v="#DIV/0!"/>
  </r>
  <r>
    <n v="23"/>
    <x v="15"/>
    <n v="0"/>
    <n v="0"/>
    <n v="0"/>
    <n v="0.08"/>
    <e v="#DIV/0!"/>
  </r>
  <r>
    <n v="24"/>
    <x v="15"/>
    <n v="0"/>
    <n v="0"/>
    <n v="0"/>
    <n v="0.91200000000000003"/>
    <e v="#DIV/0!"/>
  </r>
  <r>
    <n v="25"/>
    <x v="15"/>
    <n v="0"/>
    <n v="0"/>
    <n v="0"/>
    <n v="8.4000000000000005E-2"/>
    <e v="#DIV/0!"/>
  </r>
  <r>
    <n v="26"/>
    <x v="15"/>
    <n v="0"/>
    <n v="0"/>
    <n v="0"/>
    <n v="8.4000000000000005E-2"/>
    <e v="#DIV/0!"/>
  </r>
  <r>
    <n v="27"/>
    <x v="15"/>
    <n v="0"/>
    <n v="0"/>
    <n v="0"/>
    <n v="0.09"/>
    <e v="#DIV/0!"/>
  </r>
  <r>
    <n v="28"/>
    <x v="15"/>
    <n v="0"/>
    <n v="0"/>
    <n v="0"/>
    <n v="7.3999999999999996E-2"/>
    <e v="#DIV/0!"/>
  </r>
  <r>
    <n v="29"/>
    <x v="15"/>
    <n v="0"/>
    <n v="0"/>
    <n v="0"/>
    <n v="0.24399999999999999"/>
    <e v="#DIV/0!"/>
  </r>
  <r>
    <n v="30"/>
    <x v="15"/>
    <n v="0"/>
    <n v="0"/>
    <n v="0"/>
    <n v="6.8000000000000005E-2"/>
    <e v="#DIV/0!"/>
  </r>
  <r>
    <n v="31"/>
    <x v="15"/>
    <n v="0"/>
    <n v="0"/>
    <n v="0"/>
    <n v="3.4000000000000002E-2"/>
    <e v="#DIV/0!"/>
  </r>
  <r>
    <n v="1"/>
    <x v="16"/>
    <n v="20"/>
    <n v="19.809999999999999"/>
    <n v="0.19000000000000128"/>
    <n v="0.20499999999999999"/>
    <n v="1.9750000000000063E-2"/>
  </r>
  <r>
    <n v="2"/>
    <x v="16"/>
    <n v="0"/>
    <n v="0"/>
    <n v="0"/>
    <n v="0"/>
    <e v="#DIV/0!"/>
  </r>
  <r>
    <n v="3"/>
    <x v="16"/>
    <n v="0"/>
    <n v="0"/>
    <n v="0"/>
    <n v="0"/>
    <e v="#DIV/0!"/>
  </r>
  <r>
    <n v="4"/>
    <x v="16"/>
    <n v="0"/>
    <n v="0"/>
    <n v="0"/>
    <n v="0.104"/>
    <e v="#DIV/0!"/>
  </r>
  <r>
    <n v="5"/>
    <x v="16"/>
    <n v="20"/>
    <n v="19.88"/>
    <n v="0.12000000000000099"/>
    <n v="0.27"/>
    <n v="1.9500000000000052E-2"/>
  </r>
  <r>
    <n v="6"/>
    <x v="16"/>
    <n v="0"/>
    <n v="0"/>
    <n v="0"/>
    <n v="0"/>
    <e v="#DIV/0!"/>
  </r>
  <r>
    <n v="7"/>
    <x v="16"/>
    <n v="0"/>
    <n v="0"/>
    <n v="0"/>
    <n v="0"/>
    <e v="#DIV/0!"/>
  </r>
  <r>
    <n v="10"/>
    <x v="16"/>
    <n v="20"/>
    <n v="19.95"/>
    <n v="5.0000000000000711E-2"/>
    <n v="0.255"/>
    <n v="1.5250000000000036E-2"/>
  </r>
  <r>
    <n v="8"/>
    <x v="16"/>
    <n v="0"/>
    <n v="0"/>
    <n v="0"/>
    <n v="0"/>
    <e v="#DIV/0!"/>
  </r>
  <r>
    <n v="9"/>
    <x v="16"/>
    <n v="0"/>
    <n v="0"/>
    <n v="0"/>
    <n v="0"/>
    <e v="#DIV/0!"/>
  </r>
  <r>
    <n v="11"/>
    <x v="16"/>
    <n v="0"/>
    <n v="0"/>
    <n v="0"/>
    <n v="0"/>
    <e v="#DIV/0!"/>
  </r>
  <r>
    <n v="12"/>
    <x v="16"/>
    <n v="0"/>
    <n v="0"/>
    <n v="0"/>
    <n v="0"/>
    <e v="#DIV/0!"/>
  </r>
  <r>
    <n v="13"/>
    <x v="16"/>
    <n v="20"/>
    <n v="19.93"/>
    <n v="7.0000000000000284E-2"/>
    <n v="0.32500000000000001"/>
    <n v="1.9750000000000014E-2"/>
  </r>
  <r>
    <n v="14"/>
    <x v="16"/>
    <n v="0"/>
    <n v="0"/>
    <n v="0"/>
    <n v="0"/>
    <e v="#DIV/0!"/>
  </r>
  <r>
    <n v="15"/>
    <x v="16"/>
    <n v="0"/>
    <n v="0"/>
    <n v="0"/>
    <n v="9.5000000000000001E-2"/>
    <e v="#DIV/0!"/>
  </r>
  <r>
    <n v="16"/>
    <x v="16"/>
    <n v="0"/>
    <n v="0"/>
    <n v="0"/>
    <n v="1.4999999999999999E-2"/>
    <e v="#DIV/0!"/>
  </r>
  <r>
    <n v="17"/>
    <x v="16"/>
    <n v="0"/>
    <n v="0"/>
    <n v="0"/>
    <n v="0.11"/>
    <e v="#DIV/0!"/>
  </r>
  <r>
    <n v="18"/>
    <x v="16"/>
    <n v="0"/>
    <n v="0"/>
    <n v="0"/>
    <n v="0"/>
    <e v="#DIV/0!"/>
  </r>
  <r>
    <n v="19"/>
    <x v="16"/>
    <n v="0"/>
    <n v="0"/>
    <n v="0"/>
    <n v="0.20399999999999999"/>
    <e v="#DIV/0!"/>
  </r>
  <r>
    <n v="20"/>
    <x v="16"/>
    <n v="20"/>
    <n v="19.82"/>
    <n v="0.17999999999999972"/>
    <n v="0.155"/>
    <n v="1.6749999999999987E-2"/>
  </r>
  <r>
    <n v="21"/>
    <x v="16"/>
    <n v="0"/>
    <n v="0"/>
    <n v="0"/>
    <n v="0"/>
    <e v="#DIV/0!"/>
  </r>
  <r>
    <n v="22"/>
    <x v="16"/>
    <n v="0"/>
    <n v="0"/>
    <n v="0"/>
    <n v="0"/>
    <e v="#DIV/0!"/>
  </r>
  <r>
    <n v="23"/>
    <x v="16"/>
    <n v="0"/>
    <n v="0"/>
    <n v="0"/>
    <n v="0"/>
    <e v="#DIV/0!"/>
  </r>
  <r>
    <n v="24"/>
    <x v="16"/>
    <n v="0"/>
    <n v="0"/>
    <n v="0"/>
    <n v="0"/>
    <e v="#DIV/0!"/>
  </r>
  <r>
    <n v="25"/>
    <x v="16"/>
    <n v="20"/>
    <n v="19.829999999999998"/>
    <n v="0.17000000000000171"/>
    <n v="0.25600000000000001"/>
    <n v="2.1300000000000086E-2"/>
  </r>
  <r>
    <n v="26"/>
    <x v="16"/>
    <n v="0"/>
    <n v="0"/>
    <n v="0"/>
    <n v="5.2999999999999999E-2"/>
    <e v="#DIV/0!"/>
  </r>
  <r>
    <n v="27"/>
    <x v="16"/>
    <n v="0"/>
    <n v="0"/>
    <n v="0"/>
    <n v="0"/>
    <e v="#DIV/0!"/>
  </r>
  <r>
    <n v="28"/>
    <x v="16"/>
    <n v="20"/>
    <n v="19.86"/>
    <n v="0.14000000000000057"/>
    <n v="0.30599999999999999"/>
    <n v="2.2300000000000028E-2"/>
  </r>
  <r>
    <n v="29"/>
    <x v="16"/>
    <n v="0"/>
    <n v="0"/>
    <n v="0"/>
    <n v="0"/>
    <e v="#DIV/0!"/>
  </r>
  <r>
    <n v="30"/>
    <x v="16"/>
    <n v="3"/>
    <n v="2.96"/>
    <n v="4.0000000000000036E-2"/>
    <n v="0"/>
    <n v="1.3333333333333345E-2"/>
  </r>
  <r>
    <n v="31"/>
    <x v="16"/>
    <n v="0"/>
    <n v="0"/>
    <n v="0"/>
    <n v="0"/>
    <e v="#DIV/0!"/>
  </r>
  <r>
    <n v="1"/>
    <x v="17"/>
    <n v="0"/>
    <n v="0"/>
    <n v="0"/>
    <n v="8.6999999999999994E-2"/>
    <e v="#DIV/0!"/>
  </r>
  <r>
    <n v="2"/>
    <x v="17"/>
    <n v="0"/>
    <n v="0"/>
    <n v="0"/>
    <n v="3.5000000000000003E-2"/>
    <e v="#DIV/0!"/>
  </r>
  <r>
    <n v="3"/>
    <x v="17"/>
    <n v="0"/>
    <n v="0"/>
    <n v="0"/>
    <n v="9.1999999999999998E-2"/>
    <e v="#DIV/0!"/>
  </r>
  <r>
    <n v="4"/>
    <x v="17"/>
    <n v="0"/>
    <n v="0"/>
    <n v="0"/>
    <n v="0"/>
    <e v="#DIV/0!"/>
  </r>
  <r>
    <n v="5"/>
    <x v="17"/>
    <n v="0"/>
    <n v="0"/>
    <n v="0"/>
    <n v="4.3299999999998562E-2"/>
    <e v="#DIV/0!"/>
  </r>
  <r>
    <n v="6"/>
    <x v="17"/>
    <n v="0"/>
    <n v="0"/>
    <n v="0"/>
    <n v="0.08"/>
    <e v="#DIV/0!"/>
  </r>
  <r>
    <n v="7"/>
    <x v="17"/>
    <n v="0"/>
    <n v="0"/>
    <n v="0"/>
    <n v="7.8E-2"/>
    <e v="#DIV/0!"/>
  </r>
  <r>
    <n v="10"/>
    <x v="17"/>
    <n v="0"/>
    <n v="0"/>
    <n v="0"/>
    <n v="8.73999999999997E-2"/>
    <e v="#DIV/0!"/>
  </r>
  <r>
    <n v="8"/>
    <x v="17"/>
    <n v="0"/>
    <n v="0"/>
    <n v="0"/>
    <n v="0"/>
    <e v="#DIV/0!"/>
  </r>
  <r>
    <n v="9"/>
    <x v="17"/>
    <n v="0"/>
    <n v="0"/>
    <n v="0"/>
    <n v="9.1599999999999682E-2"/>
    <e v="#DIV/0!"/>
  </r>
  <r>
    <n v="11"/>
    <x v="17"/>
    <n v="0"/>
    <n v="0"/>
    <n v="0"/>
    <n v="9.0999999999999998E-2"/>
    <e v="#DIV/0!"/>
  </r>
  <r>
    <n v="12"/>
    <x v="17"/>
    <n v="0"/>
    <n v="0"/>
    <n v="0"/>
    <n v="0.105"/>
    <e v="#DIV/0!"/>
  </r>
  <r>
    <n v="13"/>
    <x v="17"/>
    <n v="0"/>
    <n v="0"/>
    <n v="0"/>
    <n v="0.109"/>
    <e v="#DIV/0!"/>
  </r>
  <r>
    <n v="14"/>
    <x v="17"/>
    <n v="0"/>
    <n v="0"/>
    <n v="0"/>
    <n v="0.105"/>
    <e v="#DIV/0!"/>
  </r>
  <r>
    <n v="15"/>
    <x v="17"/>
    <n v="0"/>
    <n v="0"/>
    <n v="0"/>
    <n v="7.5999999999999998E-2"/>
    <e v="#DIV/0!"/>
  </r>
  <r>
    <n v="16"/>
    <x v="17"/>
    <n v="0"/>
    <n v="0"/>
    <n v="0"/>
    <n v="7.1999999999999995E-2"/>
    <e v="#DIV/0!"/>
  </r>
  <r>
    <n v="17"/>
    <x v="17"/>
    <n v="0"/>
    <n v="0"/>
    <n v="0"/>
    <n v="0"/>
    <e v="#DIV/0!"/>
  </r>
  <r>
    <n v="18"/>
    <x v="17"/>
    <n v="0"/>
    <n v="0"/>
    <n v="0"/>
    <n v="9.8000000000000004E-2"/>
    <e v="#DIV/0!"/>
  </r>
  <r>
    <n v="19"/>
    <x v="17"/>
    <n v="0"/>
    <n v="0"/>
    <n v="0"/>
    <n v="7.3999999999999996E-2"/>
    <e v="#DIV/0!"/>
  </r>
  <r>
    <n v="20"/>
    <x v="17"/>
    <n v="0"/>
    <n v="0"/>
    <n v="0"/>
    <n v="4.8000000000000001E-2"/>
    <e v="#DIV/0!"/>
  </r>
  <r>
    <n v="21"/>
    <x v="17"/>
    <n v="0"/>
    <n v="0"/>
    <n v="0"/>
    <n v="5.1999999999999998E-2"/>
    <e v="#DIV/0!"/>
  </r>
  <r>
    <n v="22"/>
    <x v="17"/>
    <n v="0"/>
    <n v="0"/>
    <n v="0"/>
    <n v="2.5000000000000001E-2"/>
    <e v="#DIV/0!"/>
  </r>
  <r>
    <n v="23"/>
    <x v="17"/>
    <n v="0"/>
    <n v="0"/>
    <n v="0"/>
    <n v="0.04"/>
    <e v="#DIV/0!"/>
  </r>
  <r>
    <n v="24"/>
    <x v="17"/>
    <n v="0"/>
    <n v="0"/>
    <n v="0"/>
    <n v="4.5999999999999999E-2"/>
    <e v="#DIV/0!"/>
  </r>
  <r>
    <n v="25"/>
    <x v="17"/>
    <n v="0"/>
    <n v="0"/>
    <n v="0"/>
    <n v="0.13400000000000001"/>
    <e v="#DIV/0!"/>
  </r>
  <r>
    <n v="26"/>
    <x v="17"/>
    <n v="0"/>
    <n v="0"/>
    <n v="0"/>
    <n v="0.14000000000000001"/>
    <e v="#DIV/0!"/>
  </r>
  <r>
    <n v="27"/>
    <x v="17"/>
    <n v="0"/>
    <n v="0"/>
    <n v="0"/>
    <n v="7.2999999999999995E-2"/>
    <e v="#DIV/0!"/>
  </r>
  <r>
    <n v="28"/>
    <x v="17"/>
    <n v="0"/>
    <n v="0"/>
    <n v="0"/>
    <n v="8.2000000000000003E-2"/>
    <e v="#DIV/0!"/>
  </r>
  <r>
    <n v="29"/>
    <x v="17"/>
    <n v="0"/>
    <n v="0"/>
    <n v="0"/>
    <n v="0.107"/>
    <e v="#DIV/0!"/>
  </r>
  <r>
    <n v="30"/>
    <x v="17"/>
    <n v="0"/>
    <n v="0"/>
    <n v="0"/>
    <n v="6.8000000000000005E-2"/>
    <e v="#DIV/0!"/>
  </r>
  <r>
    <n v="31"/>
    <x v="17"/>
    <n v="20"/>
    <n v="19.98"/>
    <n v="1.9999999999999574E-2"/>
    <n v="0.124"/>
    <n v="7.199999999999979E-3"/>
  </r>
  <r>
    <n v="1"/>
    <x v="18"/>
    <n v="20"/>
    <n v="19.670000000000002"/>
    <n v="0.32999999999999829"/>
    <n v="6.2E-2"/>
    <n v="1.9599999999999916E-2"/>
  </r>
  <r>
    <n v="2"/>
    <x v="18"/>
    <n v="0"/>
    <n v="0"/>
    <n v="0"/>
    <n v="0"/>
    <e v="#DIV/0!"/>
  </r>
  <r>
    <n v="3"/>
    <x v="18"/>
    <n v="0"/>
    <n v="0"/>
    <n v="0"/>
    <n v="0"/>
    <e v="#DIV/0!"/>
  </r>
  <r>
    <n v="4"/>
    <x v="18"/>
    <n v="0"/>
    <n v="0"/>
    <n v="0"/>
    <n v="0.12"/>
    <e v="#DIV/0!"/>
  </r>
  <r>
    <n v="5"/>
    <x v="18"/>
    <n v="0"/>
    <n v="0"/>
    <n v="0"/>
    <n v="0"/>
    <e v="#DIV/0!"/>
  </r>
  <r>
    <n v="6"/>
    <x v="18"/>
    <n v="0"/>
    <n v="0"/>
    <n v="0"/>
    <n v="0"/>
    <e v="#DIV/0!"/>
  </r>
  <r>
    <n v="7"/>
    <x v="18"/>
    <n v="0"/>
    <n v="0"/>
    <n v="0"/>
    <n v="0"/>
    <e v="#DIV/0!"/>
  </r>
  <r>
    <n v="10"/>
    <x v="18"/>
    <n v="0"/>
    <n v="0"/>
    <n v="0"/>
    <n v="0"/>
    <e v="#DIV/0!"/>
  </r>
  <r>
    <n v="8"/>
    <x v="18"/>
    <n v="0"/>
    <n v="0"/>
    <n v="0"/>
    <n v="0"/>
    <e v="#DIV/0!"/>
  </r>
  <r>
    <n v="9"/>
    <x v="18"/>
    <n v="0"/>
    <n v="0"/>
    <n v="0"/>
    <n v="0"/>
    <e v="#DIV/0!"/>
  </r>
  <r>
    <n v="11"/>
    <x v="18"/>
    <n v="0"/>
    <n v="0"/>
    <n v="0"/>
    <n v="0"/>
    <e v="#DIV/0!"/>
  </r>
  <r>
    <n v="12"/>
    <x v="18"/>
    <n v="0"/>
    <n v="0"/>
    <n v="0"/>
    <n v="0"/>
    <e v="#DIV/0!"/>
  </r>
  <r>
    <n v="13"/>
    <x v="18"/>
    <n v="0"/>
    <n v="0"/>
    <n v="0"/>
    <n v="0"/>
    <e v="#DIV/0!"/>
  </r>
  <r>
    <n v="14"/>
    <x v="18"/>
    <n v="0"/>
    <n v="0"/>
    <n v="0"/>
    <n v="0"/>
    <e v="#DIV/0!"/>
  </r>
  <r>
    <n v="15"/>
    <x v="18"/>
    <n v="0"/>
    <n v="0"/>
    <n v="0"/>
    <n v="0"/>
    <e v="#DIV/0!"/>
  </r>
  <r>
    <n v="16"/>
    <x v="18"/>
    <n v="0"/>
    <n v="0"/>
    <n v="0"/>
    <n v="0"/>
    <e v="#DIV/0!"/>
  </r>
  <r>
    <n v="17"/>
    <x v="18"/>
    <n v="0"/>
    <n v="0"/>
    <n v="0"/>
    <n v="0"/>
    <e v="#DIV/0!"/>
  </r>
  <r>
    <n v="18"/>
    <x v="18"/>
    <n v="0"/>
    <n v="0"/>
    <n v="0"/>
    <n v="0.11"/>
    <e v="#DIV/0!"/>
  </r>
  <r>
    <n v="19"/>
    <x v="18"/>
    <n v="0"/>
    <n v="0"/>
    <n v="0"/>
    <n v="0"/>
    <e v="#DIV/0!"/>
  </r>
  <r>
    <n v="20"/>
    <x v="18"/>
    <n v="0"/>
    <n v="0"/>
    <n v="0"/>
    <n v="0"/>
    <e v="#DIV/0!"/>
  </r>
  <r>
    <n v="21"/>
    <x v="18"/>
    <n v="0"/>
    <n v="0"/>
    <n v="0"/>
    <n v="0"/>
    <e v="#DIV/0!"/>
  </r>
  <r>
    <n v="22"/>
    <x v="18"/>
    <n v="0"/>
    <n v="0"/>
    <n v="0"/>
    <n v="0"/>
    <e v="#DIV/0!"/>
  </r>
  <r>
    <n v="23"/>
    <x v="18"/>
    <n v="0"/>
    <n v="0"/>
    <n v="0"/>
    <n v="0"/>
    <e v="#DIV/0!"/>
  </r>
  <r>
    <n v="24"/>
    <x v="18"/>
    <n v="0"/>
    <n v="0"/>
    <n v="0"/>
    <n v="0"/>
    <e v="#DIV/0!"/>
  </r>
  <r>
    <n v="25"/>
    <x v="18"/>
    <n v="0"/>
    <n v="0"/>
    <n v="0"/>
    <n v="0"/>
    <e v="#DIV/0!"/>
  </r>
  <r>
    <n v="26"/>
    <x v="18"/>
    <n v="0"/>
    <n v="0"/>
    <n v="0"/>
    <n v="7.5999999999999998E-2"/>
    <e v="#DIV/0!"/>
  </r>
  <r>
    <n v="27"/>
    <x v="18"/>
    <n v="0"/>
    <n v="0"/>
    <n v="0"/>
    <n v="0"/>
    <e v="#DIV/0!"/>
  </r>
  <r>
    <n v="28"/>
    <x v="18"/>
    <n v="0"/>
    <n v="0"/>
    <n v="0"/>
    <n v="0"/>
    <e v="#DIV/0!"/>
  </r>
  <r>
    <n v="29"/>
    <x v="18"/>
    <n v="0"/>
    <n v="0"/>
    <n v="0"/>
    <n v="0"/>
    <e v="#DIV/0!"/>
  </r>
  <r>
    <n v="30"/>
    <x v="18"/>
    <n v="0"/>
    <n v="0"/>
    <n v="0"/>
    <n v="0.03"/>
    <e v="#DIV/0!"/>
  </r>
  <r>
    <n v="31"/>
    <x v="18"/>
    <n v="0"/>
    <n v="0"/>
    <n v="0"/>
    <n v="0"/>
    <e v="#DIV/0!"/>
  </r>
  <r>
    <n v="1"/>
    <x v="19"/>
    <n v="0"/>
    <n v="0"/>
    <n v="0"/>
    <n v="0.11199999999999832"/>
    <e v="#DIV/0!"/>
  </r>
  <r>
    <n v="2"/>
    <x v="19"/>
    <n v="0"/>
    <n v="0"/>
    <n v="0"/>
    <n v="0.12"/>
    <e v="#DIV/0!"/>
  </r>
  <r>
    <n v="3"/>
    <x v="19"/>
    <n v="0"/>
    <n v="0"/>
    <n v="0"/>
    <n v="0.16"/>
    <e v="#DIV/0!"/>
  </r>
  <r>
    <n v="4"/>
    <x v="19"/>
    <n v="0"/>
    <n v="0"/>
    <n v="0"/>
    <n v="0.17499999999999999"/>
    <e v="#DIV/0!"/>
  </r>
  <r>
    <n v="5"/>
    <x v="19"/>
    <n v="0"/>
    <n v="0"/>
    <n v="0"/>
    <n v="0.09"/>
    <e v="#DIV/0!"/>
  </r>
  <r>
    <n v="6"/>
    <x v="19"/>
    <n v="0"/>
    <n v="0"/>
    <n v="0"/>
    <n v="6.5000000000000002E-2"/>
    <e v="#DIV/0!"/>
  </r>
  <r>
    <n v="7"/>
    <x v="19"/>
    <n v="0"/>
    <n v="0"/>
    <n v="0"/>
    <n v="0.1"/>
    <e v="#DIV/0!"/>
  </r>
  <r>
    <n v="10"/>
    <x v="19"/>
    <n v="20"/>
    <n v="19.97"/>
    <n v="3.0000000000001137E-2"/>
    <n v="7.0000000000000007E-2"/>
    <n v="5.0000000000000573E-3"/>
  </r>
  <r>
    <n v="8"/>
    <x v="19"/>
    <n v="0"/>
    <n v="0"/>
    <n v="0"/>
    <n v="8.5000000000000006E-2"/>
    <e v="#DIV/0!"/>
  </r>
  <r>
    <n v="9"/>
    <x v="19"/>
    <n v="0"/>
    <n v="0"/>
    <n v="0"/>
    <n v="9.5000000000000001E-2"/>
    <e v="#DIV/0!"/>
  </r>
  <r>
    <n v="11"/>
    <x v="19"/>
    <n v="0"/>
    <n v="0"/>
    <n v="0"/>
    <n v="0.11700000000000001"/>
    <e v="#DIV/0!"/>
  </r>
  <r>
    <n v="12"/>
    <x v="19"/>
    <n v="0"/>
    <n v="0"/>
    <n v="0"/>
    <n v="0.13900000000000001"/>
    <e v="#DIV/0!"/>
  </r>
  <r>
    <n v="13"/>
    <x v="19"/>
    <n v="0"/>
    <n v="0"/>
    <n v="0"/>
    <n v="6.4000000000000001E-2"/>
    <e v="#DIV/0!"/>
  </r>
  <r>
    <n v="14"/>
    <x v="19"/>
    <n v="0"/>
    <n v="0"/>
    <n v="0"/>
    <n v="8.5000000000000006E-2"/>
    <e v="#DIV/0!"/>
  </r>
  <r>
    <n v="15"/>
    <x v="19"/>
    <n v="0"/>
    <n v="0"/>
    <n v="0"/>
    <n v="5.5E-2"/>
    <e v="#DIV/0!"/>
  </r>
  <r>
    <n v="16"/>
    <x v="19"/>
    <n v="0"/>
    <n v="0"/>
    <n v="0"/>
    <n v="6.3E-2"/>
    <e v="#DIV/0!"/>
  </r>
  <r>
    <n v="17"/>
    <x v="19"/>
    <n v="0"/>
    <n v="0"/>
    <n v="0"/>
    <n v="0.12"/>
    <e v="#DIV/0!"/>
  </r>
  <r>
    <n v="18"/>
    <x v="19"/>
    <n v="0"/>
    <n v="0"/>
    <n v="0"/>
    <n v="0"/>
    <e v="#DIV/0!"/>
  </r>
  <r>
    <n v="19"/>
    <x v="19"/>
    <n v="0"/>
    <n v="0"/>
    <n v="0"/>
    <n v="1.9E-2"/>
    <e v="#DIV/0!"/>
  </r>
  <r>
    <n v="20"/>
    <x v="19"/>
    <n v="0"/>
    <n v="0"/>
    <n v="0"/>
    <n v="7.2999999999999995E-2"/>
    <e v="#DIV/0!"/>
  </r>
  <r>
    <n v="21"/>
    <x v="19"/>
    <n v="0"/>
    <n v="0"/>
    <n v="0"/>
    <n v="4.3999999999999997E-2"/>
    <e v="#DIV/0!"/>
  </r>
  <r>
    <n v="22"/>
    <x v="19"/>
    <n v="0"/>
    <n v="0"/>
    <n v="0"/>
    <n v="0.14699999999999999"/>
    <e v="#DIV/0!"/>
  </r>
  <r>
    <n v="23"/>
    <x v="19"/>
    <n v="0"/>
    <n v="0"/>
    <n v="0"/>
    <n v="7.6999999999999999E-2"/>
    <e v="#DIV/0!"/>
  </r>
  <r>
    <n v="24"/>
    <x v="19"/>
    <n v="0"/>
    <n v="0"/>
    <n v="0"/>
    <n v="3.3000000000000002E-2"/>
    <e v="#DIV/0!"/>
  </r>
  <r>
    <n v="25"/>
    <x v="19"/>
    <n v="20"/>
    <n v="19.87"/>
    <n v="0.12999999999999901"/>
    <n v="6.5000000000000002E-2"/>
    <n v="9.7499999999999497E-3"/>
  </r>
  <r>
    <n v="26"/>
    <x v="19"/>
    <n v="0"/>
    <n v="0"/>
    <n v="0"/>
    <n v="0"/>
    <e v="#DIV/0!"/>
  </r>
  <r>
    <n v="27"/>
    <x v="19"/>
    <n v="0"/>
    <n v="0"/>
    <n v="0"/>
    <n v="3.9E-2"/>
    <e v="#DIV/0!"/>
  </r>
  <r>
    <n v="28"/>
    <x v="19"/>
    <n v="7.75"/>
    <n v="7.37"/>
    <n v="0.37999999999999989"/>
    <n v="2.5000000000000001E-2"/>
    <n v="5.2258064516129021E-2"/>
  </r>
  <r>
    <n v="29"/>
    <x v="19"/>
    <n v="0"/>
    <n v="0"/>
    <n v="0"/>
    <n v="6.3E-2"/>
    <e v="#DIV/0!"/>
  </r>
  <r>
    <n v="30"/>
    <x v="19"/>
    <n v="0"/>
    <n v="0"/>
    <n v="0"/>
    <n v="0"/>
    <e v="#DIV/0!"/>
  </r>
  <r>
    <n v="31"/>
    <x v="19"/>
    <n v="0"/>
    <n v="0"/>
    <n v="0"/>
    <n v="2.5000000000000001E-2"/>
    <e v="#DIV/0!"/>
  </r>
  <r>
    <n v="1"/>
    <x v="20"/>
    <n v="0"/>
    <n v="0"/>
    <n v="0"/>
    <n v="0.111"/>
    <e v="#DIV/0!"/>
  </r>
  <r>
    <n v="2"/>
    <x v="20"/>
    <n v="0"/>
    <n v="0"/>
    <n v="0"/>
    <n v="6.7000000000000004E-2"/>
    <e v="#DIV/0!"/>
  </r>
  <r>
    <n v="3"/>
    <x v="20"/>
    <n v="0"/>
    <n v="0"/>
    <n v="0"/>
    <n v="7.3999999999999996E-2"/>
    <e v="#DIV/0!"/>
  </r>
  <r>
    <n v="4"/>
    <x v="20"/>
    <n v="0"/>
    <n v="0"/>
    <n v="0"/>
    <n v="6.4000000000000001E-2"/>
    <e v="#DIV/0!"/>
  </r>
  <r>
    <n v="5"/>
    <x v="20"/>
    <n v="0"/>
    <n v="0"/>
    <n v="0"/>
    <n v="0.22199999999999986"/>
    <e v="#DIV/0!"/>
  </r>
  <r>
    <n v="6"/>
    <x v="20"/>
    <n v="0"/>
    <n v="0"/>
    <n v="0"/>
    <n v="4.8000000000000001E-2"/>
    <e v="#DIV/0!"/>
  </r>
  <r>
    <n v="7"/>
    <x v="20"/>
    <n v="0"/>
    <n v="0"/>
    <n v="0"/>
    <n v="1.4999999999999999E-2"/>
    <e v="#DIV/0!"/>
  </r>
  <r>
    <n v="10"/>
    <x v="20"/>
    <n v="0"/>
    <n v="0"/>
    <n v="0"/>
    <n v="8.2000000000000003E-2"/>
    <e v="#DIV/0!"/>
  </r>
  <r>
    <n v="8"/>
    <x v="20"/>
    <n v="0"/>
    <n v="0"/>
    <n v="0"/>
    <n v="-0.245"/>
    <e v="#DIV/0!"/>
  </r>
  <r>
    <n v="9"/>
    <x v="20"/>
    <n v="0"/>
    <n v="0"/>
    <n v="0"/>
    <n v="5.5E-2"/>
    <e v="#DIV/0!"/>
  </r>
  <r>
    <n v="11"/>
    <x v="20"/>
    <n v="20"/>
    <n v="19.809999999999999"/>
    <n v="0.19000000000000128"/>
    <n v="6.5000000000000002E-2"/>
    <n v="1.2750000000000063E-2"/>
  </r>
  <r>
    <n v="12"/>
    <x v="20"/>
    <n v="0"/>
    <n v="0"/>
    <n v="0"/>
    <n v="0.11"/>
    <e v="#DIV/0!"/>
  </r>
  <r>
    <n v="13"/>
    <x v="20"/>
    <n v="0"/>
    <n v="0"/>
    <n v="0"/>
    <n v="6.5000000000000002E-2"/>
    <e v="#DIV/0!"/>
  </r>
  <r>
    <n v="14"/>
    <x v="20"/>
    <n v="0"/>
    <n v="0"/>
    <n v="0"/>
    <n v="0.09"/>
    <e v="#DIV/0!"/>
  </r>
  <r>
    <n v="15"/>
    <x v="20"/>
    <n v="0"/>
    <n v="0"/>
    <n v="0"/>
    <n v="0.105"/>
    <e v="#DIV/0!"/>
  </r>
  <r>
    <n v="16"/>
    <x v="20"/>
    <n v="0"/>
    <n v="0"/>
    <n v="0"/>
    <n v="9.5000000000000001E-2"/>
    <e v="#DIV/0!"/>
  </r>
  <r>
    <n v="17"/>
    <x v="20"/>
    <n v="0"/>
    <n v="0"/>
    <n v="0"/>
    <n v="0.09"/>
    <e v="#DIV/0!"/>
  </r>
  <r>
    <n v="18"/>
    <x v="20"/>
    <n v="0"/>
    <n v="0"/>
    <n v="0"/>
    <n v="4.4999999999999998E-2"/>
    <e v="#DIV/0!"/>
  </r>
  <r>
    <n v="19"/>
    <x v="20"/>
    <n v="0"/>
    <n v="0"/>
    <n v="0"/>
    <n v="7.4999999999999997E-2"/>
    <e v="#DIV/0!"/>
  </r>
  <r>
    <n v="20"/>
    <x v="20"/>
    <n v="0"/>
    <n v="0"/>
    <n v="0"/>
    <n v="7.0000000000000007E-2"/>
    <e v="#DIV/0!"/>
  </r>
  <r>
    <n v="21"/>
    <x v="20"/>
    <n v="0"/>
    <n v="0"/>
    <n v="0"/>
    <n v="0.09"/>
    <e v="#DIV/0!"/>
  </r>
  <r>
    <n v="22"/>
    <x v="20"/>
    <n v="0"/>
    <n v="0"/>
    <n v="0"/>
    <n v="0.11999999999999966"/>
    <n v="7.9999999999999776E-3"/>
  </r>
  <r>
    <n v="23"/>
    <x v="20"/>
    <n v="0"/>
    <n v="0"/>
    <n v="0"/>
    <n v="0.105"/>
    <e v="#DIV/0!"/>
  </r>
  <r>
    <n v="24"/>
    <x v="20"/>
    <n v="35"/>
    <n v="34.270000000000003"/>
    <n v="0.72999999999999687"/>
    <n v="5.7000000000000002E-2"/>
    <n v="2.2485714285714199E-2"/>
  </r>
  <r>
    <n v="25"/>
    <x v="20"/>
    <n v="0"/>
    <n v="0"/>
    <n v="0"/>
    <n v="1.633"/>
    <e v="#DIV/0!"/>
  </r>
  <r>
    <n v="26"/>
    <x v="20"/>
    <n v="0"/>
    <n v="0"/>
    <n v="0"/>
    <n v="7.0000000000000007E-2"/>
    <e v="#DIV/0!"/>
  </r>
  <r>
    <n v="27"/>
    <x v="20"/>
    <n v="0"/>
    <n v="0"/>
    <n v="0"/>
    <n v="7.4999999999999997E-2"/>
    <e v="#DIV/0!"/>
  </r>
  <r>
    <n v="28"/>
    <x v="20"/>
    <n v="0"/>
    <n v="0"/>
    <n v="0"/>
    <n v="0.09"/>
    <e v="#DIV/0!"/>
  </r>
  <r>
    <n v="29"/>
    <x v="20"/>
    <n v="0"/>
    <n v="0"/>
    <n v="0"/>
    <n v="0.05"/>
    <e v="#DIV/0!"/>
  </r>
  <r>
    <n v="30"/>
    <x v="20"/>
    <n v="0"/>
    <n v="0"/>
    <n v="0"/>
    <n v="7.0000000000000007E-2"/>
    <e v="#DIV/0!"/>
  </r>
  <r>
    <n v="31"/>
    <x v="20"/>
    <n v="20"/>
    <n v="19.600000000000001"/>
    <n v="0.39999999999999858"/>
    <n v="0.11"/>
    <n v="2.5499999999999929E-2"/>
  </r>
  <r>
    <n v="1"/>
    <x v="21"/>
    <n v="0"/>
    <n v="0"/>
    <n v="0"/>
    <n v="0.11"/>
    <e v="#DIV/0!"/>
  </r>
  <r>
    <n v="2"/>
    <x v="21"/>
    <n v="0"/>
    <n v="0"/>
    <n v="0"/>
    <n v="0.12"/>
    <e v="#DIV/0!"/>
  </r>
  <r>
    <n v="3"/>
    <x v="21"/>
    <n v="20"/>
    <n v="19.89"/>
    <n v="0.10999999999999943"/>
    <n v="0.125"/>
    <n v="1.1749999999999972E-2"/>
  </r>
  <r>
    <n v="4"/>
    <x v="21"/>
    <n v="0"/>
    <n v="0"/>
    <n v="0"/>
    <n v="0.12"/>
    <e v="#DIV/0!"/>
  </r>
  <r>
    <n v="5"/>
    <x v="21"/>
    <n v="0"/>
    <n v="0"/>
    <n v="0"/>
    <n v="0.11"/>
    <e v="#DIV/0!"/>
  </r>
  <r>
    <n v="6"/>
    <x v="21"/>
    <n v="20"/>
    <n v="19.899999999999999"/>
    <n v="0.10000000000000142"/>
    <n v="0.12"/>
    <n v="1.100000000000007E-2"/>
  </r>
  <r>
    <n v="7"/>
    <x v="21"/>
    <n v="0"/>
    <n v="0"/>
    <n v="0"/>
    <n v="0.11"/>
    <e v="#DIV/0!"/>
  </r>
  <r>
    <n v="10"/>
    <x v="21"/>
    <n v="0"/>
    <n v="0"/>
    <n v="0"/>
    <n v="0.12"/>
    <e v="#DIV/0!"/>
  </r>
  <r>
    <n v="8"/>
    <x v="21"/>
    <n v="0"/>
    <n v="0"/>
    <n v="0"/>
    <n v="0.1"/>
    <e v="#DIV/0!"/>
  </r>
  <r>
    <n v="9"/>
    <x v="21"/>
    <n v="0"/>
    <n v="0"/>
    <n v="0"/>
    <n v="0"/>
    <e v="#DIV/0!"/>
  </r>
  <r>
    <n v="11"/>
    <x v="21"/>
    <n v="0"/>
    <n v="0"/>
    <n v="0"/>
    <n v="0.12"/>
    <e v="#DIV/0!"/>
  </r>
  <r>
    <n v="12"/>
    <x v="21"/>
    <n v="0"/>
    <n v="0"/>
    <n v="0"/>
    <n v="0.1"/>
    <e v="#DIV/0!"/>
  </r>
  <r>
    <n v="13"/>
    <x v="21"/>
    <n v="0"/>
    <n v="0"/>
    <n v="0"/>
    <n v="0.1"/>
    <e v="#DIV/0!"/>
  </r>
  <r>
    <n v="14"/>
    <x v="21"/>
    <n v="0"/>
    <n v="0"/>
    <n v="0"/>
    <n v="0.125"/>
    <e v="#DIV/0!"/>
  </r>
  <r>
    <n v="15"/>
    <x v="21"/>
    <n v="0"/>
    <n v="0"/>
    <n v="0"/>
    <n v="0.11"/>
    <e v="#DIV/0!"/>
  </r>
  <r>
    <n v="16"/>
    <x v="21"/>
    <n v="0"/>
    <n v="0"/>
    <n v="0"/>
    <n v="0.155"/>
    <e v="#DIV/0!"/>
  </r>
  <r>
    <n v="17"/>
    <x v="21"/>
    <n v="0"/>
    <n v="0"/>
    <n v="0"/>
    <n v="0.1"/>
    <e v="#DIV/0!"/>
  </r>
  <r>
    <n v="18"/>
    <x v="21"/>
    <n v="0"/>
    <n v="0"/>
    <n v="0"/>
    <n v="0.12"/>
    <e v="#DIV/0!"/>
  </r>
  <r>
    <n v="19"/>
    <x v="21"/>
    <n v="0"/>
    <n v="0"/>
    <n v="0"/>
    <n v="0.12"/>
    <e v="#DIV/0!"/>
  </r>
  <r>
    <n v="20"/>
    <x v="21"/>
    <n v="20"/>
    <n v="19.71"/>
    <n v="0.28999999999999915"/>
    <n v="0.11"/>
    <n v="1.9999999999999955E-2"/>
  </r>
  <r>
    <n v="21"/>
    <x v="21"/>
    <n v="0"/>
    <n v="0"/>
    <n v="0"/>
    <n v="0.12"/>
    <e v="#DIV/0!"/>
  </r>
  <r>
    <n v="22"/>
    <x v="21"/>
    <n v="0"/>
    <n v="0"/>
    <n v="0"/>
    <n v="0.12"/>
    <e v="#DIV/0!"/>
  </r>
  <r>
    <n v="23"/>
    <x v="21"/>
    <n v="0"/>
    <n v="0"/>
    <n v="0"/>
    <n v="0.125"/>
    <e v="#DIV/0!"/>
  </r>
  <r>
    <n v="24"/>
    <x v="21"/>
    <n v="0"/>
    <n v="0"/>
    <n v="0"/>
    <n v="0.12"/>
    <e v="#DIV/0!"/>
  </r>
  <r>
    <n v="25"/>
    <x v="21"/>
    <n v="0"/>
    <n v="0"/>
    <n v="0"/>
    <n v="0.12"/>
    <e v="#DIV/0!"/>
  </r>
  <r>
    <n v="26"/>
    <x v="21"/>
    <n v="0"/>
    <n v="0"/>
    <n v="0"/>
    <n v="0.13"/>
    <e v="#DIV/0!"/>
  </r>
  <r>
    <n v="27"/>
    <x v="21"/>
    <n v="0"/>
    <n v="0"/>
    <n v="0"/>
    <n v="0.11"/>
    <e v="#DIV/0!"/>
  </r>
  <r>
    <n v="28"/>
    <x v="21"/>
    <n v="0"/>
    <n v="0"/>
    <n v="0"/>
    <n v="0.12"/>
    <e v="#DIV/0!"/>
  </r>
  <r>
    <n v="29"/>
    <x v="21"/>
    <n v="0"/>
    <n v="0"/>
    <n v="0"/>
    <n v="0.12"/>
    <e v="#DIV/0!"/>
  </r>
  <r>
    <n v="30"/>
    <x v="21"/>
    <n v="0"/>
    <n v="0"/>
    <n v="0"/>
    <n v="0.12"/>
    <e v="#DIV/0!"/>
  </r>
  <r>
    <n v="31"/>
    <x v="21"/>
    <n v="0"/>
    <n v="0"/>
    <n v="0"/>
    <n v="0.12"/>
    <e v="#DIV/0!"/>
  </r>
  <r>
    <n v="1"/>
    <x v="22"/>
    <n v="20"/>
    <n v="19.89"/>
    <n v="0.10999999999999943"/>
    <n v="0.125"/>
    <n v="1.1749999999999972E-2"/>
  </r>
  <r>
    <n v="2"/>
    <x v="22"/>
    <n v="0"/>
    <n v="0"/>
    <n v="0"/>
    <n v="0.185"/>
    <e v="#DIV/0!"/>
  </r>
  <r>
    <n v="3"/>
    <x v="22"/>
    <n v="20"/>
    <n v="19.79"/>
    <n v="0.21000000000000085"/>
    <n v="0.125"/>
    <n v="1.6750000000000043E-2"/>
  </r>
  <r>
    <n v="4"/>
    <x v="22"/>
    <n v="20.04"/>
    <n v="19.75"/>
    <n v="0.28999999999999915"/>
    <n v="0.1"/>
    <n v="1.9461077844311333E-2"/>
  </r>
  <r>
    <n v="5"/>
    <x v="22"/>
    <n v="0"/>
    <n v="0"/>
    <n v="0"/>
    <n v="7.2999999999999995E-2"/>
    <e v="#DIV/0!"/>
  </r>
  <r>
    <n v="6"/>
    <x v="22"/>
    <n v="0"/>
    <n v="0"/>
    <n v="0"/>
    <n v="0.182"/>
    <e v="#DIV/0!"/>
  </r>
  <r>
    <n v="7"/>
    <x v="22"/>
    <n v="0"/>
    <n v="0"/>
    <n v="0"/>
    <n v="0.2"/>
    <e v="#DIV/0!"/>
  </r>
  <r>
    <n v="10"/>
    <x v="22"/>
    <n v="0"/>
    <n v="0"/>
    <n v="0"/>
    <n v="0.28000000000000003"/>
    <e v="#DIV/0!"/>
  </r>
  <r>
    <n v="8"/>
    <x v="22"/>
    <n v="0"/>
    <n v="0"/>
    <n v="0"/>
    <n v="0.1"/>
    <e v="#DIV/0!"/>
  </r>
  <r>
    <n v="9"/>
    <x v="22"/>
    <n v="0"/>
    <n v="0"/>
    <n v="0"/>
    <n v="0.27"/>
    <e v="#DIV/0!"/>
  </r>
  <r>
    <n v="11"/>
    <x v="22"/>
    <n v="0"/>
    <n v="0"/>
    <n v="0"/>
    <n v="0.35"/>
    <e v="#DIV/0!"/>
  </r>
  <r>
    <n v="12"/>
    <x v="22"/>
    <n v="0"/>
    <n v="0"/>
    <n v="0"/>
    <n v="0.23"/>
    <e v="#DIV/0!"/>
  </r>
  <r>
    <n v="13"/>
    <x v="22"/>
    <n v="0"/>
    <n v="0"/>
    <n v="0"/>
    <n v="0.21"/>
    <e v="#DIV/0!"/>
  </r>
  <r>
    <n v="14"/>
    <x v="22"/>
    <n v="0"/>
    <n v="0"/>
    <n v="0"/>
    <n v="0.3"/>
    <e v="#DIV/0!"/>
  </r>
  <r>
    <n v="15"/>
    <x v="22"/>
    <n v="0"/>
    <n v="0"/>
    <n v="0"/>
    <n v="0.315"/>
    <e v="#DIV/0!"/>
  </r>
  <r>
    <n v="16"/>
    <x v="22"/>
    <n v="0"/>
    <n v="0"/>
    <n v="0"/>
    <n v="0.42"/>
    <e v="#DIV/0!"/>
  </r>
  <r>
    <n v="17"/>
    <x v="22"/>
    <n v="0"/>
    <n v="0"/>
    <n v="0"/>
    <n v="0.37"/>
    <e v="#DIV/0!"/>
  </r>
  <r>
    <n v="18"/>
    <x v="22"/>
    <n v="0"/>
    <n v="0"/>
    <n v="0"/>
    <n v="0.15"/>
    <e v="#DIV/0!"/>
  </r>
  <r>
    <n v="19"/>
    <x v="22"/>
    <n v="0"/>
    <n v="0"/>
    <n v="0"/>
    <n v="4.7E-2"/>
    <e v="#DIV/0!"/>
  </r>
  <r>
    <n v="20"/>
    <x v="22"/>
    <n v="0"/>
    <n v="0"/>
    <n v="0"/>
    <n v="7.9000000000000001E-2"/>
    <e v="#DIV/0!"/>
  </r>
  <r>
    <n v="21"/>
    <x v="22"/>
    <n v="0"/>
    <n v="0"/>
    <n v="0"/>
    <n v="0.08"/>
    <e v="#DIV/0!"/>
  </r>
  <r>
    <n v="22"/>
    <x v="22"/>
    <n v="0"/>
    <n v="0"/>
    <n v="0"/>
    <n v="0.1"/>
    <e v="#DIV/0!"/>
  </r>
  <r>
    <n v="23"/>
    <x v="22"/>
    <n v="40"/>
    <n v="39.58"/>
    <n v="0.42000000000000171"/>
    <n v="0.1"/>
    <n v="1.3000000000000043E-2"/>
  </r>
  <r>
    <n v="24"/>
    <x v="22"/>
    <n v="0"/>
    <n v="0"/>
    <n v="0"/>
    <n v="0.1"/>
    <e v="#DIV/0!"/>
  </r>
  <r>
    <n v="25"/>
    <x v="22"/>
    <n v="0"/>
    <n v="0"/>
    <n v="0"/>
    <n v="0.14099999999999999"/>
    <e v="#DIV/0!"/>
  </r>
  <r>
    <n v="26"/>
    <x v="22"/>
    <n v="0"/>
    <n v="0"/>
    <n v="0"/>
    <n v="0.1"/>
    <e v="#DIV/0!"/>
  </r>
  <r>
    <n v="27"/>
    <x v="22"/>
    <n v="0"/>
    <n v="0"/>
    <n v="0"/>
    <n v="0.1"/>
    <e v="#DIV/0!"/>
  </r>
  <r>
    <n v="28"/>
    <x v="22"/>
    <n v="0"/>
    <n v="0"/>
    <n v="0"/>
    <n v="0.1"/>
    <e v="#DIV/0!"/>
  </r>
  <r>
    <n v="29"/>
    <x v="22"/>
    <n v="0"/>
    <n v="0"/>
    <n v="0"/>
    <n v="0.08"/>
    <e v="#DIV/0!"/>
  </r>
  <r>
    <n v="30"/>
    <x v="22"/>
    <n v="0"/>
    <n v="0"/>
    <n v="0"/>
    <n v="0.09"/>
    <e v="#DIV/0!"/>
  </r>
  <r>
    <n v="31"/>
    <x v="22"/>
    <n v="25.09"/>
    <n v="24.88"/>
    <n v="0.21000000000000085"/>
    <n v="0.08"/>
    <n v="1.1558389796731801E-2"/>
  </r>
  <r>
    <n v="1"/>
    <x v="23"/>
    <n v="0"/>
    <n v="0"/>
    <n v="0"/>
    <n v="0.122"/>
    <e v="#DIV/0!"/>
  </r>
  <r>
    <n v="2"/>
    <x v="23"/>
    <n v="0"/>
    <n v="0"/>
    <n v="0"/>
    <n v="0.10199999999999999"/>
    <e v="#DIV/0!"/>
  </r>
  <r>
    <n v="3"/>
    <x v="23"/>
    <n v="0"/>
    <n v="0"/>
    <n v="0"/>
    <n v="0.109"/>
    <e v="#DIV/0!"/>
  </r>
  <r>
    <n v="4"/>
    <x v="23"/>
    <n v="20"/>
    <n v="19.88"/>
    <n v="0.12000000000000099"/>
    <n v="0.222"/>
    <n v="1.7100000000000049E-2"/>
  </r>
  <r>
    <n v="5"/>
    <x v="23"/>
    <n v="0"/>
    <n v="0"/>
    <n v="0"/>
    <n v="9.9000000000000005E-2"/>
    <e v="#DIV/0!"/>
  </r>
  <r>
    <n v="6"/>
    <x v="23"/>
    <n v="0"/>
    <n v="0"/>
    <n v="0"/>
    <n v="3.1E-2"/>
    <e v="#DIV/0!"/>
  </r>
  <r>
    <n v="7"/>
    <x v="23"/>
    <n v="20"/>
    <n v="19.260000000000002"/>
    <n v="0.73999999999999844"/>
    <n v="8.7999999999999995E-2"/>
    <n v="4.1399999999999923E-2"/>
  </r>
  <r>
    <n v="10"/>
    <x v="23"/>
    <n v="20"/>
    <n v="19.940000000000001"/>
    <n v="5.9999999999998721E-2"/>
    <n v="0.14399999999999999"/>
    <n v="1.0199999999999935E-2"/>
  </r>
  <r>
    <n v="8"/>
    <x v="23"/>
    <n v="0"/>
    <n v="0"/>
    <n v="0"/>
    <n v="0.13400000000000001"/>
    <e v="#DIV/0!"/>
  </r>
  <r>
    <n v="9"/>
    <x v="23"/>
    <n v="0"/>
    <n v="0"/>
    <n v="0"/>
    <n v="0.156"/>
    <e v="#DIV/0!"/>
  </r>
  <r>
    <n v="11"/>
    <x v="23"/>
    <n v="0"/>
    <n v="0"/>
    <n v="0"/>
    <n v="0.24399999999999999"/>
    <e v="#DIV/0!"/>
  </r>
  <r>
    <n v="12"/>
    <x v="23"/>
    <n v="0"/>
    <n v="0"/>
    <n v="0"/>
    <n v="0.29899999999999999"/>
    <e v="#DIV/0!"/>
  </r>
  <r>
    <n v="13"/>
    <x v="23"/>
    <n v="0"/>
    <n v="0"/>
    <n v="0"/>
    <n v="0.20899999999999999"/>
    <e v="#DIV/0!"/>
  </r>
  <r>
    <n v="14"/>
    <x v="23"/>
    <n v="0"/>
    <n v="0"/>
    <n v="0"/>
    <n v="0.11"/>
    <e v="#DIV/0!"/>
  </r>
  <r>
    <n v="15"/>
    <x v="23"/>
    <n v="20"/>
    <n v="19.920000000000002"/>
    <n v="7.9999999999998295E-2"/>
    <n v="0.122"/>
    <n v="1.0099999999999915E-2"/>
  </r>
  <r>
    <n v="16"/>
    <x v="23"/>
    <n v="0"/>
    <n v="0"/>
    <n v="0"/>
    <n v="0.19900000000000001"/>
    <e v="#DIV/0!"/>
  </r>
  <r>
    <n v="17"/>
    <x v="23"/>
    <n v="0"/>
    <n v="0"/>
    <n v="0"/>
    <n v="0.19900000000000001"/>
    <e v="#DIV/0!"/>
  </r>
  <r>
    <n v="18"/>
    <x v="23"/>
    <n v="15"/>
    <n v="15"/>
    <n v="0"/>
    <n v="0.223"/>
    <n v="1.4866666666666667E-2"/>
  </r>
  <r>
    <n v="19"/>
    <x v="23"/>
    <n v="10"/>
    <n v="10"/>
    <n v="0"/>
    <n v="0.21299999999999999"/>
    <n v="2.1299999999999999E-2"/>
  </r>
  <r>
    <n v="20"/>
    <x v="23"/>
    <n v="0"/>
    <n v="0"/>
    <n v="0"/>
    <n v="0.33300000000000002"/>
    <e v="#DIV/0!"/>
  </r>
  <r>
    <n v="21"/>
    <x v="23"/>
    <n v="0"/>
    <n v="0"/>
    <n v="0"/>
    <n v="0.187"/>
    <e v="#DIV/0!"/>
  </r>
  <r>
    <n v="22"/>
    <x v="23"/>
    <n v="0"/>
    <n v="0"/>
    <n v="0"/>
    <n v="0.129"/>
    <e v="#DIV/0!"/>
  </r>
  <r>
    <n v="23"/>
    <x v="23"/>
    <n v="0"/>
    <n v="0"/>
    <n v="0"/>
    <n v="7.6999999999999999E-2"/>
    <e v="#DIV/0!"/>
  </r>
  <r>
    <n v="24"/>
    <x v="23"/>
    <n v="0"/>
    <n v="0"/>
    <n v="0"/>
    <n v="7.9000000000000001E-2"/>
    <e v="#DIV/0!"/>
  </r>
  <r>
    <n v="25"/>
    <x v="23"/>
    <n v="0"/>
    <n v="0"/>
    <n v="0"/>
    <n v="0.17199999999999999"/>
    <e v="#DIV/0!"/>
  </r>
  <r>
    <n v="26"/>
    <x v="23"/>
    <n v="6"/>
    <n v="6"/>
    <n v="0"/>
    <n v="0.17799999999999999"/>
    <n v="2.9666666666666664E-2"/>
  </r>
  <r>
    <n v="27"/>
    <x v="23"/>
    <n v="0"/>
    <n v="0"/>
    <n v="0"/>
    <n v="0.29899999999999999"/>
    <e v="#DIV/0!"/>
  </r>
  <r>
    <n v="28"/>
    <x v="23"/>
    <n v="0"/>
    <n v="0"/>
    <n v="0"/>
    <n v="0.188"/>
    <e v="#DIV/0!"/>
  </r>
  <r>
    <n v="29"/>
    <x v="23"/>
    <n v="0"/>
    <n v="0"/>
    <n v="0"/>
    <n v="0.129"/>
    <e v="#DIV/0!"/>
  </r>
  <r>
    <n v="30"/>
    <x v="23"/>
    <n v="0"/>
    <n v="0"/>
    <n v="0"/>
    <n v="0.17799999999999999"/>
    <e v="#DIV/0!"/>
  </r>
  <r>
    <n v="31"/>
    <x v="23"/>
    <n v="0"/>
    <n v="0"/>
    <n v="0"/>
    <n v="0.19900000000000001"/>
    <e v="#DIV/0!"/>
  </r>
  <r>
    <n v="1"/>
    <x v="24"/>
    <n v="0"/>
    <n v="0"/>
    <n v="0"/>
    <n v="7.0000000000000007E-2"/>
    <e v="#DIV/0!"/>
  </r>
  <r>
    <n v="2"/>
    <x v="24"/>
    <n v="0"/>
    <n v="0"/>
    <n v="0"/>
    <n v="8.7999999999999995E-2"/>
    <e v="#DIV/0!"/>
  </r>
  <r>
    <n v="3"/>
    <x v="24"/>
    <n v="0"/>
    <n v="0"/>
    <n v="0"/>
    <n v="0.11799999999999999"/>
    <e v="#DIV/0!"/>
  </r>
  <r>
    <n v="4"/>
    <x v="24"/>
    <n v="0"/>
    <n v="0"/>
    <n v="0"/>
    <n v="0.1"/>
    <e v="#DIV/0!"/>
  </r>
  <r>
    <n v="5"/>
    <x v="24"/>
    <n v="0"/>
    <n v="0"/>
    <n v="0"/>
    <n v="8.2000000000000003E-2"/>
    <e v="#DIV/0!"/>
  </r>
  <r>
    <n v="6"/>
    <x v="24"/>
    <n v="0"/>
    <n v="0"/>
    <n v="0"/>
    <n v="7.0000000000000007E-2"/>
    <e v="#DIV/0!"/>
  </r>
  <r>
    <n v="7"/>
    <x v="24"/>
    <n v="0"/>
    <n v="0"/>
    <n v="0"/>
    <n v="0.13200000000000001"/>
    <e v="#DIV/0!"/>
  </r>
  <r>
    <n v="10"/>
    <x v="24"/>
    <n v="20"/>
    <n v="19.88"/>
    <n v="0.12000000000000099"/>
    <n v="0.13800000000000001"/>
    <n v="1.290000000000005E-2"/>
  </r>
  <r>
    <n v="8"/>
    <x v="24"/>
    <n v="0"/>
    <n v="0"/>
    <n v="0"/>
    <n v="0.16800000000000001"/>
    <e v="#DIV/0!"/>
  </r>
  <r>
    <n v="9"/>
    <x v="24"/>
    <n v="0"/>
    <n v="0"/>
    <n v="0"/>
    <n v="0.14799999999999999"/>
    <e v="#DIV/0!"/>
  </r>
  <r>
    <n v="11"/>
    <x v="24"/>
    <n v="0"/>
    <n v="0"/>
    <n v="0"/>
    <n v="0.19800000000000001"/>
    <e v="#DIV/0!"/>
  </r>
  <r>
    <n v="12"/>
    <x v="24"/>
    <n v="0"/>
    <n v="0"/>
    <n v="0"/>
    <n v="0.12600000000000122"/>
    <e v="#DIV/0!"/>
  </r>
  <r>
    <n v="13"/>
    <x v="24"/>
    <n v="0"/>
    <n v="0"/>
    <n v="0"/>
    <n v="0.182"/>
    <e v="#DIV/0!"/>
  </r>
  <r>
    <n v="14"/>
    <x v="24"/>
    <n v="0"/>
    <n v="0"/>
    <n v="0"/>
    <n v="0.11"/>
    <e v="#DIV/0!"/>
  </r>
  <r>
    <n v="15"/>
    <x v="24"/>
    <n v="0"/>
    <n v="0"/>
    <n v="0"/>
    <n v="0.122"/>
    <e v="#DIV/0!"/>
  </r>
  <r>
    <n v="16"/>
    <x v="24"/>
    <n v="0"/>
    <n v="0"/>
    <n v="0"/>
    <n v="0.112"/>
    <e v="#DIV/0!"/>
  </r>
  <r>
    <n v="17"/>
    <x v="24"/>
    <n v="0"/>
    <n v="0"/>
    <n v="0"/>
    <n v="0.122"/>
    <e v="#DIV/0!"/>
  </r>
  <r>
    <n v="18"/>
    <x v="24"/>
    <n v="0"/>
    <n v="0"/>
    <n v="0"/>
    <n v="0.11799999999999999"/>
    <e v="#DIV/0!"/>
  </r>
  <r>
    <n v="19"/>
    <x v="24"/>
    <n v="0"/>
    <n v="0"/>
    <n v="0"/>
    <n v="0.14799999999999999"/>
    <e v="#DIV/0!"/>
  </r>
  <r>
    <n v="20"/>
    <x v="24"/>
    <n v="0"/>
    <n v="0"/>
    <n v="0"/>
    <n v="0.17"/>
    <e v="#DIV/0!"/>
  </r>
  <r>
    <n v="21"/>
    <x v="24"/>
    <n v="0"/>
    <n v="0"/>
    <n v="0"/>
    <n v="0.122"/>
    <e v="#DIV/0!"/>
  </r>
  <r>
    <n v="22"/>
    <x v="24"/>
    <n v="0"/>
    <n v="0"/>
    <n v="0"/>
    <n v="0.14799999999999999"/>
    <e v="#DIV/0!"/>
  </r>
  <r>
    <n v="23"/>
    <x v="24"/>
    <n v="0"/>
    <n v="0"/>
    <n v="0"/>
    <n v="0.17199999999999999"/>
    <e v="#DIV/0!"/>
  </r>
  <r>
    <n v="24"/>
    <x v="24"/>
    <n v="0"/>
    <n v="0"/>
    <n v="0"/>
    <n v="0.19"/>
    <e v="#DIV/0!"/>
  </r>
  <r>
    <n v="25"/>
    <x v="24"/>
    <n v="0"/>
    <n v="0"/>
    <n v="0"/>
    <n v="0.14199999999999999"/>
    <e v="#DIV/0!"/>
  </r>
  <r>
    <n v="26"/>
    <x v="24"/>
    <n v="20"/>
    <n v="19.86"/>
    <n v="0.14000000000000057"/>
    <n v="0.122"/>
    <n v="1.3100000000000028E-2"/>
  </r>
  <r>
    <n v="27"/>
    <x v="24"/>
    <n v="0"/>
    <n v="0"/>
    <n v="0"/>
    <n v="0.18"/>
    <e v="#DIV/0!"/>
  </r>
  <r>
    <n v="28"/>
    <x v="24"/>
    <n v="0"/>
    <n v="0"/>
    <n v="0"/>
    <n v="0.1"/>
    <e v="#DIV/0!"/>
  </r>
  <r>
    <n v="29"/>
    <x v="24"/>
    <n v="0"/>
    <n v="0"/>
    <n v="0"/>
    <n v="0.108"/>
    <e v="#DIV/0!"/>
  </r>
  <r>
    <n v="30"/>
    <x v="24"/>
    <n v="0"/>
    <n v="0"/>
    <n v="0"/>
    <n v="0.18"/>
    <e v="#DIV/0!"/>
  </r>
  <r>
    <n v="31"/>
    <x v="24"/>
    <n v="0"/>
    <n v="0"/>
    <n v="0"/>
    <n v="0.112"/>
    <e v="#DIV/0!"/>
  </r>
  <r>
    <n v="1"/>
    <x v="25"/>
    <n v="0"/>
    <n v="0"/>
    <n v="0"/>
    <n v="0.05"/>
    <e v="#DIV/0!"/>
  </r>
  <r>
    <n v="2"/>
    <x v="25"/>
    <n v="0"/>
    <n v="0"/>
    <n v="0"/>
    <n v="9.0999999999999998E-2"/>
    <e v="#DIV/0!"/>
  </r>
  <r>
    <n v="3"/>
    <x v="25"/>
    <n v="0"/>
    <n v="0"/>
    <n v="0"/>
    <n v="0.10199999999999999"/>
    <e v="#DIV/0!"/>
  </r>
  <r>
    <n v="4"/>
    <x v="25"/>
    <n v="20"/>
    <n v="19.87"/>
    <n v="0.12999999999999901"/>
    <n v="6.4000000000000001E-2"/>
    <n v="9.69999999999995E-3"/>
  </r>
  <r>
    <n v="5"/>
    <x v="25"/>
    <n v="0"/>
    <n v="0"/>
    <n v="0"/>
    <n v="0.13500000000000001"/>
    <e v="#DIV/0!"/>
  </r>
  <r>
    <n v="6"/>
    <x v="25"/>
    <n v="0"/>
    <n v="0"/>
    <n v="0"/>
    <n v="8.4000000000000005E-2"/>
    <e v="#DIV/0!"/>
  </r>
  <r>
    <n v="7"/>
    <x v="25"/>
    <n v="0"/>
    <n v="0"/>
    <n v="0"/>
    <n v="0.10199999999999999"/>
    <e v="#DIV/0!"/>
  </r>
  <r>
    <n v="10"/>
    <x v="25"/>
    <n v="20"/>
    <n v="19.920000000000002"/>
    <n v="7.9999999999998295E-2"/>
    <n v="0.21"/>
    <n v="1.4499999999999912E-2"/>
  </r>
  <r>
    <n v="8"/>
    <x v="25"/>
    <n v="0"/>
    <n v="0"/>
    <n v="0"/>
    <n v="6.6000000000000003E-2"/>
    <e v="#DIV/0!"/>
  </r>
  <r>
    <n v="9"/>
    <x v="25"/>
    <n v="0"/>
    <n v="0"/>
    <n v="0"/>
    <n v="8.5000000000000006E-2"/>
    <e v="#DIV/0!"/>
  </r>
  <r>
    <n v="11"/>
    <x v="25"/>
    <n v="0"/>
    <n v="0"/>
    <n v="0"/>
    <n v="0.13800000000000001"/>
    <e v="#DIV/0!"/>
  </r>
  <r>
    <n v="12"/>
    <x v="25"/>
    <n v="0"/>
    <n v="0"/>
    <n v="0"/>
    <n v="9.8000000000000004E-2"/>
    <e v="#DIV/0!"/>
  </r>
  <r>
    <n v="13"/>
    <x v="25"/>
    <n v="20"/>
    <n v="19.809999999999999"/>
    <n v="0.19000000000000128"/>
    <n v="0.21099999999999999"/>
    <n v="2.0050000000000061E-2"/>
  </r>
  <r>
    <n v="14"/>
    <x v="25"/>
    <n v="0"/>
    <n v="0"/>
    <n v="0"/>
    <n v="0.182"/>
    <e v="#DIV/0!"/>
  </r>
  <r>
    <n v="15"/>
    <x v="25"/>
    <n v="0"/>
    <n v="0"/>
    <n v="0"/>
    <n v="0.11799999999999999"/>
    <e v="#DIV/0!"/>
  </r>
  <r>
    <n v="16"/>
    <x v="25"/>
    <n v="0"/>
    <n v="0"/>
    <n v="0"/>
    <n v="5.8999999999999997E-2"/>
    <e v="#DIV/0!"/>
  </r>
  <r>
    <n v="17"/>
    <x v="25"/>
    <n v="0"/>
    <n v="0"/>
    <n v="0"/>
    <n v="6.7000000000000004E-2"/>
    <e v="#DIV/0!"/>
  </r>
  <r>
    <n v="18"/>
    <x v="25"/>
    <n v="0"/>
    <n v="0"/>
    <n v="0"/>
    <n v="0.10299999999999999"/>
    <e v="#DIV/0!"/>
  </r>
  <r>
    <n v="19"/>
    <x v="25"/>
    <n v="0"/>
    <n v="0"/>
    <n v="0"/>
    <n v="0.11899999999999999"/>
    <e v="#DIV/0!"/>
  </r>
  <r>
    <n v="20"/>
    <x v="25"/>
    <n v="0"/>
    <n v="0"/>
    <n v="0"/>
    <n v="3.7999999999999999E-2"/>
    <e v="#DIV/0!"/>
  </r>
  <r>
    <n v="21"/>
    <x v="25"/>
    <n v="20"/>
    <n v="19.86"/>
    <n v="0.14000000000000057"/>
    <n v="0.16400000000000001"/>
    <n v="1.5200000000000029E-2"/>
  </r>
  <r>
    <n v="22"/>
    <x v="25"/>
    <n v="0"/>
    <n v="0"/>
    <n v="0"/>
    <n v="0.13800000000000001"/>
    <e v="#DIV/0!"/>
  </r>
  <r>
    <n v="23"/>
    <x v="25"/>
    <n v="0"/>
    <n v="0"/>
    <n v="0"/>
    <n v="0.13200000000000001"/>
    <e v="#DIV/0!"/>
  </r>
  <r>
    <n v="24"/>
    <x v="25"/>
    <n v="0"/>
    <n v="0"/>
    <n v="0"/>
    <n v="0.10100000000000001"/>
    <e v="#DIV/0!"/>
  </r>
  <r>
    <n v="25"/>
    <x v="25"/>
    <n v="0"/>
    <n v="0"/>
    <n v="0"/>
    <n v="0.17699999999999999"/>
    <e v="#DIV/0!"/>
  </r>
  <r>
    <n v="26"/>
    <x v="25"/>
    <n v="0"/>
    <n v="0"/>
    <n v="0"/>
    <n v="0.1"/>
    <e v="#DIV/0!"/>
  </r>
  <r>
    <n v="27"/>
    <x v="25"/>
    <n v="20"/>
    <n v="19.64"/>
    <n v="0.35999999999999943"/>
    <n v="0.111"/>
    <n v="2.354999999999997E-2"/>
  </r>
  <r>
    <n v="28"/>
    <x v="25"/>
    <n v="0"/>
    <n v="0"/>
    <n v="0"/>
    <n v="0.115"/>
    <e v="#DIV/0!"/>
  </r>
  <r>
    <n v="29"/>
    <x v="25"/>
    <n v="0"/>
    <n v="0"/>
    <n v="0"/>
    <n v="0.187"/>
    <e v="#DIV/0!"/>
  </r>
  <r>
    <n v="30"/>
    <x v="25"/>
    <n v="0"/>
    <n v="0"/>
    <n v="0"/>
    <n v="0.123"/>
    <e v="#DIV/0!"/>
  </r>
  <r>
    <n v="31"/>
    <x v="25"/>
    <n v="0"/>
    <n v="0"/>
    <n v="0"/>
    <n v="0.106"/>
    <e v="#DIV/0!"/>
  </r>
  <r>
    <n v="1"/>
    <x v="26"/>
    <n v="360"/>
    <n v="356.64"/>
    <n v="3.3600000000000136"/>
    <n v="6.3E-2"/>
    <n v="9.5083333333333721E-3"/>
  </r>
  <r>
    <n v="2"/>
    <x v="26"/>
    <n v="0"/>
    <n v="0"/>
    <n v="0"/>
    <n v="3.5999999999999997E-2"/>
    <e v="#DIV/0!"/>
  </r>
  <r>
    <n v="3"/>
    <x v="26"/>
    <n v="0"/>
    <n v="0"/>
    <n v="0"/>
    <n v="5.1999999999999998E-2"/>
    <e v="#DIV/0!"/>
  </r>
  <r>
    <n v="4"/>
    <x v="26"/>
    <n v="20"/>
    <n v="19.829999999999998"/>
    <n v="0.17000000000000171"/>
    <n v="6.4000000000000001E-2"/>
    <n v="1.1700000000000085E-2"/>
  </r>
  <r>
    <n v="5"/>
    <x v="26"/>
    <n v="20"/>
    <n v="19.829999999999998"/>
    <n v="0.17000000000000171"/>
    <n v="0.06"/>
    <n v="1.1500000000000085E-2"/>
  </r>
  <r>
    <n v="6"/>
    <x v="26"/>
    <n v="0"/>
    <n v="0"/>
    <n v="0"/>
    <n v="5.3999999999999999E-2"/>
    <e v="#DIV/0!"/>
  </r>
  <r>
    <n v="7"/>
    <x v="26"/>
    <n v="20"/>
    <n v="19.809999999999999"/>
    <n v="0.19000000000000128"/>
    <n v="6.4000000000000001E-2"/>
    <n v="1.2700000000000064E-2"/>
  </r>
  <r>
    <n v="10"/>
    <x v="26"/>
    <n v="0"/>
    <n v="0"/>
    <n v="0"/>
    <n v="5.3999999999999999E-2"/>
    <e v="#DIV/0!"/>
  </r>
  <r>
    <n v="8"/>
    <x v="26"/>
    <n v="0"/>
    <n v="0"/>
    <n v="0"/>
    <n v="0.06"/>
    <e v="#DIV/0!"/>
  </r>
  <r>
    <n v="9"/>
    <x v="26"/>
    <n v="25"/>
    <n v="24.83"/>
    <n v="0.17000000000000171"/>
    <n v="8.1000000000000003E-2"/>
    <n v="1.004000000000007E-2"/>
  </r>
  <r>
    <n v="11"/>
    <x v="26"/>
    <n v="24"/>
    <n v="23.84"/>
    <n v="0.16000000000000014"/>
    <n v="6.8000000000000005E-2"/>
    <n v="9.5000000000000067E-3"/>
  </r>
  <r>
    <n v="12"/>
    <x v="26"/>
    <n v="0"/>
    <n v="0"/>
    <n v="0"/>
    <n v="3.3000000000000002E-2"/>
    <e v="#DIV/0!"/>
  </r>
  <r>
    <n v="13"/>
    <x v="26"/>
    <n v="25"/>
    <n v="24.82"/>
    <n v="0.17999999999999972"/>
    <n v="5.2999999999999999E-2"/>
    <n v="9.319999999999988E-3"/>
  </r>
  <r>
    <n v="14"/>
    <x v="26"/>
    <n v="0"/>
    <n v="0"/>
    <n v="0"/>
    <n v="6.5000000000000002E-2"/>
    <e v="#DIV/0!"/>
  </r>
  <r>
    <n v="15"/>
    <x v="26"/>
    <n v="0"/>
    <n v="0"/>
    <n v="0"/>
    <n v="5.7000000000000002E-2"/>
    <e v="#DIV/0!"/>
  </r>
  <r>
    <n v="16"/>
    <x v="26"/>
    <n v="0"/>
    <n v="0"/>
    <n v="0"/>
    <n v="4.9000000000000002E-2"/>
    <e v="#DIV/0!"/>
  </r>
  <r>
    <n v="17"/>
    <x v="26"/>
    <n v="0"/>
    <n v="0"/>
    <n v="0"/>
    <n v="3.7999999999999999E-2"/>
    <e v="#DIV/0!"/>
  </r>
  <r>
    <n v="18"/>
    <x v="26"/>
    <n v="0"/>
    <n v="0"/>
    <n v="0"/>
    <n v="6.2E-2"/>
    <e v="#DIV/0!"/>
  </r>
  <r>
    <n v="19"/>
    <x v="26"/>
    <n v="15"/>
    <n v="14.81"/>
    <n v="0.1899999999999995"/>
    <n v="7.1999999999999995E-2"/>
    <n v="1.7466666666666634E-2"/>
  </r>
  <r>
    <n v="20"/>
    <x v="26"/>
    <n v="0"/>
    <n v="0"/>
    <n v="0"/>
    <n v="6.7000000000000004E-2"/>
    <e v="#DIV/0!"/>
  </r>
  <r>
    <n v="21"/>
    <x v="26"/>
    <n v="0"/>
    <n v="0"/>
    <n v="0"/>
    <n v="5.7000000000000002E-2"/>
    <e v="#DIV/0!"/>
  </r>
  <r>
    <n v="22"/>
    <x v="26"/>
    <n v="15"/>
    <n v="14.81"/>
    <n v="0.1899999999999995"/>
    <n v="4.3999999999999997E-2"/>
    <n v="1.5599999999999966E-2"/>
  </r>
  <r>
    <n v="23"/>
    <x v="26"/>
    <n v="15"/>
    <n v="14.81"/>
    <n v="0.1899999999999995"/>
    <n v="9.1999999999999998E-2"/>
    <n v="1.8799999999999966E-2"/>
  </r>
  <r>
    <n v="24"/>
    <x v="26"/>
    <n v="0"/>
    <n v="0"/>
    <n v="0"/>
    <n v="5.6000000000000001E-2"/>
    <e v="#DIV/0!"/>
  </r>
  <r>
    <n v="25"/>
    <x v="26"/>
    <n v="20"/>
    <n v="19.809999999999999"/>
    <n v="0.19000000000000128"/>
    <n v="0.06"/>
    <n v="1.2500000000000063E-2"/>
  </r>
  <r>
    <n v="26"/>
    <x v="26"/>
    <n v="0"/>
    <n v="0"/>
    <n v="0"/>
    <n v="6.6000000000000003E-2"/>
    <e v="#DIV/0!"/>
  </r>
  <r>
    <n v="27"/>
    <x v="26"/>
    <n v="0"/>
    <n v="0"/>
    <n v="0"/>
    <n v="6.2E-2"/>
    <e v="#DIV/0!"/>
  </r>
  <r>
    <n v="28"/>
    <x v="26"/>
    <n v="10"/>
    <n v="9.6199999999999992"/>
    <n v="0.38000000000000078"/>
    <n v="6.5000000000000002E-2"/>
    <n v="4.4500000000000081E-2"/>
  </r>
  <r>
    <n v="29"/>
    <x v="26"/>
    <n v="10"/>
    <n v="9.6199999999999992"/>
    <n v="0.38000000000000078"/>
    <n v="6.3E-2"/>
    <n v="4.4300000000000075E-2"/>
  </r>
  <r>
    <n v="30"/>
    <x v="26"/>
    <n v="0"/>
    <n v="0"/>
    <n v="0"/>
    <n v="4.3999999999999997E-2"/>
    <e v="#DIV/0!"/>
  </r>
  <r>
    <n v="31"/>
    <x v="26"/>
    <n v="15"/>
    <n v="14.85"/>
    <n v="0.15000000000000036"/>
    <n v="4.2999999999999997E-2"/>
    <n v="1.2866666666666689E-2"/>
  </r>
  <r>
    <n v="1"/>
    <x v="27"/>
    <n v="0"/>
    <n v="0"/>
    <n v="0"/>
    <n v="0.21299999999999999"/>
    <e v="#DIV/0!"/>
  </r>
  <r>
    <n v="2"/>
    <x v="27"/>
    <n v="20"/>
    <n v="19.79"/>
    <n v="0.21000000000000085"/>
    <n v="0.16800000000000001"/>
    <n v="1.8900000000000045E-2"/>
  </r>
  <r>
    <n v="3"/>
    <x v="27"/>
    <n v="0"/>
    <n v="0"/>
    <n v="0"/>
    <n v="0.10299999999999999"/>
    <e v="#DIV/0!"/>
  </r>
  <r>
    <n v="4"/>
    <x v="27"/>
    <n v="0"/>
    <n v="0"/>
    <n v="0"/>
    <n v="0.21"/>
    <e v="#DIV/0!"/>
  </r>
  <r>
    <n v="5"/>
    <x v="27"/>
    <n v="20"/>
    <n v="19.760000000000002"/>
    <n v="0.23999999999999844"/>
    <n v="9.5000000000000001E-2"/>
    <n v="1.6749999999999921E-2"/>
  </r>
  <r>
    <n v="6"/>
    <x v="27"/>
    <n v="0"/>
    <n v="0"/>
    <n v="0"/>
    <n v="0.182"/>
    <e v="#DIV/0!"/>
  </r>
  <r>
    <n v="7"/>
    <x v="27"/>
    <n v="20"/>
    <n v="19.7"/>
    <n v="0.30000000000000071"/>
    <n v="0.107"/>
    <n v="2.0350000000000035E-2"/>
  </r>
  <r>
    <n v="10"/>
    <x v="27"/>
    <n v="0"/>
    <n v="0"/>
    <n v="0"/>
    <n v="0.20899999999999999"/>
    <e v="#DIV/0!"/>
  </r>
  <r>
    <n v="8"/>
    <x v="27"/>
    <n v="0"/>
    <n v="0"/>
    <n v="0"/>
    <n v="0.13700000000000001"/>
    <e v="#DIV/0!"/>
  </r>
  <r>
    <n v="9"/>
    <x v="27"/>
    <n v="40"/>
    <n v="39.799999999999997"/>
    <n v="0.20000000000000284"/>
    <n v="0.214"/>
    <n v="1.0350000000000071E-2"/>
  </r>
  <r>
    <n v="11"/>
    <x v="27"/>
    <n v="0"/>
    <n v="0"/>
    <n v="0"/>
    <n v="0.21"/>
    <e v="#DIV/0!"/>
  </r>
  <r>
    <n v="12"/>
    <x v="27"/>
    <n v="0"/>
    <n v="0"/>
    <n v="0"/>
    <n v="0.113"/>
    <e v="#DIV/0!"/>
  </r>
  <r>
    <n v="13"/>
    <x v="27"/>
    <n v="0"/>
    <n v="0"/>
    <n v="0"/>
    <n v="0.13"/>
    <e v="#DIV/0!"/>
  </r>
  <r>
    <n v="14"/>
    <x v="27"/>
    <n v="0"/>
    <n v="0"/>
    <n v="0"/>
    <n v="0.121"/>
    <e v="#DIV/0!"/>
  </r>
  <r>
    <n v="15"/>
    <x v="27"/>
    <n v="0"/>
    <n v="0"/>
    <n v="0"/>
    <n v="0.10199999999999999"/>
    <e v="#DIV/0!"/>
  </r>
  <r>
    <n v="16"/>
    <x v="27"/>
    <n v="0"/>
    <n v="0"/>
    <n v="0"/>
    <n v="0.108"/>
    <e v="#DIV/0!"/>
  </r>
  <r>
    <n v="17"/>
    <x v="27"/>
    <n v="0"/>
    <n v="0"/>
    <n v="0"/>
    <n v="0.121"/>
    <e v="#DIV/0!"/>
  </r>
  <r>
    <n v="18"/>
    <x v="27"/>
    <n v="0"/>
    <n v="0"/>
    <n v="0"/>
    <n v="0.16300000000000001"/>
    <e v="#DIV/0!"/>
  </r>
  <r>
    <n v="19"/>
    <x v="27"/>
    <n v="0"/>
    <n v="0"/>
    <n v="0"/>
    <n v="0.13800000000000001"/>
    <e v="#DIV/0!"/>
  </r>
  <r>
    <n v="20"/>
    <x v="27"/>
    <n v="0"/>
    <n v="0"/>
    <n v="0"/>
    <n v="0.11799999999999999"/>
    <e v="#DIV/0!"/>
  </r>
  <r>
    <n v="21"/>
    <x v="27"/>
    <n v="20"/>
    <n v="19.77"/>
    <n v="0.23000000000000043"/>
    <n v="0.222"/>
    <n v="2.2600000000000019E-2"/>
  </r>
  <r>
    <n v="22"/>
    <x v="27"/>
    <n v="0"/>
    <n v="0"/>
    <n v="0"/>
    <n v="0.29399999999999998"/>
    <e v="#DIV/0!"/>
  </r>
  <r>
    <n v="23"/>
    <x v="27"/>
    <n v="0"/>
    <n v="0"/>
    <n v="0"/>
    <n v="0.26600000000000001"/>
    <e v="#DIV/0!"/>
  </r>
  <r>
    <n v="24"/>
    <x v="27"/>
    <n v="0"/>
    <n v="0"/>
    <n v="0"/>
    <n v="0.22600000000000001"/>
    <e v="#DIV/0!"/>
  </r>
  <r>
    <n v="25"/>
    <x v="27"/>
    <n v="0"/>
    <n v="0"/>
    <n v="0"/>
    <n v="0.29399999999999998"/>
    <e v="#DIV/0!"/>
  </r>
  <r>
    <n v="26"/>
    <x v="27"/>
    <n v="20"/>
    <n v="19.75"/>
    <n v="0.25"/>
    <n v="0.14899999999999999"/>
    <n v="1.9950000000000002E-2"/>
  </r>
  <r>
    <n v="27"/>
    <x v="27"/>
    <n v="20"/>
    <n v="19.78"/>
    <n v="0.21999999999999886"/>
    <n v="0.193"/>
    <n v="2.0649999999999943E-2"/>
  </r>
  <r>
    <n v="28"/>
    <x v="27"/>
    <n v="0"/>
    <n v="0"/>
    <n v="0"/>
    <n v="0.19800000000000001"/>
    <e v="#DIV/0!"/>
  </r>
  <r>
    <n v="29"/>
    <x v="27"/>
    <n v="0"/>
    <n v="0"/>
    <n v="0"/>
    <n v="0.189"/>
    <e v="#DIV/0!"/>
  </r>
  <r>
    <n v="30"/>
    <x v="27"/>
    <n v="20"/>
    <n v="19.850000000000001"/>
    <n v="0.14999999999999858"/>
    <n v="0.22"/>
    <n v="1.8499999999999926E-2"/>
  </r>
  <r>
    <n v="31"/>
    <x v="27"/>
    <n v="0"/>
    <n v="0"/>
    <n v="0"/>
    <n v="0.17299999999999999"/>
    <e v="#DIV/0!"/>
  </r>
  <r>
    <n v="1"/>
    <x v="28"/>
    <n v="0"/>
    <n v="0"/>
    <n v="0"/>
    <n v="0.23"/>
    <e v="#DIV/0!"/>
  </r>
  <r>
    <n v="2"/>
    <x v="28"/>
    <n v="20"/>
    <n v="19.899999999999999"/>
    <n v="0.10000000000000142"/>
    <n v="0.01"/>
    <n v="5.5000000000000708E-3"/>
  </r>
  <r>
    <n v="3"/>
    <x v="28"/>
    <n v="30.15"/>
    <n v="30.02"/>
    <n v="0.12999999999999901"/>
    <n v="9.5000000000000001E-2"/>
    <n v="7.4626865671641469E-3"/>
  </r>
  <r>
    <n v="4"/>
    <x v="28"/>
    <n v="0"/>
    <n v="0"/>
    <n v="0"/>
    <n v="0.11"/>
    <e v="#DIV/0!"/>
  </r>
  <r>
    <n v="5"/>
    <x v="28"/>
    <n v="0"/>
    <n v="0"/>
    <n v="0"/>
    <n v="0.14499999999999999"/>
    <e v="#DIV/0!"/>
  </r>
  <r>
    <n v="6"/>
    <x v="28"/>
    <n v="0"/>
    <n v="0"/>
    <n v="0"/>
    <n v="0.12"/>
    <e v="#DIV/0!"/>
  </r>
  <r>
    <n v="7"/>
    <x v="28"/>
    <n v="0"/>
    <n v="0"/>
    <n v="0"/>
    <n v="0.06"/>
    <e v="#DIV/0!"/>
  </r>
  <r>
    <n v="10"/>
    <x v="28"/>
    <n v="20"/>
    <n v="20"/>
    <n v="0"/>
    <n v="0"/>
    <n v="0"/>
  </r>
  <r>
    <n v="8"/>
    <x v="28"/>
    <n v="32.255000000000003"/>
    <n v="30.82"/>
    <n v="1.4350000000000023"/>
    <n v="0"/>
    <n v="4.4489226476515334E-2"/>
  </r>
  <r>
    <n v="9"/>
    <x v="28"/>
    <n v="20"/>
    <n v="20"/>
    <n v="0"/>
    <n v="0.01"/>
    <n v="5.0000000000000001E-4"/>
  </r>
  <r>
    <n v="11"/>
    <x v="28"/>
    <n v="40"/>
    <n v="39.75"/>
    <n v="0.25"/>
    <n v="-0.17"/>
    <n v="1.9999999999999996E-3"/>
  </r>
  <r>
    <n v="12"/>
    <x v="28"/>
    <n v="0"/>
    <n v="0"/>
    <n v="0"/>
    <n v="-6.0449999999999999"/>
    <e v="#DIV/0!"/>
  </r>
  <r>
    <n v="13"/>
    <x v="28"/>
    <n v="40"/>
    <n v="40.15"/>
    <n v="-0.14999999999999858"/>
    <n v="0.63"/>
    <n v="1.2000000000000035E-2"/>
  </r>
  <r>
    <n v="14"/>
    <x v="28"/>
    <n v="7.85"/>
    <n v="7.8"/>
    <n v="4.9999999999999822E-2"/>
    <n v="0"/>
    <n v="6.3694267515923345E-3"/>
  </r>
  <r>
    <n v="15"/>
    <x v="28"/>
    <n v="0"/>
    <n v="0"/>
    <n v="0"/>
    <n v="0.115"/>
    <e v="#DIV/0!"/>
  </r>
  <r>
    <n v="16"/>
    <x v="28"/>
    <n v="0"/>
    <n v="0"/>
    <n v="0"/>
    <n v="0.06"/>
    <e v="#DIV/0!"/>
  </r>
  <r>
    <n v="17"/>
    <x v="28"/>
    <n v="0"/>
    <n v="0"/>
    <n v="0"/>
    <n v="0.29499999999999998"/>
    <e v="#DIV/0!"/>
  </r>
  <r>
    <n v="18"/>
    <x v="28"/>
    <n v="80"/>
    <n v="81.05"/>
    <n v="-1.0499999999999972"/>
    <n v="0.77500000000000924"/>
    <n v="-3.4374999999998491E-3"/>
  </r>
  <r>
    <n v="19"/>
    <x v="28"/>
    <n v="0"/>
    <n v="0"/>
    <n v="0"/>
    <n v="0.34499999999999997"/>
    <e v="#DIV/0!"/>
  </r>
  <r>
    <n v="20"/>
    <x v="28"/>
    <n v="20"/>
    <n v="20"/>
    <n v="0"/>
    <n v="0.19"/>
    <n v="9.4999999999999998E-3"/>
  </r>
  <r>
    <n v="21"/>
    <x v="28"/>
    <n v="0"/>
    <n v="0"/>
    <n v="0"/>
    <n v="0.20499999999999999"/>
    <e v="#DIV/0!"/>
  </r>
  <r>
    <n v="22"/>
    <x v="28"/>
    <n v="20"/>
    <n v="20.05"/>
    <n v="-5.0000000000000711E-2"/>
    <n v="2.6249999999999964"/>
    <n v="0.12874999999999978"/>
  </r>
  <r>
    <n v="23"/>
    <x v="28"/>
    <n v="0"/>
    <n v="0"/>
    <n v="0"/>
    <n v="0"/>
    <e v="#DIV/0!"/>
  </r>
  <r>
    <n v="24"/>
    <x v="28"/>
    <n v="25"/>
    <n v="24.95"/>
    <n v="5.0000000000000711E-2"/>
    <n v="0.255"/>
    <n v="1.2200000000000029E-2"/>
  </r>
  <r>
    <n v="25"/>
    <x v="28"/>
    <n v="0"/>
    <n v="0"/>
    <n v="0"/>
    <n v="0.19500000000000001"/>
    <e v="#DIV/0!"/>
  </r>
  <r>
    <n v="26"/>
    <x v="28"/>
    <n v="25"/>
    <n v="24.97"/>
    <n v="3.0000000000001137E-2"/>
    <n v="0.215"/>
    <n v="9.8000000000000448E-3"/>
  </r>
  <r>
    <n v="27"/>
    <x v="28"/>
    <n v="20"/>
    <n v="19.899999999999999"/>
    <n v="0.10000000000000142"/>
    <n v="0.245"/>
    <n v="1.7250000000000071E-2"/>
  </r>
  <r>
    <n v="28"/>
    <x v="28"/>
    <n v="20"/>
    <n v="19.95"/>
    <n v="5.0000000000000711E-2"/>
    <n v="0.27500000000000002"/>
    <n v="1.6250000000000035E-2"/>
  </r>
  <r>
    <n v="29"/>
    <x v="28"/>
    <n v="20"/>
    <n v="20"/>
    <n v="0"/>
    <n v="0.19"/>
    <n v="9.4999999999999998E-3"/>
  </r>
  <r>
    <n v="30"/>
    <x v="28"/>
    <n v="0"/>
    <n v="0"/>
    <n v="0"/>
    <n v="3.5000000000000003E-2"/>
    <e v="#DIV/0!"/>
  </r>
  <r>
    <n v="31"/>
    <x v="28"/>
    <n v="20"/>
    <n v="20.05"/>
    <n v="-5.0000000000000711E-2"/>
    <n v="0.17"/>
    <n v="5.9999999999999654E-3"/>
  </r>
  <r>
    <n v="1"/>
    <x v="29"/>
    <n v="0"/>
    <n v="0"/>
    <n v="0"/>
    <n v="0"/>
    <e v="#DIV/0!"/>
  </r>
  <r>
    <n v="2"/>
    <x v="29"/>
    <n v="0"/>
    <n v="0"/>
    <n v="0"/>
    <n v="0"/>
    <e v="#DIV/0!"/>
  </r>
  <r>
    <n v="3"/>
    <x v="29"/>
    <n v="20"/>
    <n v="19.899999999999999"/>
    <n v="0.10000000000000142"/>
    <n v="0.313"/>
    <n v="2.0650000000000071E-2"/>
  </r>
  <r>
    <n v="4"/>
    <x v="29"/>
    <n v="0"/>
    <n v="0"/>
    <n v="0"/>
    <n v="0.29799999999999999"/>
    <e v="#DIV/0!"/>
  </r>
  <r>
    <n v="5"/>
    <x v="29"/>
    <n v="20"/>
    <n v="19.97"/>
    <n v="3.0000000000001137E-2"/>
    <n v="9.5000000000000001E-2"/>
    <n v="6.2500000000000567E-3"/>
  </r>
  <r>
    <n v="6"/>
    <x v="29"/>
    <n v="0"/>
    <n v="0"/>
    <n v="0"/>
    <n v="0"/>
    <e v="#DIV/0!"/>
  </r>
  <r>
    <n v="7"/>
    <x v="29"/>
    <n v="0"/>
    <n v="0"/>
    <n v="0"/>
    <n v="0"/>
    <e v="#DIV/0!"/>
  </r>
  <r>
    <n v="10"/>
    <x v="29"/>
    <n v="0"/>
    <n v="0"/>
    <n v="0"/>
    <n v="0"/>
    <e v="#DIV/0!"/>
  </r>
  <r>
    <n v="8"/>
    <x v="29"/>
    <n v="0"/>
    <n v="0"/>
    <n v="0"/>
    <n v="0"/>
    <e v="#DIV/0!"/>
  </r>
  <r>
    <n v="9"/>
    <x v="29"/>
    <n v="0"/>
    <n v="0"/>
    <n v="0"/>
    <n v="0"/>
    <e v="#DIV/0!"/>
  </r>
  <r>
    <n v="11"/>
    <x v="29"/>
    <n v="20"/>
    <n v="19.89"/>
    <n v="0.10999999999999943"/>
    <n v="0"/>
    <n v="5.4999999999999719E-3"/>
  </r>
  <r>
    <n v="12"/>
    <x v="29"/>
    <n v="0"/>
    <n v="0"/>
    <n v="0"/>
    <n v="0"/>
    <e v="#DIV/0!"/>
  </r>
  <r>
    <n v="13"/>
    <x v="29"/>
    <n v="0"/>
    <n v="0"/>
    <n v="0"/>
    <n v="0"/>
    <e v="#DIV/0!"/>
  </r>
  <r>
    <n v="14"/>
    <x v="29"/>
    <n v="20"/>
    <n v="19.899999999999999"/>
    <n v="0.10000000000000142"/>
    <n v="0"/>
    <n v="5.0000000000000712E-3"/>
  </r>
  <r>
    <n v="15"/>
    <x v="29"/>
    <n v="0"/>
    <n v="0"/>
    <n v="0"/>
    <n v="0"/>
    <e v="#DIV/0!"/>
  </r>
  <r>
    <n v="16"/>
    <x v="29"/>
    <n v="20"/>
    <n v="19.95"/>
    <n v="5.0000000000000711E-2"/>
    <n v="0"/>
    <n v="2.5000000000000356E-3"/>
  </r>
  <r>
    <n v="17"/>
    <x v="29"/>
    <n v="0"/>
    <n v="0"/>
    <n v="0"/>
    <n v="0"/>
    <e v="#DIV/0!"/>
  </r>
  <r>
    <n v="18"/>
    <x v="29"/>
    <n v="0"/>
    <n v="0"/>
    <n v="0"/>
    <n v="0"/>
    <e v="#DIV/0!"/>
  </r>
  <r>
    <n v="19"/>
    <x v="29"/>
    <n v="25"/>
    <n v="24.91"/>
    <n v="8.9999999999999858E-2"/>
    <n v="0.25900000000000001"/>
    <n v="1.3959999999999995E-2"/>
  </r>
  <r>
    <n v="20"/>
    <x v="29"/>
    <n v="0"/>
    <n v="0"/>
    <n v="0"/>
    <n v="0"/>
    <e v="#DIV/0!"/>
  </r>
  <r>
    <n v="21"/>
    <x v="29"/>
    <n v="0"/>
    <n v="0"/>
    <n v="0"/>
    <n v="0.29499999999999998"/>
    <e v="#DIV/0!"/>
  </r>
  <r>
    <n v="22"/>
    <x v="29"/>
    <n v="0"/>
    <n v="0"/>
    <n v="0"/>
    <n v="0"/>
    <e v="#DIV/0!"/>
  </r>
  <r>
    <n v="23"/>
    <x v="29"/>
    <n v="0"/>
    <n v="0"/>
    <n v="0"/>
    <n v="0"/>
    <e v="#DIV/0!"/>
  </r>
  <r>
    <n v="24"/>
    <x v="29"/>
    <n v="0"/>
    <n v="0"/>
    <n v="0"/>
    <n v="0"/>
    <e v="#DIV/0!"/>
  </r>
  <r>
    <n v="25"/>
    <x v="29"/>
    <n v="0"/>
    <n v="0"/>
    <n v="0"/>
    <n v="0.16200000000000001"/>
    <e v="#DIV/0!"/>
  </r>
  <r>
    <n v="26"/>
    <x v="29"/>
    <n v="0"/>
    <n v="0"/>
    <n v="0"/>
    <n v="0"/>
    <e v="#DIV/0!"/>
  </r>
  <r>
    <n v="27"/>
    <x v="29"/>
    <n v="0"/>
    <n v="0"/>
    <n v="0"/>
    <n v="0.43099999999999999"/>
    <e v="#DIV/0!"/>
  </r>
  <r>
    <n v="28"/>
    <x v="29"/>
    <n v="0"/>
    <n v="0"/>
    <n v="0"/>
    <n v="0"/>
    <e v="#DIV/0!"/>
  </r>
  <r>
    <n v="29"/>
    <x v="29"/>
    <n v="0"/>
    <n v="0"/>
    <n v="0"/>
    <n v="0"/>
    <e v="#DIV/0!"/>
  </r>
  <r>
    <n v="30"/>
    <x v="29"/>
    <n v="25"/>
    <n v="24.94"/>
    <n v="5.9999999999998721E-2"/>
    <n v="0.29499999999999998"/>
    <n v="1.4199999999999949E-2"/>
  </r>
  <r>
    <n v="31"/>
    <x v="29"/>
    <n v="0"/>
    <n v="0"/>
    <n v="0"/>
    <n v="0"/>
    <e v="#DIV/0!"/>
  </r>
  <r>
    <n v="1"/>
    <x v="30"/>
    <n v="0"/>
    <n v="0"/>
    <n v="0"/>
    <n v="0.245"/>
    <e v="#DIV/0!"/>
  </r>
  <r>
    <n v="2"/>
    <x v="30"/>
    <n v="0"/>
    <n v="0"/>
    <n v="0"/>
    <n v="0.122"/>
    <e v="#DIV/0!"/>
  </r>
  <r>
    <n v="3"/>
    <x v="30"/>
    <n v="0"/>
    <n v="0"/>
    <n v="0"/>
    <n v="0.155"/>
    <e v="#DIV/0!"/>
  </r>
  <r>
    <n v="4"/>
    <x v="30"/>
    <n v="0"/>
    <n v="0"/>
    <n v="0"/>
    <n v="0.22"/>
    <e v="#DIV/0!"/>
  </r>
  <r>
    <n v="5"/>
    <x v="30"/>
    <n v="20"/>
    <n v="19.739999999999998"/>
    <n v="0.26000000000000156"/>
    <n v="0.09"/>
    <n v="1.7500000000000078E-2"/>
  </r>
  <r>
    <n v="6"/>
    <x v="30"/>
    <n v="0"/>
    <n v="0"/>
    <n v="0"/>
    <n v="0.28000000000000003"/>
    <e v="#DIV/0!"/>
  </r>
  <r>
    <n v="7"/>
    <x v="30"/>
    <n v="0"/>
    <n v="0"/>
    <n v="0"/>
    <n v="0.20799999999999999"/>
    <e v="#DIV/0!"/>
  </r>
  <r>
    <n v="10"/>
    <x v="30"/>
    <n v="20"/>
    <n v="19.61"/>
    <n v="0.39000000000000057"/>
    <n v="0.246"/>
    <n v="3.180000000000003E-2"/>
  </r>
  <r>
    <n v="8"/>
    <x v="30"/>
    <n v="0"/>
    <n v="0"/>
    <n v="0"/>
    <n v="0.105"/>
    <e v="#DIV/0!"/>
  </r>
  <r>
    <n v="9"/>
    <x v="30"/>
    <n v="0"/>
    <n v="0"/>
    <n v="0"/>
    <n v="0.217"/>
    <e v="#DIV/0!"/>
  </r>
  <r>
    <n v="11"/>
    <x v="30"/>
    <n v="0"/>
    <n v="0"/>
    <n v="0"/>
    <n v="0.113"/>
    <e v="#DIV/0!"/>
  </r>
  <r>
    <n v="12"/>
    <x v="30"/>
    <n v="0"/>
    <n v="0"/>
    <n v="0"/>
    <n v="0.18"/>
    <e v="#DIV/0!"/>
  </r>
  <r>
    <n v="13"/>
    <x v="30"/>
    <n v="0"/>
    <n v="0"/>
    <n v="0"/>
    <n v="8.1000000000000003E-2"/>
    <e v="#DIV/0!"/>
  </r>
  <r>
    <n v="14"/>
    <x v="30"/>
    <n v="0"/>
    <n v="0"/>
    <n v="0"/>
    <n v="0.17899999999999999"/>
    <e v="#DIV/0!"/>
  </r>
  <r>
    <n v="15"/>
    <x v="30"/>
    <n v="0"/>
    <n v="0"/>
    <n v="0"/>
    <n v="0.121"/>
    <e v="#DIV/0!"/>
  </r>
  <r>
    <n v="16"/>
    <x v="30"/>
    <n v="0"/>
    <n v="0"/>
    <n v="0"/>
    <n v="9.0999999999999998E-2"/>
    <e v="#DIV/0!"/>
  </r>
  <r>
    <n v="17"/>
    <x v="30"/>
    <n v="0"/>
    <n v="0"/>
    <n v="0"/>
    <n v="0.185"/>
    <e v="#DIV/0!"/>
  </r>
  <r>
    <n v="18"/>
    <x v="30"/>
    <n v="0"/>
    <n v="0"/>
    <n v="0"/>
    <n v="0.26500000000000001"/>
    <e v="#DIV/0!"/>
  </r>
  <r>
    <n v="19"/>
    <x v="30"/>
    <n v="20"/>
    <n v="19.649999999999999"/>
    <n v="0.35000000000000142"/>
    <n v="0.10299999999999999"/>
    <n v="2.2650000000000069E-2"/>
  </r>
  <r>
    <n v="20"/>
    <x v="30"/>
    <n v="0"/>
    <n v="0"/>
    <n v="0"/>
    <n v="0.24199999999999999"/>
    <e v="#DIV/0!"/>
  </r>
  <r>
    <n v="21"/>
    <x v="30"/>
    <n v="0"/>
    <n v="0"/>
    <n v="0"/>
    <n v="0.17499999999999999"/>
    <e v="#DIV/0!"/>
  </r>
  <r>
    <n v="22"/>
    <x v="30"/>
    <n v="0"/>
    <n v="0"/>
    <n v="0"/>
    <n v="0.126"/>
    <e v="#DIV/0!"/>
  </r>
  <r>
    <n v="23"/>
    <x v="30"/>
    <n v="0"/>
    <n v="0"/>
    <n v="0"/>
    <n v="0.121"/>
    <e v="#DIV/0!"/>
  </r>
  <r>
    <n v="24"/>
    <x v="30"/>
    <n v="0"/>
    <n v="0"/>
    <n v="0"/>
    <n v="0.121"/>
    <e v="#DIV/0!"/>
  </r>
  <r>
    <n v="25"/>
    <x v="30"/>
    <n v="0"/>
    <n v="0"/>
    <n v="0"/>
    <n v="9.8000000000000004E-2"/>
    <e v="#DIV/0!"/>
  </r>
  <r>
    <n v="26"/>
    <x v="30"/>
    <n v="20"/>
    <n v="19.64"/>
    <n v="0.35999999999999943"/>
    <n v="0.10299999999999999"/>
    <n v="2.3149999999999969E-2"/>
  </r>
  <r>
    <n v="27"/>
    <x v="30"/>
    <n v="0"/>
    <n v="0"/>
    <n v="0"/>
    <n v="0.11700000000000001"/>
    <e v="#DIV/0!"/>
  </r>
  <r>
    <n v="28"/>
    <x v="30"/>
    <n v="0"/>
    <n v="0"/>
    <n v="0"/>
    <n v="0.10100000000000001"/>
    <e v="#DIV/0!"/>
  </r>
  <r>
    <n v="29"/>
    <x v="30"/>
    <n v="0"/>
    <n v="0"/>
    <n v="0"/>
    <n v="9.1999999999999998E-2"/>
    <e v="#DIV/0!"/>
  </r>
  <r>
    <n v="30"/>
    <x v="30"/>
    <n v="0"/>
    <n v="0"/>
    <n v="0"/>
    <n v="7.0000000000000007E-2"/>
    <e v="#DIV/0!"/>
  </r>
  <r>
    <n v="31"/>
    <x v="30"/>
    <n v="0"/>
    <n v="0"/>
    <n v="0"/>
    <n v="0"/>
    <e v="#DIV/0!"/>
  </r>
  <r>
    <n v="1"/>
    <x v="31"/>
    <n v="0"/>
    <n v="0"/>
    <n v="0"/>
    <n v="0.20599999999999999"/>
    <e v="#DIV/0!"/>
  </r>
  <r>
    <n v="2"/>
    <x v="31"/>
    <n v="40"/>
    <n v="39.549999999999997"/>
    <n v="0.45000000000000284"/>
    <n v="0.224"/>
    <n v="1.685000000000007E-2"/>
  </r>
  <r>
    <n v="3"/>
    <x v="31"/>
    <n v="0"/>
    <n v="0"/>
    <n v="0"/>
    <n v="0.10199999999999999"/>
    <e v="#DIV/0!"/>
  </r>
  <r>
    <n v="4"/>
    <x v="31"/>
    <n v="0"/>
    <n v="0"/>
    <n v="0"/>
    <n v="0.191"/>
    <e v="#DIV/0!"/>
  </r>
  <r>
    <n v="5"/>
    <x v="31"/>
    <n v="0"/>
    <n v="0"/>
    <n v="0"/>
    <n v="0.16500000000000001"/>
    <e v="#DIV/0!"/>
  </r>
  <r>
    <n v="6"/>
    <x v="31"/>
    <n v="0"/>
    <n v="0"/>
    <n v="0"/>
    <n v="0"/>
    <e v="#DIV/0!"/>
  </r>
  <r>
    <n v="7"/>
    <x v="31"/>
    <n v="0"/>
    <n v="0"/>
    <n v="0"/>
    <n v="0"/>
    <e v="#DIV/0!"/>
  </r>
  <r>
    <n v="10"/>
    <x v="31"/>
    <n v="0"/>
    <n v="0"/>
    <n v="0"/>
    <n v="0.34"/>
    <e v="#DIV/0!"/>
  </r>
  <r>
    <n v="8"/>
    <x v="31"/>
    <n v="0"/>
    <n v="0"/>
    <n v="0"/>
    <n v="0"/>
    <e v="#DIV/0!"/>
  </r>
  <r>
    <n v="9"/>
    <x v="31"/>
    <n v="0"/>
    <n v="0"/>
    <n v="0"/>
    <n v="0"/>
    <e v="#DIV/0!"/>
  </r>
  <r>
    <n v="11"/>
    <x v="31"/>
    <n v="12"/>
    <n v="12.3"/>
    <n v="-0.30000000000000071"/>
    <n v="0.3"/>
    <n v="-6.0137080500529308E-17"/>
  </r>
  <r>
    <n v="12"/>
    <x v="31"/>
    <n v="10"/>
    <n v="9.92"/>
    <n v="8.0000000000000071E-2"/>
    <n v="0.312"/>
    <n v="3.9200000000000006E-2"/>
  </r>
  <r>
    <n v="13"/>
    <x v="31"/>
    <n v="0"/>
    <n v="0"/>
    <n v="0"/>
    <n v="0.193"/>
    <e v="#DIV/0!"/>
  </r>
  <r>
    <n v="14"/>
    <x v="31"/>
    <n v="0"/>
    <n v="0"/>
    <n v="0"/>
    <n v="0.23499999999999999"/>
    <e v="#DIV/0!"/>
  </r>
  <r>
    <n v="15"/>
    <x v="31"/>
    <n v="0"/>
    <n v="0"/>
    <n v="0"/>
    <n v="0.36"/>
    <e v="#DIV/0!"/>
  </r>
  <r>
    <n v="16"/>
    <x v="31"/>
    <n v="0"/>
    <n v="0"/>
    <n v="0"/>
    <n v="0.34300000000000003"/>
    <e v="#DIV/0!"/>
  </r>
  <r>
    <n v="17"/>
    <x v="31"/>
    <n v="5"/>
    <n v="4.91"/>
    <n v="8.9999999999999858E-2"/>
    <n v="0.14699999999999999"/>
    <n v="4.739999999999997E-2"/>
  </r>
  <r>
    <n v="18"/>
    <x v="31"/>
    <n v="25"/>
    <n v="24.6"/>
    <n v="0.39999999999999858"/>
    <n v="0.14399999999999999"/>
    <n v="2.1759999999999943E-2"/>
  </r>
  <r>
    <n v="19"/>
    <x v="31"/>
    <n v="25"/>
    <n v="24.98"/>
    <n v="1.9999999999999574E-2"/>
    <n v="0.33300000000000002"/>
    <n v="1.4119999999999983E-2"/>
  </r>
  <r>
    <n v="20"/>
    <x v="31"/>
    <n v="0"/>
    <n v="0"/>
    <n v="0"/>
    <n v="0.158"/>
    <e v="#DIV/0!"/>
  </r>
  <r>
    <n v="21"/>
    <x v="31"/>
    <n v="6"/>
    <n v="5.93"/>
    <n v="7.0000000000000284E-2"/>
    <n v="0.16600000000000001"/>
    <n v="3.933333333333338E-2"/>
  </r>
  <r>
    <n v="22"/>
    <x v="31"/>
    <n v="0"/>
    <n v="0"/>
    <n v="0"/>
    <n v="0.184"/>
    <e v="#DIV/0!"/>
  </r>
  <r>
    <n v="23"/>
    <x v="31"/>
    <n v="0"/>
    <n v="0"/>
    <n v="0"/>
    <n v="0.13800000000000001"/>
    <e v="#DIV/0!"/>
  </r>
  <r>
    <n v="24"/>
    <x v="31"/>
    <n v="0"/>
    <n v="0"/>
    <n v="0"/>
    <n v="0.14000000000000001"/>
    <e v="#DIV/0!"/>
  </r>
  <r>
    <n v="25"/>
    <x v="31"/>
    <n v="0"/>
    <n v="0"/>
    <n v="0"/>
    <n v="0.157"/>
    <e v="#DIV/0!"/>
  </r>
  <r>
    <n v="26"/>
    <x v="31"/>
    <n v="0"/>
    <n v="0"/>
    <n v="0"/>
    <n v="0.25700000000000001"/>
    <e v="#DIV/0!"/>
  </r>
  <r>
    <n v="27"/>
    <x v="31"/>
    <n v="20"/>
    <n v="19.22"/>
    <n v="0.78000000000000114"/>
    <n v="0.1579999999999977"/>
    <n v="4.6899999999999942E-2"/>
  </r>
  <r>
    <n v="28"/>
    <x v="31"/>
    <n v="0"/>
    <n v="0"/>
    <n v="0"/>
    <n v="0.17799999999999999"/>
    <e v="#DIV/0!"/>
  </r>
  <r>
    <n v="29"/>
    <x v="31"/>
    <n v="0"/>
    <n v="0"/>
    <n v="0"/>
    <n v="0.216"/>
    <e v="#DIV/0!"/>
  </r>
  <r>
    <n v="30"/>
    <x v="31"/>
    <n v="5"/>
    <n v="4.95"/>
    <n v="4.9999999999999822E-2"/>
    <n v="0.21099999999999999"/>
    <n v="5.2199999999999955E-2"/>
  </r>
  <r>
    <n v="31"/>
    <x v="31"/>
    <n v="0"/>
    <n v="0"/>
    <n v="0"/>
    <n v="0.14599999999999999"/>
    <e v="#DIV/0!"/>
  </r>
  <r>
    <n v="1"/>
    <x v="32"/>
    <n v="0"/>
    <n v="0"/>
    <n v="0"/>
    <n v="3.1E-2"/>
    <e v="#DIV/0!"/>
  </r>
  <r>
    <n v="2"/>
    <x v="32"/>
    <n v="5"/>
    <n v="4.83"/>
    <n v="0.16999999999999993"/>
    <n v="5.5E-2"/>
    <n v="4.4999999999999984E-2"/>
  </r>
  <r>
    <n v="3"/>
    <x v="32"/>
    <n v="5"/>
    <n v="4.84"/>
    <n v="0.16000000000000014"/>
    <n v="3.4000000000000002E-2"/>
    <n v="3.8800000000000029E-2"/>
  </r>
  <r>
    <n v="4"/>
    <x v="32"/>
    <n v="0"/>
    <n v="0"/>
    <n v="0"/>
    <n v="8.0000000000000002E-3"/>
    <e v="#DIV/0!"/>
  </r>
  <r>
    <n v="5"/>
    <x v="32"/>
    <n v="5"/>
    <n v="4.84"/>
    <n v="0.16000000000000014"/>
    <n v="7.0000000000000001E-3"/>
    <n v="3.3400000000000027E-2"/>
  </r>
  <r>
    <n v="6"/>
    <x v="32"/>
    <n v="5"/>
    <n v="4.79"/>
    <n v="0.20999999999999996"/>
    <n v="1.6E-2"/>
    <n v="4.5199999999999997E-2"/>
  </r>
  <r>
    <n v="7"/>
    <x v="32"/>
    <n v="5"/>
    <n v="4.8499999999999996"/>
    <n v="0.15000000000000036"/>
    <n v="8.0000000000000002E-3"/>
    <n v="3.1600000000000072E-2"/>
  </r>
  <r>
    <n v="10"/>
    <x v="32"/>
    <n v="0"/>
    <n v="0"/>
    <n v="0"/>
    <n v="2E-3"/>
    <e v="#DIV/0!"/>
  </r>
  <r>
    <n v="8"/>
    <x v="32"/>
    <n v="10"/>
    <n v="9.76"/>
    <n v="0.24000000000000021"/>
    <n v="1.2E-2"/>
    <n v="2.5200000000000021E-2"/>
  </r>
  <r>
    <n v="9"/>
    <x v="32"/>
    <n v="0"/>
    <n v="0"/>
    <n v="0"/>
    <n v="9.9999999999997868E-3"/>
    <e v="#DIV/0!"/>
  </r>
  <r>
    <n v="11"/>
    <x v="32"/>
    <n v="5"/>
    <n v="4.8"/>
    <n v="0.20000000000000018"/>
    <n v="1.1000000000000121E-2"/>
    <n v="4.2200000000000057E-2"/>
  </r>
  <r>
    <n v="12"/>
    <x v="32"/>
    <n v="10"/>
    <n v="9.94"/>
    <n v="6.0000000000000497E-2"/>
    <n v="3.3000000000000002E-2"/>
    <n v="9.3000000000000495E-3"/>
  </r>
  <r>
    <n v="13"/>
    <x v="32"/>
    <n v="0"/>
    <n v="0"/>
    <n v="0"/>
    <n v="1.4999999999999999E-2"/>
    <e v="#DIV/0!"/>
  </r>
  <r>
    <n v="14"/>
    <x v="32"/>
    <n v="10"/>
    <n v="9.93"/>
    <n v="7.0000000000000284E-2"/>
    <n v="9.9999999999980105E-3"/>
    <n v="7.9999999999998302E-3"/>
  </r>
  <r>
    <n v="15"/>
    <x v="32"/>
    <n v="0"/>
    <n v="0"/>
    <n v="0"/>
    <n v="2.3E-2"/>
    <e v="#DIV/0!"/>
  </r>
  <r>
    <n v="16"/>
    <x v="32"/>
    <n v="0"/>
    <n v="0"/>
    <n v="0"/>
    <n v="8.9999999999999993E-3"/>
    <e v="#DIV/0!"/>
  </r>
  <r>
    <n v="17"/>
    <x v="32"/>
    <n v="0"/>
    <n v="0"/>
    <n v="0"/>
    <n v="3.1E-2"/>
    <e v="#DIV/0!"/>
  </r>
  <r>
    <n v="18"/>
    <x v="32"/>
    <n v="3.09"/>
    <n v="2.91"/>
    <n v="0.17999999999999972"/>
    <n v="2.1999999999999999E-2"/>
    <n v="6.5372168284789547E-2"/>
  </r>
  <r>
    <n v="19"/>
    <x v="32"/>
    <n v="5"/>
    <n v="4.96"/>
    <n v="4.0000000000000036E-2"/>
    <n v="2.8000000000000001E-2"/>
    <n v="1.3600000000000006E-2"/>
  </r>
  <r>
    <n v="20"/>
    <x v="32"/>
    <n v="0"/>
    <n v="0"/>
    <n v="0"/>
    <n v="6.0000000000000001E-3"/>
    <e v="#DIV/0!"/>
  </r>
  <r>
    <n v="21"/>
    <x v="32"/>
    <n v="2"/>
    <n v="1.96"/>
    <n v="4.0000000000000036E-2"/>
    <n v="1.9E-2"/>
    <n v="2.9500000000000019E-2"/>
  </r>
  <r>
    <n v="22"/>
    <x v="32"/>
    <n v="8"/>
    <n v="7.86"/>
    <n v="0.13999999999999968"/>
    <n v="1.4999999999999999E-2"/>
    <n v="1.9374999999999962E-2"/>
  </r>
  <r>
    <n v="23"/>
    <x v="32"/>
    <n v="5"/>
    <n v="4.8499999999999996"/>
    <n v="0.15000000000000036"/>
    <n v="1.2999999999999999E-2"/>
    <n v="3.2600000000000073E-2"/>
  </r>
  <r>
    <n v="24"/>
    <x v="32"/>
    <n v="5"/>
    <n v="4.87"/>
    <n v="0.12999999999999989"/>
    <n v="6.0999999999999999E-2"/>
    <n v="3.8199999999999977E-2"/>
  </r>
  <r>
    <n v="25"/>
    <x v="32"/>
    <n v="5"/>
    <n v="4.74"/>
    <n v="0.25999999999999979"/>
    <n v="2.7E-2"/>
    <n v="5.7399999999999965E-2"/>
  </r>
  <r>
    <n v="26"/>
    <x v="32"/>
    <n v="0"/>
    <n v="0"/>
    <n v="0"/>
    <n v="6.5000000000000002E-2"/>
    <e v="#DIV/0!"/>
  </r>
  <r>
    <n v="27"/>
    <x v="32"/>
    <n v="7"/>
    <n v="6.85"/>
    <n v="0.15000000000000036"/>
    <n v="1.6E-2"/>
    <n v="2.3714285714285768E-2"/>
  </r>
  <r>
    <n v="28"/>
    <x v="32"/>
    <n v="4"/>
    <n v="3.94"/>
    <n v="6.0000000000000053E-2"/>
    <n v="5.6000000000000001E-2"/>
    <n v="2.9000000000000012E-2"/>
  </r>
  <r>
    <n v="29"/>
    <x v="32"/>
    <n v="5"/>
    <n v="4.9000000000000004"/>
    <n v="9.9999999999999645E-2"/>
    <n v="0.21199999999999999"/>
    <n v="6.2399999999999921E-2"/>
  </r>
  <r>
    <n v="30"/>
    <x v="32"/>
    <n v="4"/>
    <n v="3.92"/>
    <n v="8.0000000000000071E-2"/>
    <n v="4.8000000000000001E-2"/>
    <n v="3.2000000000000015E-2"/>
  </r>
  <r>
    <n v="31"/>
    <x v="32"/>
    <n v="4"/>
    <n v="3.9"/>
    <n v="0.10000000000000009"/>
    <n v="4.0000000000000001E-3"/>
    <n v="2.6000000000000023E-2"/>
  </r>
  <r>
    <n v="1"/>
    <x v="33"/>
    <n v="0"/>
    <n v="0"/>
    <n v="0"/>
    <n v="0.105"/>
    <e v="#DIV/0!"/>
  </r>
  <r>
    <n v="2"/>
    <x v="33"/>
    <n v="0"/>
    <n v="0"/>
    <n v="0"/>
    <n v="0.15"/>
    <e v="#DIV/0!"/>
  </r>
  <r>
    <n v="3"/>
    <x v="33"/>
    <n v="20"/>
    <n v="19.649999999999999"/>
    <n v="0.35000000000000142"/>
    <n v="1.4999999999999999E-2"/>
    <n v="1.8250000000000072E-2"/>
  </r>
  <r>
    <n v="4"/>
    <x v="33"/>
    <n v="0"/>
    <n v="0"/>
    <n v="0"/>
    <n v="0.2"/>
    <e v="#DIV/0!"/>
  </r>
  <r>
    <n v="5"/>
    <x v="33"/>
    <n v="0"/>
    <n v="0"/>
    <n v="0"/>
    <n v="0.13500000000000001"/>
    <e v="#DIV/0!"/>
  </r>
  <r>
    <n v="6"/>
    <x v="33"/>
    <n v="20"/>
    <n v="19.670000000000002"/>
    <n v="0.32999999999999829"/>
    <n v="6.5000000000000002E-2"/>
    <n v="1.9749999999999913E-2"/>
  </r>
  <r>
    <n v="7"/>
    <x v="33"/>
    <n v="0"/>
    <n v="0"/>
    <n v="0"/>
    <n v="0.21"/>
    <e v="#DIV/0!"/>
  </r>
  <r>
    <n v="10"/>
    <x v="33"/>
    <n v="20"/>
    <n v="19.82"/>
    <n v="0.17999999999999972"/>
    <n v="0.14000000000000001"/>
    <n v="1.5999999999999986E-2"/>
  </r>
  <r>
    <n v="8"/>
    <x v="33"/>
    <n v="0"/>
    <n v="0"/>
    <n v="0"/>
    <n v="0.19500000000000001"/>
    <e v="#DIV/0!"/>
  </r>
  <r>
    <n v="9"/>
    <x v="33"/>
    <n v="0"/>
    <n v="0"/>
    <n v="0"/>
    <n v="0.115"/>
    <e v="#DIV/0!"/>
  </r>
  <r>
    <n v="11"/>
    <x v="33"/>
    <n v="0"/>
    <n v="0"/>
    <n v="0"/>
    <n v="0.315"/>
    <e v="#DIV/0!"/>
  </r>
  <r>
    <n v="12"/>
    <x v="33"/>
    <m/>
    <m/>
    <n v="0"/>
    <n v="0.315"/>
    <e v="#DIV/0!"/>
  </r>
  <r>
    <n v="13"/>
    <x v="33"/>
    <n v="0"/>
    <n v="0"/>
    <n v="0"/>
    <n v="0.18"/>
    <e v="#DIV/0!"/>
  </r>
  <r>
    <n v="14"/>
    <x v="33"/>
    <n v="0"/>
    <n v="0"/>
    <n v="0"/>
    <n v="0.14499999999999999"/>
    <e v="#DIV/0!"/>
  </r>
  <r>
    <n v="15"/>
    <x v="33"/>
    <n v="0"/>
    <n v="0"/>
    <n v="0"/>
    <n v="0.115"/>
    <e v="#DIV/0!"/>
  </r>
  <r>
    <n v="16"/>
    <x v="33"/>
    <n v="20"/>
    <n v="19.989999999999998"/>
    <n v="1.0000000000001563E-2"/>
    <n v="0.33500000000000002"/>
    <n v="1.7250000000000078E-2"/>
  </r>
  <r>
    <n v="17"/>
    <x v="33"/>
    <n v="0"/>
    <n v="0"/>
    <n v="0"/>
    <n v="0.23499999999999999"/>
    <e v="#DIV/0!"/>
  </r>
  <r>
    <n v="18"/>
    <x v="33"/>
    <n v="20"/>
    <n v="19.95"/>
    <n v="5.0000000000000711E-2"/>
    <n v="0.255"/>
    <n v="1.5250000000000036E-2"/>
  </r>
  <r>
    <n v="19"/>
    <x v="33"/>
    <n v="0"/>
    <n v="0"/>
    <n v="0"/>
    <n v="0.17"/>
    <e v="#DIV/0!"/>
  </r>
  <r>
    <n v="20"/>
    <x v="33"/>
    <n v="20"/>
    <n v="19.68"/>
    <n v="0.32000000000000028"/>
    <n v="0.05"/>
    <n v="1.8500000000000013E-2"/>
  </r>
  <r>
    <n v="21"/>
    <x v="33"/>
    <n v="0"/>
    <n v="0"/>
    <n v="0"/>
    <n v="0.35"/>
    <e v="#DIV/0!"/>
  </r>
  <r>
    <n v="22"/>
    <x v="33"/>
    <n v="0"/>
    <n v="0"/>
    <n v="0"/>
    <n v="0.24"/>
    <e v="#DIV/0!"/>
  </r>
  <r>
    <n v="23"/>
    <x v="33"/>
    <n v="20"/>
    <n v="19.97"/>
    <n v="3.0000000000001137E-2"/>
    <n v="0.3"/>
    <n v="1.6500000000000056E-2"/>
  </r>
  <r>
    <n v="24"/>
    <x v="33"/>
    <n v="0"/>
    <n v="0"/>
    <n v="0"/>
    <n v="0.20499999999999999"/>
    <e v="#DIV/0!"/>
  </r>
  <r>
    <n v="25"/>
    <x v="33"/>
    <n v="25"/>
    <n v="24.49"/>
    <n v="0.51000000000000156"/>
    <n v="0"/>
    <n v="2.0400000000000064E-2"/>
  </r>
  <r>
    <n v="26"/>
    <x v="33"/>
    <n v="0"/>
    <n v="0"/>
    <n v="0"/>
    <n v="0.20499999999999999"/>
    <e v="#DIV/0!"/>
  </r>
  <r>
    <n v="27"/>
    <x v="33"/>
    <n v="25"/>
    <n v="25.39"/>
    <n v="-0.39000000000000057"/>
    <n v="0.84499999999999997"/>
    <n v="1.8199999999999977E-2"/>
  </r>
  <r>
    <n v="28"/>
    <x v="33"/>
    <n v="0"/>
    <n v="0"/>
    <n v="0"/>
    <n v="0.34"/>
    <e v="#DIV/0!"/>
  </r>
  <r>
    <n v="29"/>
    <x v="33"/>
    <n v="15"/>
    <n v="14.88"/>
    <n v="0.11999999999999922"/>
    <n v="0.14499999999999999"/>
    <n v="1.7666666666666615E-2"/>
  </r>
  <r>
    <n v="30"/>
    <x v="33"/>
    <n v="0"/>
    <n v="0"/>
    <n v="0"/>
    <n v="0.28000000000000003"/>
    <e v="#DIV/0!"/>
  </r>
  <r>
    <n v="31"/>
    <x v="33"/>
    <n v="10"/>
    <n v="9.8699999999999992"/>
    <n v="0.13000000000000078"/>
    <n v="0"/>
    <n v="1.3000000000000077E-2"/>
  </r>
  <r>
    <n v="1"/>
    <x v="34"/>
    <n v="0"/>
    <n v="0"/>
    <n v="0"/>
    <n v="0.112"/>
    <e v="#DIV/0!"/>
  </r>
  <r>
    <n v="2"/>
    <x v="34"/>
    <n v="0"/>
    <n v="0"/>
    <n v="0"/>
    <n v="9.7000000000000003E-2"/>
    <e v="#DIV/0!"/>
  </r>
  <r>
    <n v="3"/>
    <x v="34"/>
    <n v="0"/>
    <n v="0"/>
    <n v="0"/>
    <n v="0.14399999999999999"/>
    <e v="#DIV/0!"/>
  </r>
  <r>
    <n v="4"/>
    <x v="34"/>
    <n v="0"/>
    <n v="0"/>
    <n v="0"/>
    <n v="0.13700000000000001"/>
    <e v="#DIV/0!"/>
  </r>
  <r>
    <n v="5"/>
    <x v="34"/>
    <n v="0"/>
    <n v="0"/>
    <n v="0"/>
    <n v="0.115"/>
    <e v="#DIV/0!"/>
  </r>
  <r>
    <n v="6"/>
    <x v="34"/>
    <n v="0"/>
    <n v="0"/>
    <n v="0"/>
    <n v="5.7000000000000002E-2"/>
    <e v="#DIV/0!"/>
  </r>
  <r>
    <n v="7"/>
    <x v="34"/>
    <n v="0"/>
    <n v="0"/>
    <n v="0"/>
    <n v="5.3999999999999999E-2"/>
    <e v="#DIV/0!"/>
  </r>
  <r>
    <n v="10"/>
    <x v="34"/>
    <n v="0"/>
    <n v="0"/>
    <n v="0"/>
    <n v="0.107"/>
    <e v="#DIV/0!"/>
  </r>
  <r>
    <n v="8"/>
    <x v="34"/>
    <n v="20"/>
    <n v="19.88"/>
    <n v="0.12000000000000099"/>
    <n v="4.5999999999999999E-2"/>
    <n v="8.3000000000000487E-3"/>
  </r>
  <r>
    <n v="9"/>
    <x v="34"/>
    <n v="0"/>
    <n v="0"/>
    <n v="0"/>
    <n v="0.19600000000000001"/>
    <e v="#DIV/0!"/>
  </r>
  <r>
    <n v="11"/>
    <x v="34"/>
    <n v="0"/>
    <n v="0"/>
    <n v="0"/>
    <n v="4.5999999999999999E-2"/>
    <e v="#DIV/0!"/>
  </r>
  <r>
    <n v="12"/>
    <x v="34"/>
    <n v="0"/>
    <n v="0"/>
    <n v="0"/>
    <n v="0.02"/>
    <e v="#DIV/0!"/>
  </r>
  <r>
    <n v="13"/>
    <x v="34"/>
    <n v="0"/>
    <n v="0"/>
    <n v="0"/>
    <n v="0.153"/>
    <e v="#DIV/0!"/>
  </r>
  <r>
    <n v="14"/>
    <x v="34"/>
    <n v="20"/>
    <n v="19.88"/>
    <n v="0.12000000000000099"/>
    <n v="0.109"/>
    <n v="1.1450000000000049E-2"/>
  </r>
  <r>
    <n v="15"/>
    <x v="34"/>
    <n v="0"/>
    <n v="0"/>
    <n v="0"/>
    <n v="0.13200000000000001"/>
    <e v="#DIV/0!"/>
  </r>
  <r>
    <n v="16"/>
    <x v="34"/>
    <n v="0"/>
    <n v="0"/>
    <n v="0"/>
    <n v="0.11700000000000001"/>
    <e v="#DIV/0!"/>
  </r>
  <r>
    <n v="17"/>
    <x v="34"/>
    <n v="0"/>
    <n v="0"/>
    <n v="0"/>
    <n v="0.129"/>
    <e v="#DIV/0!"/>
  </r>
  <r>
    <n v="18"/>
    <x v="34"/>
    <n v="0"/>
    <n v="0"/>
    <n v="0"/>
    <n v="6.5000000000000002E-2"/>
    <e v="#DIV/0!"/>
  </r>
  <r>
    <n v="19"/>
    <x v="34"/>
    <n v="0"/>
    <n v="0"/>
    <n v="0"/>
    <n v="0.10299999999999999"/>
    <e v="#DIV/0!"/>
  </r>
  <r>
    <n v="20"/>
    <x v="34"/>
    <n v="20"/>
    <n v="19.739999999999998"/>
    <n v="0.26000000000000156"/>
    <n v="8.6999999999999994E-2"/>
    <n v="1.7350000000000077E-2"/>
  </r>
  <r>
    <n v="21"/>
    <x v="34"/>
    <n v="0"/>
    <n v="0"/>
    <n v="0"/>
    <n v="8.8999999999999996E-2"/>
    <e v="#DIV/0!"/>
  </r>
  <r>
    <n v="22"/>
    <x v="34"/>
    <n v="0"/>
    <n v="0"/>
    <n v="0"/>
    <n v="8.2000000000000003E-2"/>
    <e v="#DIV/0!"/>
  </r>
  <r>
    <n v="23"/>
    <x v="34"/>
    <n v="0"/>
    <n v="0"/>
    <n v="0"/>
    <n v="0.14499999999999999"/>
    <e v="#DIV/0!"/>
  </r>
  <r>
    <n v="24"/>
    <x v="34"/>
    <n v="0"/>
    <n v="0"/>
    <n v="0"/>
    <n v="6.8000000000000005E-2"/>
    <e v="#DIV/0!"/>
  </r>
  <r>
    <n v="25"/>
    <x v="34"/>
    <n v="0"/>
    <n v="0"/>
    <n v="0"/>
    <n v="0.129"/>
    <e v="#DIV/0!"/>
  </r>
  <r>
    <n v="26"/>
    <x v="34"/>
    <n v="0"/>
    <n v="0"/>
    <n v="0"/>
    <n v="5.3999999999999999E-2"/>
    <e v="#DIV/0!"/>
  </r>
  <r>
    <n v="27"/>
    <x v="34"/>
    <n v="25.24"/>
    <n v="24.92"/>
    <n v="0.31999999999999673"/>
    <n v="7.6999999999999999E-2"/>
    <n v="1.5729001584785927E-2"/>
  </r>
  <r>
    <n v="28"/>
    <x v="34"/>
    <n v="0"/>
    <n v="0"/>
    <n v="0"/>
    <n v="0.154"/>
    <e v="#DIV/0!"/>
  </r>
  <r>
    <n v="29"/>
    <x v="34"/>
    <n v="0"/>
    <n v="0"/>
    <n v="0"/>
    <n v="9.9000000000000005E-2"/>
    <e v="#DIV/0!"/>
  </r>
  <r>
    <n v="30"/>
    <x v="34"/>
    <n v="0"/>
    <n v="0"/>
    <n v="0"/>
    <n v="0.09"/>
    <e v="#DIV/0!"/>
  </r>
  <r>
    <n v="31"/>
    <x v="34"/>
    <n v="0"/>
    <n v="0"/>
    <n v="0"/>
    <n v="0.107"/>
    <e v="#DIV/0!"/>
  </r>
  <r>
    <n v="1"/>
    <x v="35"/>
    <n v="0"/>
    <n v="0"/>
    <n v="0"/>
    <n v="0.186"/>
    <e v="#DIV/0!"/>
  </r>
  <r>
    <n v="2"/>
    <x v="35"/>
    <n v="0"/>
    <n v="0"/>
    <n v="0"/>
    <n v="0.08"/>
    <e v="#DIV/0!"/>
  </r>
  <r>
    <n v="3"/>
    <x v="35"/>
    <n v="0"/>
    <n v="0"/>
    <n v="0"/>
    <n v="7.0000000000000007E-2"/>
    <e v="#DIV/0!"/>
  </r>
  <r>
    <n v="4"/>
    <x v="35"/>
    <n v="20"/>
    <n v="19.78"/>
    <n v="0.21999999999999886"/>
    <n v="0.17599999999999999"/>
    <n v="1.9799999999999943E-2"/>
  </r>
  <r>
    <n v="5"/>
    <x v="35"/>
    <n v="0"/>
    <n v="0"/>
    <n v="0"/>
    <n v="0.04"/>
    <e v="#DIV/0!"/>
  </r>
  <r>
    <n v="6"/>
    <x v="35"/>
    <n v="0"/>
    <n v="0"/>
    <n v="0"/>
    <n v="0.16"/>
    <e v="#DIV/0!"/>
  </r>
  <r>
    <n v="7"/>
    <x v="35"/>
    <n v="0"/>
    <n v="0"/>
    <n v="0"/>
    <n v="0.193"/>
    <e v="#DIV/0!"/>
  </r>
  <r>
    <n v="10"/>
    <x v="35"/>
    <n v="0"/>
    <n v="0"/>
    <n v="0"/>
    <n v="6.4999999999999947E-2"/>
    <e v="#DIV/0!"/>
  </r>
  <r>
    <n v="8"/>
    <x v="35"/>
    <n v="0"/>
    <n v="0"/>
    <n v="0"/>
    <n v="0.12"/>
    <e v="#DIV/0!"/>
  </r>
  <r>
    <n v="9"/>
    <x v="35"/>
    <n v="0"/>
    <n v="0"/>
    <n v="0"/>
    <n v="6.7000000000000004E-2"/>
    <e v="#DIV/0!"/>
  </r>
  <r>
    <n v="11"/>
    <x v="35"/>
    <n v="0"/>
    <n v="0"/>
    <n v="0"/>
    <n v="8.5000000000000006E-2"/>
    <e v="#DIV/0!"/>
  </r>
  <r>
    <n v="12"/>
    <x v="35"/>
    <n v="0"/>
    <n v="0"/>
    <n v="0"/>
    <n v="0.08"/>
    <e v="#DIV/0!"/>
  </r>
  <r>
    <n v="13"/>
    <x v="35"/>
    <n v="0"/>
    <n v="0"/>
    <n v="0"/>
    <n v="0.05"/>
    <e v="#DIV/0!"/>
  </r>
  <r>
    <n v="14"/>
    <x v="35"/>
    <n v="20"/>
    <n v="20"/>
    <n v="0"/>
    <n v="0.105"/>
    <n v="5.2499999999999995E-3"/>
  </r>
  <r>
    <n v="15"/>
    <x v="35"/>
    <n v="0"/>
    <n v="0"/>
    <n v="0"/>
    <n v="0.185"/>
    <e v="#DIV/0!"/>
  </r>
  <r>
    <n v="16"/>
    <x v="35"/>
    <n v="0"/>
    <n v="0"/>
    <n v="0"/>
    <n v="1.4999999999999999E-2"/>
    <e v="#DIV/0!"/>
  </r>
  <r>
    <n v="17"/>
    <x v="35"/>
    <n v="0"/>
    <n v="0"/>
    <n v="0"/>
    <n v="0.01"/>
    <e v="#DIV/0!"/>
  </r>
  <r>
    <n v="18"/>
    <x v="35"/>
    <n v="0"/>
    <n v="0"/>
    <n v="0"/>
    <n v="0.105"/>
    <e v="#DIV/0!"/>
  </r>
  <r>
    <n v="19"/>
    <x v="35"/>
    <n v="0"/>
    <n v="0"/>
    <n v="0"/>
    <n v="4.4999999999999998E-2"/>
    <e v="#DIV/0!"/>
  </r>
  <r>
    <n v="20"/>
    <x v="35"/>
    <n v="0"/>
    <n v="0"/>
    <n v="0"/>
    <n v="0.13"/>
    <e v="#DIV/0!"/>
  </r>
  <r>
    <n v="21"/>
    <x v="35"/>
    <n v="0"/>
    <n v="0"/>
    <n v="0"/>
    <n v="0.17"/>
    <e v="#DIV/0!"/>
  </r>
  <r>
    <n v="22"/>
    <x v="35"/>
    <n v="0"/>
    <n v="0"/>
    <n v="0"/>
    <n v="8.2000000000000003E-2"/>
    <e v="#DIV/0!"/>
  </r>
  <r>
    <n v="23"/>
    <x v="35"/>
    <n v="0"/>
    <n v="0"/>
    <n v="0"/>
    <n v="0.109"/>
    <e v="#DIV/0!"/>
  </r>
  <r>
    <n v="24"/>
    <x v="35"/>
    <n v="0"/>
    <n v="0"/>
    <n v="0"/>
    <n v="9.9000000000000005E-2"/>
    <e v="#DIV/0!"/>
  </r>
  <r>
    <n v="25"/>
    <x v="35"/>
    <n v="20"/>
    <n v="19.809999999999999"/>
    <n v="0.19000000000000128"/>
    <n v="0.15"/>
    <n v="1.7000000000000064E-2"/>
  </r>
  <r>
    <n v="26"/>
    <x v="35"/>
    <n v="0"/>
    <n v="0"/>
    <n v="0"/>
    <n v="0.14499999999999999"/>
    <e v="#DIV/0!"/>
  </r>
  <r>
    <n v="27"/>
    <x v="35"/>
    <n v="0"/>
    <n v="0"/>
    <n v="0"/>
    <n v="0.1"/>
    <e v="#DIV/0!"/>
  </r>
  <r>
    <n v="28"/>
    <x v="35"/>
    <n v="0"/>
    <n v="0"/>
    <n v="0"/>
    <n v="9.8000000000000004E-2"/>
    <e v="#DIV/0!"/>
  </r>
  <r>
    <n v="29"/>
    <x v="35"/>
    <n v="25"/>
    <n v="24.7"/>
    <n v="0.30000000000000071"/>
    <n v="2.7E-2"/>
    <n v="1.3080000000000029E-2"/>
  </r>
  <r>
    <n v="30"/>
    <x v="35"/>
    <n v="0"/>
    <n v="0"/>
    <n v="0"/>
    <n v="0.17499999999999999"/>
    <e v="#DIV/0!"/>
  </r>
  <r>
    <n v="31"/>
    <x v="35"/>
    <n v="0"/>
    <n v="0"/>
    <n v="0"/>
    <n v="0.21"/>
    <e v="#DIV/0!"/>
  </r>
  <r>
    <n v="1"/>
    <x v="36"/>
    <n v="0"/>
    <n v="0"/>
    <n v="0"/>
    <n v="0"/>
    <e v="#DIV/0!"/>
  </r>
  <r>
    <n v="2"/>
    <x v="36"/>
    <n v="0"/>
    <n v="0"/>
    <n v="0"/>
    <n v="0.17"/>
    <e v="#DIV/0!"/>
  </r>
  <r>
    <n v="3"/>
    <x v="36"/>
    <n v="0"/>
    <n v="0"/>
    <n v="0"/>
    <n v="0"/>
    <e v="#DIV/0!"/>
  </r>
  <r>
    <n v="4"/>
    <x v="36"/>
    <n v="0"/>
    <n v="0"/>
    <n v="0"/>
    <n v="0"/>
    <e v="#DIV/0!"/>
  </r>
  <r>
    <n v="5"/>
    <x v="36"/>
    <n v="0"/>
    <n v="0"/>
    <n v="0"/>
    <n v="0"/>
    <e v="#DIV/0!"/>
  </r>
  <r>
    <n v="6"/>
    <x v="36"/>
    <n v="20"/>
    <n v="19.87"/>
    <n v="0.12999999999999901"/>
    <n v="0.09"/>
    <n v="1.0999999999999951E-2"/>
  </r>
  <r>
    <n v="7"/>
    <x v="36"/>
    <n v="0"/>
    <n v="0"/>
    <n v="0"/>
    <n v="0"/>
    <e v="#DIV/0!"/>
  </r>
  <r>
    <n v="8"/>
    <x v="36"/>
    <n v="0"/>
    <n v="0"/>
    <n v="0"/>
    <n v="0"/>
    <e v="#DIV/0!"/>
  </r>
  <r>
    <n v="9"/>
    <x v="36"/>
    <n v="0"/>
    <n v="0"/>
    <n v="0"/>
    <n v="0"/>
    <e v="#DIV/0!"/>
  </r>
  <r>
    <n v="10"/>
    <x v="36"/>
    <n v="0"/>
    <n v="0"/>
    <n v="0"/>
    <n v="0"/>
    <e v="#DIV/0!"/>
  </r>
  <r>
    <n v="11"/>
    <x v="36"/>
    <n v="0"/>
    <n v="0"/>
    <n v="0"/>
    <n v="0"/>
    <e v="#DIV/0!"/>
  </r>
  <r>
    <n v="12"/>
    <x v="36"/>
    <n v="0"/>
    <n v="0"/>
    <n v="0"/>
    <n v="0"/>
    <e v="#DIV/0!"/>
  </r>
  <r>
    <n v="13"/>
    <x v="36"/>
    <n v="0"/>
    <n v="0"/>
    <n v="0"/>
    <n v="0"/>
    <e v="#DIV/0!"/>
  </r>
  <r>
    <n v="14"/>
    <x v="36"/>
    <n v="0"/>
    <n v="0"/>
    <n v="0"/>
    <n v="0"/>
    <e v="#DIV/0!"/>
  </r>
  <r>
    <n v="15"/>
    <x v="36"/>
    <n v="0"/>
    <n v="0"/>
    <n v="0"/>
    <n v="0"/>
    <e v="#DIV/0!"/>
  </r>
  <r>
    <n v="16"/>
    <x v="36"/>
    <n v="0"/>
    <n v="0"/>
    <n v="0"/>
    <n v="0"/>
    <e v="#DIV/0!"/>
  </r>
  <r>
    <n v="17"/>
    <x v="36"/>
    <n v="0"/>
    <n v="0"/>
    <n v="0"/>
    <n v="0"/>
    <e v="#DIV/0!"/>
  </r>
  <r>
    <n v="18"/>
    <x v="36"/>
    <n v="0"/>
    <n v="0"/>
    <n v="0"/>
    <n v="0"/>
    <e v="#DIV/0!"/>
  </r>
  <r>
    <n v="19"/>
    <x v="36"/>
    <n v="0"/>
    <n v="0"/>
    <n v="0"/>
    <n v="0"/>
    <e v="#DIV/0!"/>
  </r>
  <r>
    <n v="20"/>
    <x v="36"/>
    <n v="0"/>
    <n v="0"/>
    <n v="0"/>
    <n v="0"/>
    <e v="#DIV/0!"/>
  </r>
  <r>
    <n v="21"/>
    <x v="36"/>
    <n v="0"/>
    <n v="0"/>
    <n v="0"/>
    <n v="0"/>
    <e v="#DIV/0!"/>
  </r>
  <r>
    <n v="22"/>
    <x v="36"/>
    <n v="0"/>
    <n v="0"/>
    <n v="0"/>
    <n v="0"/>
    <e v="#DIV/0!"/>
  </r>
  <r>
    <n v="23"/>
    <x v="36"/>
    <n v="0"/>
    <n v="0"/>
    <n v="0"/>
    <n v="0"/>
    <e v="#DIV/0!"/>
  </r>
  <r>
    <n v="24"/>
    <x v="36"/>
    <n v="0"/>
    <n v="0"/>
    <n v="0"/>
    <n v="0"/>
    <e v="#DIV/0!"/>
  </r>
  <r>
    <n v="25"/>
    <x v="36"/>
    <n v="0"/>
    <n v="0"/>
    <n v="0"/>
    <n v="0"/>
    <e v="#DIV/0!"/>
  </r>
  <r>
    <n v="26"/>
    <x v="36"/>
    <n v="20"/>
    <n v="19.829999999999998"/>
    <n v="0.17000000000000171"/>
    <n v="0.17"/>
    <n v="1.7000000000000088E-2"/>
  </r>
  <r>
    <n v="27"/>
    <x v="36"/>
    <n v="0"/>
    <n v="0"/>
    <n v="0"/>
    <n v="0"/>
    <e v="#DIV/0!"/>
  </r>
  <r>
    <n v="28"/>
    <x v="36"/>
    <n v="0"/>
    <n v="0"/>
    <n v="0"/>
    <n v="8.8999999999999996E-2"/>
    <e v="#DIV/0!"/>
  </r>
  <r>
    <n v="29"/>
    <x v="36"/>
    <n v="0"/>
    <n v="0"/>
    <n v="0"/>
    <n v="0"/>
    <e v="#DIV/0!"/>
  </r>
  <r>
    <n v="30"/>
    <x v="36"/>
    <n v="0"/>
    <n v="0"/>
    <n v="0"/>
    <n v="0"/>
    <e v="#DIV/0!"/>
  </r>
  <r>
    <n v="31"/>
    <x v="36"/>
    <n v="10"/>
    <n v="9.89"/>
    <n v="0.10999999999999943"/>
    <n v="0"/>
    <n v="1.0999999999999944E-2"/>
  </r>
  <r>
    <n v="1"/>
    <x v="37"/>
    <n v="0"/>
    <n v="0"/>
    <n v="0"/>
    <n v="0.12"/>
    <e v="#DIV/0!"/>
  </r>
  <r>
    <n v="2"/>
    <x v="37"/>
    <n v="0"/>
    <n v="0"/>
    <n v="0"/>
    <n v="0.14499999999999999"/>
    <e v="#DIV/0!"/>
  </r>
  <r>
    <n v="3"/>
    <x v="37"/>
    <n v="0"/>
    <n v="0"/>
    <n v="0"/>
    <n v="0.11"/>
    <e v="#DIV/0!"/>
  </r>
  <r>
    <n v="4"/>
    <x v="37"/>
    <n v="20"/>
    <n v="19.940000000000001"/>
    <n v="5.9999999999998721E-2"/>
    <n v="0.12"/>
    <n v="8.9999999999999351E-3"/>
  </r>
  <r>
    <n v="5"/>
    <x v="37"/>
    <n v="0"/>
    <n v="0"/>
    <n v="0"/>
    <n v="9.9999999999997868E-2"/>
    <e v="#DIV/0!"/>
  </r>
  <r>
    <n v="6"/>
    <x v="37"/>
    <n v="0"/>
    <n v="0"/>
    <n v="0"/>
    <n v="0.155"/>
    <e v="#DIV/0!"/>
  </r>
  <r>
    <n v="7"/>
    <x v="37"/>
    <n v="0"/>
    <n v="0"/>
    <n v="0"/>
    <n v="0.15"/>
    <e v="#DIV/0!"/>
  </r>
  <r>
    <n v="8"/>
    <x v="37"/>
    <n v="0"/>
    <n v="0"/>
    <n v="0"/>
    <n v="0.16"/>
    <e v="#DIV/0!"/>
  </r>
  <r>
    <n v="9"/>
    <x v="37"/>
    <n v="0"/>
    <n v="0"/>
    <n v="0"/>
    <n v="0.1949999999999994"/>
    <e v="#DIV/0!"/>
  </r>
  <r>
    <n v="10"/>
    <x v="37"/>
    <n v="20"/>
    <n v="19.73"/>
    <n v="0.26999999999999957"/>
    <n v="0.14000000000000057"/>
    <n v="2.0500000000000008E-2"/>
  </r>
  <r>
    <n v="11"/>
    <x v="37"/>
    <n v="0"/>
    <n v="0"/>
    <n v="0"/>
    <n v="0.13"/>
    <e v="#DIV/0!"/>
  </r>
  <r>
    <n v="12"/>
    <x v="37"/>
    <n v="0"/>
    <n v="0"/>
    <n v="0"/>
    <n v="0.125"/>
    <e v="#DIV/0!"/>
  </r>
  <r>
    <n v="13"/>
    <x v="37"/>
    <n v="0"/>
    <n v="0"/>
    <n v="0"/>
    <n v="0.105"/>
    <e v="#DIV/0!"/>
  </r>
  <r>
    <n v="14"/>
    <x v="37"/>
    <n v="0"/>
    <n v="0"/>
    <n v="0"/>
    <n v="0.155"/>
    <e v="#DIV/0!"/>
  </r>
  <r>
    <n v="15"/>
    <x v="37"/>
    <n v="0"/>
    <n v="0"/>
    <n v="0"/>
    <n v="0.17"/>
    <e v="#DIV/0!"/>
  </r>
  <r>
    <n v="16"/>
    <x v="37"/>
    <n v="0"/>
    <n v="0"/>
    <n v="0"/>
    <n v="0.13500000000000001"/>
    <e v="#DIV/0!"/>
  </r>
  <r>
    <n v="17"/>
    <x v="37"/>
    <n v="0"/>
    <n v="0"/>
    <n v="0"/>
    <n v="0.14000000000000001"/>
    <e v="#DIV/0!"/>
  </r>
  <r>
    <n v="18"/>
    <x v="37"/>
    <n v="0"/>
    <n v="0"/>
    <n v="0"/>
    <n v="0.115"/>
    <e v="#DIV/0!"/>
  </r>
  <r>
    <n v="19"/>
    <x v="37"/>
    <n v="0"/>
    <n v="0"/>
    <n v="0"/>
    <n v="0.16"/>
    <e v="#DIV/0!"/>
  </r>
  <r>
    <n v="20"/>
    <x v="37"/>
    <n v="0"/>
    <n v="0"/>
    <n v="0"/>
    <n v="0.12"/>
    <e v="#DIV/0!"/>
  </r>
  <r>
    <n v="21"/>
    <x v="37"/>
    <n v="0"/>
    <n v="0"/>
    <n v="0"/>
    <n v="0.12"/>
    <e v="#DIV/0!"/>
  </r>
  <r>
    <n v="22"/>
    <x v="37"/>
    <n v="0"/>
    <n v="0"/>
    <n v="0"/>
    <n v="0.13500000000000001"/>
    <e v="#DIV/0!"/>
  </r>
  <r>
    <n v="23"/>
    <x v="37"/>
    <n v="20"/>
    <n v="19.61"/>
    <n v="0.39000000000000057"/>
    <n v="0.14499999999999999"/>
    <n v="2.6750000000000031E-2"/>
  </r>
  <r>
    <n v="24"/>
    <x v="37"/>
    <n v="0"/>
    <n v="0"/>
    <n v="0"/>
    <n v="0.125"/>
    <e v="#DIV/0!"/>
  </r>
  <r>
    <n v="25"/>
    <x v="37"/>
    <n v="0"/>
    <n v="0"/>
    <n v="0"/>
    <n v="0.111"/>
    <e v="#DIV/0!"/>
  </r>
  <r>
    <n v="26"/>
    <x v="37"/>
    <n v="0"/>
    <n v="0"/>
    <n v="0"/>
    <n v="0"/>
    <e v="#DIV/0!"/>
  </r>
  <r>
    <n v="27"/>
    <x v="37"/>
    <n v="0"/>
    <n v="0"/>
    <n v="0"/>
    <n v="0.16500000000000001"/>
    <e v="#DIV/0!"/>
  </r>
  <r>
    <n v="28"/>
    <x v="37"/>
    <n v="20"/>
    <n v="19.72"/>
    <n v="0.28000000000000114"/>
    <n v="0.121"/>
    <n v="2.0050000000000057E-2"/>
  </r>
  <r>
    <n v="29"/>
    <x v="37"/>
    <n v="0"/>
    <n v="0"/>
    <n v="0"/>
    <n v="0.1"/>
    <e v="#DIV/0!"/>
  </r>
  <r>
    <n v="30"/>
    <x v="37"/>
    <n v="0"/>
    <n v="0"/>
    <n v="0"/>
    <n v="0.14499999999999999"/>
    <e v="#DIV/0!"/>
  </r>
  <r>
    <n v="31"/>
    <x v="37"/>
    <n v="0"/>
    <n v="0"/>
    <n v="0"/>
    <n v="0.105"/>
    <e v="#DIV/0!"/>
  </r>
  <r>
    <n v="1"/>
    <x v="38"/>
    <n v="20"/>
    <n v="19.78"/>
    <n v="0.21999999999999886"/>
    <n v="0.14199999999999999"/>
    <n v="1.8099999999999943E-2"/>
  </r>
  <r>
    <n v="2"/>
    <x v="38"/>
    <n v="0"/>
    <n v="0"/>
    <n v="0"/>
    <n v="0"/>
    <e v="#DIV/0!"/>
  </r>
  <r>
    <n v="3"/>
    <x v="38"/>
    <n v="20"/>
    <n v="19.899999999999999"/>
    <n v="0.10000000000000142"/>
    <n v="0.379"/>
    <n v="2.3950000000000072E-2"/>
  </r>
  <r>
    <n v="4"/>
    <x v="38"/>
    <n v="0"/>
    <n v="0"/>
    <n v="0"/>
    <n v="9.6000000000000002E-2"/>
    <e v="#DIV/0!"/>
  </r>
  <r>
    <n v="5"/>
    <x v="38"/>
    <n v="0"/>
    <n v="0"/>
    <n v="0"/>
    <n v="0.06"/>
    <e v="#DIV/0!"/>
  </r>
  <r>
    <n v="6"/>
    <x v="38"/>
    <n v="0"/>
    <n v="0"/>
    <n v="0"/>
    <n v="0"/>
    <e v="#DIV/0!"/>
  </r>
  <r>
    <n v="7"/>
    <x v="38"/>
    <n v="20"/>
    <n v="18.46"/>
    <n v="1.5399999999999991"/>
    <n v="3.9000000000003254E-2"/>
    <n v="7.8950000000000117E-2"/>
  </r>
  <r>
    <n v="8"/>
    <x v="38"/>
    <n v="0"/>
    <n v="0"/>
    <n v="0"/>
    <n v="6.9000000000000006E-2"/>
    <e v="#DIV/0!"/>
  </r>
  <r>
    <n v="9"/>
    <x v="38"/>
    <n v="0"/>
    <n v="0"/>
    <n v="0"/>
    <n v="0.17"/>
    <e v="#DIV/0!"/>
  </r>
  <r>
    <n v="10"/>
    <x v="38"/>
    <n v="0"/>
    <n v="0"/>
    <n v="0"/>
    <n v="0.161"/>
    <e v="#DIV/0!"/>
  </r>
  <r>
    <n v="11"/>
    <x v="38"/>
    <n v="0"/>
    <n v="0"/>
    <n v="0"/>
    <n v="6.4000000000000057E-2"/>
    <e v="#DIV/0!"/>
  </r>
  <r>
    <n v="12"/>
    <x v="38"/>
    <n v="0"/>
    <n v="0"/>
    <n v="0"/>
    <n v="7.0999999999999994E-2"/>
    <e v="#DIV/0!"/>
  </r>
  <r>
    <n v="13"/>
    <x v="38"/>
    <n v="10"/>
    <n v="10"/>
    <n v="0"/>
    <n v="0.17799999999999999"/>
    <n v="1.78E-2"/>
  </r>
  <r>
    <n v="14"/>
    <x v="38"/>
    <n v="0"/>
    <n v="0"/>
    <n v="0"/>
    <n v="8.7999999999999995E-2"/>
    <e v="#DIV/0!"/>
  </r>
  <r>
    <n v="15"/>
    <x v="38"/>
    <n v="0"/>
    <n v="0"/>
    <n v="0"/>
    <n v="-0.14599999999999999"/>
    <e v="#DIV/0!"/>
  </r>
  <r>
    <n v="16"/>
    <x v="38"/>
    <n v="20"/>
    <n v="19.78"/>
    <n v="0.21999999999999886"/>
    <n v="0.14199999999999999"/>
    <n v="1.8099999999999943E-2"/>
  </r>
  <r>
    <n v="17"/>
    <x v="38"/>
    <n v="0"/>
    <n v="0"/>
    <n v="0"/>
    <n v="3.5999999999999997E-2"/>
    <e v="#DIV/0!"/>
  </r>
  <r>
    <n v="18"/>
    <x v="38"/>
    <n v="10"/>
    <n v="10"/>
    <n v="0"/>
    <n v="0.36099999999999999"/>
    <n v="3.61E-2"/>
  </r>
  <r>
    <n v="19"/>
    <x v="38"/>
    <n v="0"/>
    <n v="0"/>
    <n v="0"/>
    <n v="8.8999999999999996E-2"/>
    <e v="#DIV/0!"/>
  </r>
  <r>
    <n v="20"/>
    <x v="38"/>
    <n v="0"/>
    <n v="0"/>
    <n v="0"/>
    <n v="0.08"/>
    <e v="#DIV/0!"/>
  </r>
  <r>
    <n v="21"/>
    <x v="38"/>
    <n v="0"/>
    <n v="0"/>
    <n v="0"/>
    <n v="5.8999999999999997E-2"/>
    <e v="#DIV/0!"/>
  </r>
  <r>
    <n v="22"/>
    <x v="38"/>
    <n v="10"/>
    <n v="10"/>
    <n v="0"/>
    <n v="0.107"/>
    <n v="1.0699999999999999E-2"/>
  </r>
  <r>
    <n v="23"/>
    <x v="38"/>
    <n v="0"/>
    <n v="0"/>
    <n v="0"/>
    <n v="2.9000000000000001E-2"/>
    <e v="#DIV/0!"/>
  </r>
  <r>
    <n v="24"/>
    <x v="38"/>
    <n v="10"/>
    <n v="10"/>
    <n v="0"/>
    <n v="7.4999999999999997E-2"/>
    <n v="7.4999999999999997E-3"/>
  </r>
  <r>
    <n v="25"/>
    <x v="38"/>
    <n v="0"/>
    <n v="0"/>
    <n v="0"/>
    <n v="3.4000000000000002E-2"/>
    <e v="#DIV/0!"/>
  </r>
  <r>
    <n v="26"/>
    <x v="38"/>
    <n v="0"/>
    <n v="0"/>
    <n v="0"/>
    <n v="1.0999999999999999E-2"/>
    <e v="#DIV/0!"/>
  </r>
  <r>
    <n v="27"/>
    <x v="38"/>
    <n v="20"/>
    <n v="19.82"/>
    <n v="0.17999999999999972"/>
    <n v="9.6000000000000002E-2"/>
    <n v="1.3799999999999984E-2"/>
  </r>
  <r>
    <n v="28"/>
    <x v="38"/>
    <n v="0"/>
    <n v="0"/>
    <n v="0"/>
    <n v="2.9000000000000001E-2"/>
    <e v="#DIV/0!"/>
  </r>
  <r>
    <n v="29"/>
    <x v="38"/>
    <n v="0"/>
    <n v="0"/>
    <n v="0"/>
    <n v="0"/>
    <e v="#DIV/0!"/>
  </r>
  <r>
    <n v="30"/>
    <x v="38"/>
    <n v="0"/>
    <n v="0"/>
    <n v="0"/>
    <n v="0.08"/>
    <e v="#DIV/0!"/>
  </r>
  <r>
    <n v="31"/>
    <x v="38"/>
    <n v="0"/>
    <n v="0"/>
    <n v="0"/>
    <n v="5.5E-2"/>
    <e v="#DIV/0!"/>
  </r>
  <r>
    <n v="1"/>
    <x v="39"/>
    <n v="0"/>
    <n v="0"/>
    <n v="0"/>
    <n v="0"/>
    <e v="#DIV/0!"/>
  </r>
  <r>
    <n v="2"/>
    <x v="39"/>
    <n v="0"/>
    <n v="0"/>
    <n v="0"/>
    <n v="0"/>
    <e v="#DIV/0!"/>
  </r>
  <r>
    <n v="3"/>
    <x v="39"/>
    <n v="20"/>
    <n v="19.850000000000001"/>
    <n v="0.14999999999999858"/>
    <n v="5.5E-2"/>
    <n v="1.0249999999999929E-2"/>
  </r>
  <r>
    <n v="4"/>
    <x v="39"/>
    <n v="20"/>
    <n v="19.11"/>
    <n v="0.89000000000000057"/>
    <n v="7.4999999999999997E-2"/>
    <n v="4.8250000000000029E-2"/>
  </r>
  <r>
    <n v="5"/>
    <x v="39"/>
    <n v="0"/>
    <n v="0"/>
    <n v="0"/>
    <n v="5.1999999999999998E-2"/>
    <e v="#DIV/0!"/>
  </r>
  <r>
    <n v="6"/>
    <x v="39"/>
    <n v="20"/>
    <n v="19.850000000000001"/>
    <n v="0.14999999999999858"/>
    <n v="3.3000000000000002E-2"/>
    <n v="9.149999999999929E-3"/>
  </r>
  <r>
    <n v="7"/>
    <x v="39"/>
    <n v="0"/>
    <n v="0"/>
    <n v="0"/>
    <n v="7.3999999999999996E-2"/>
    <e v="#DIV/0!"/>
  </r>
  <r>
    <n v="8"/>
    <x v="39"/>
    <n v="0"/>
    <n v="0"/>
    <n v="0"/>
    <n v="1.2999999999999999E-2"/>
    <e v="#DIV/0!"/>
  </r>
  <r>
    <n v="9"/>
    <x v="39"/>
    <n v="20"/>
    <n v="19.079999999999998"/>
    <n v="0.92000000000000171"/>
    <n v="5.1999999999999998E-2"/>
    <n v="4.8600000000000088E-2"/>
  </r>
  <r>
    <n v="10"/>
    <x v="39"/>
    <n v="0"/>
    <n v="0"/>
    <n v="0"/>
    <n v="5.1999999999999998E-2"/>
    <e v="#DIV/0!"/>
  </r>
  <r>
    <n v="11"/>
    <x v="39"/>
    <n v="20"/>
    <n v="18.96"/>
    <n v="1.0399999999999991"/>
    <n v="7.2999999999999995E-2"/>
    <n v="5.5649999999999956E-2"/>
  </r>
  <r>
    <n v="12"/>
    <x v="39"/>
    <n v="0"/>
    <n v="0"/>
    <n v="0"/>
    <n v="0.03"/>
    <e v="#DIV/0!"/>
  </r>
  <r>
    <n v="13"/>
    <x v="39"/>
    <n v="0"/>
    <n v="0"/>
    <n v="0"/>
    <n v="0.11900000000000066"/>
    <e v="#DIV/0!"/>
  </r>
  <r>
    <n v="14"/>
    <x v="39"/>
    <n v="0"/>
    <n v="0"/>
    <n v="0"/>
    <n v="0"/>
    <e v="#DIV/0!"/>
  </r>
  <r>
    <n v="15"/>
    <x v="39"/>
    <n v="0"/>
    <n v="0"/>
    <n v="0"/>
    <n v="7.0000000000000001E-3"/>
    <e v="#DIV/0!"/>
  </r>
  <r>
    <n v="16"/>
    <x v="39"/>
    <n v="0"/>
    <n v="0"/>
    <n v="0"/>
    <n v="2.2000000000000242E-2"/>
    <e v="#DIV/0!"/>
  </r>
  <r>
    <n v="17"/>
    <x v="39"/>
    <n v="0"/>
    <n v="0"/>
    <n v="0"/>
    <n v="5.6000000000000001E-2"/>
    <e v="#DIV/0!"/>
  </r>
  <r>
    <n v="18"/>
    <x v="39"/>
    <n v="10"/>
    <n v="9.6199999999999992"/>
    <n v="0.38000000000000078"/>
    <n v="0.06"/>
    <n v="4.4000000000000081E-2"/>
  </r>
  <r>
    <n v="19"/>
    <x v="39"/>
    <n v="11"/>
    <n v="10.62"/>
    <n v="0.38000000000000078"/>
    <n v="4.2999999999999997E-2"/>
    <n v="3.8454545454545526E-2"/>
  </r>
  <r>
    <n v="20"/>
    <x v="39"/>
    <n v="0"/>
    <n v="0"/>
    <n v="0"/>
    <n v="6.4000000000000001E-2"/>
    <e v="#DIV/0!"/>
  </r>
  <r>
    <n v="21"/>
    <x v="39"/>
    <n v="0"/>
    <n v="0"/>
    <n v="0"/>
    <n v="7.4999999999999997E-2"/>
    <e v="#DIV/0!"/>
  </r>
  <r>
    <n v="22"/>
    <x v="39"/>
    <n v="0"/>
    <n v="0"/>
    <n v="0"/>
    <n v="6.9000000000000006E-2"/>
    <e v="#DIV/0!"/>
  </r>
  <r>
    <n v="23"/>
    <x v="39"/>
    <n v="0"/>
    <n v="0"/>
    <n v="0"/>
    <n v="0.04"/>
    <e v="#DIV/0!"/>
  </r>
  <r>
    <n v="24"/>
    <x v="39"/>
    <n v="0"/>
    <n v="0"/>
    <n v="0"/>
    <n v="0.20100000000000001"/>
    <e v="#DIV/0!"/>
  </r>
  <r>
    <n v="25"/>
    <x v="39"/>
    <n v="0"/>
    <n v="0"/>
    <n v="0"/>
    <n v="0.10100000000000001"/>
    <e v="#DIV/0!"/>
  </r>
  <r>
    <n v="26"/>
    <x v="39"/>
    <n v="0"/>
    <n v="0"/>
    <n v="0"/>
    <n v="0.111"/>
    <e v="#DIV/0!"/>
  </r>
  <r>
    <n v="27"/>
    <x v="39"/>
    <n v="0"/>
    <n v="0"/>
    <n v="0"/>
    <n v="7.0000000000000001E-3"/>
    <e v="#DIV/0!"/>
  </r>
  <r>
    <n v="28"/>
    <x v="39"/>
    <n v="10"/>
    <n v="9.6300000000000008"/>
    <n v="0.36999999999999922"/>
    <n v="0.121"/>
    <n v="4.9099999999999921E-2"/>
  </r>
  <r>
    <n v="29"/>
    <x v="39"/>
    <n v="0"/>
    <n v="0"/>
    <n v="0"/>
    <n v="8.4000000000000005E-2"/>
    <e v="#DIV/0!"/>
  </r>
  <r>
    <n v="30"/>
    <x v="39"/>
    <n v="0"/>
    <n v="0"/>
    <n v="0"/>
    <n v="3.5000000000000003E-2"/>
    <e v="#DIV/0!"/>
  </r>
  <r>
    <n v="31"/>
    <x v="39"/>
    <n v="10"/>
    <n v="9.82"/>
    <n v="0.17999999999999972"/>
    <n v="5.0000000000000001E-3"/>
    <n v="1.8499999999999971E-2"/>
  </r>
  <r>
    <n v="1"/>
    <x v="40"/>
    <n v="0"/>
    <n v="0"/>
    <n v="0"/>
    <n v="0"/>
    <e v="#DIV/0!"/>
  </r>
  <r>
    <n v="2"/>
    <x v="40"/>
    <n v="0"/>
    <n v="0"/>
    <n v="0"/>
    <n v="0"/>
    <e v="#DIV/0!"/>
  </r>
  <r>
    <n v="3"/>
    <x v="40"/>
    <n v="0"/>
    <n v="0"/>
    <n v="0"/>
    <n v="0"/>
    <e v="#DIV/0!"/>
  </r>
  <r>
    <n v="4"/>
    <x v="40"/>
    <n v="0"/>
    <n v="0"/>
    <n v="0"/>
    <n v="0"/>
    <e v="#DIV/0!"/>
  </r>
  <r>
    <n v="5"/>
    <x v="40"/>
    <n v="0"/>
    <n v="0"/>
    <n v="0"/>
    <n v="0"/>
    <e v="#DIV/0!"/>
  </r>
  <r>
    <n v="6"/>
    <x v="40"/>
    <n v="0"/>
    <n v="0"/>
    <n v="0"/>
    <n v="0"/>
    <e v="#DIV/0!"/>
  </r>
  <r>
    <n v="7"/>
    <x v="40"/>
    <n v="0"/>
    <n v="0"/>
    <n v="0"/>
    <n v="0"/>
    <e v="#DIV/0!"/>
  </r>
  <r>
    <n v="8"/>
    <x v="40"/>
    <n v="0"/>
    <n v="0"/>
    <n v="0"/>
    <n v="0"/>
    <e v="#DIV/0!"/>
  </r>
  <r>
    <n v="9"/>
    <x v="40"/>
    <n v="0"/>
    <n v="0"/>
    <n v="0"/>
    <n v="0"/>
    <e v="#DIV/0!"/>
  </r>
  <r>
    <n v="10"/>
    <x v="40"/>
    <n v="0"/>
    <n v="0"/>
    <n v="0"/>
    <n v="0"/>
    <e v="#DIV/0!"/>
  </r>
  <r>
    <n v="11"/>
    <x v="40"/>
    <n v="0"/>
    <n v="0"/>
    <n v="0"/>
    <n v="0"/>
    <e v="#DIV/0!"/>
  </r>
  <r>
    <n v="12"/>
    <x v="40"/>
    <n v="0"/>
    <n v="0"/>
    <n v="0"/>
    <n v="0"/>
    <e v="#DIV/0!"/>
  </r>
  <r>
    <n v="13"/>
    <x v="40"/>
    <n v="0"/>
    <n v="0"/>
    <n v="0"/>
    <n v="0"/>
    <e v="#DIV/0!"/>
  </r>
  <r>
    <n v="14"/>
    <x v="40"/>
    <n v="0"/>
    <n v="0"/>
    <n v="0"/>
    <n v="0"/>
    <e v="#DIV/0!"/>
  </r>
  <r>
    <n v="15"/>
    <x v="40"/>
    <n v="20"/>
    <n v="19.87"/>
    <n v="0.12999999999999901"/>
    <n v="0.87"/>
    <n v="4.9999999999999947E-2"/>
  </r>
  <r>
    <n v="16"/>
    <x v="40"/>
    <n v="0"/>
    <n v="0"/>
    <n v="0"/>
    <n v="0.32500000000000001"/>
    <e v="#DIV/0!"/>
  </r>
  <r>
    <n v="17"/>
    <x v="40"/>
    <n v="0"/>
    <n v="0"/>
    <n v="0"/>
    <n v="0.185"/>
    <e v="#DIV/0!"/>
  </r>
  <r>
    <n v="18"/>
    <x v="40"/>
    <n v="0"/>
    <n v="0"/>
    <n v="0"/>
    <n v="0.22"/>
    <e v="#DIV/0!"/>
  </r>
  <r>
    <n v="19"/>
    <x v="40"/>
    <n v="0"/>
    <n v="0"/>
    <n v="0"/>
    <n v="0.1"/>
    <e v="#DIV/0!"/>
  </r>
  <r>
    <n v="20"/>
    <x v="40"/>
    <n v="0"/>
    <n v="0"/>
    <n v="0"/>
    <n v="-0.69499999999999995"/>
    <e v="#DIV/0!"/>
  </r>
  <r>
    <n v="21"/>
    <x v="40"/>
    <n v="0"/>
    <n v="0"/>
    <n v="0"/>
    <n v="0.255"/>
    <e v="#DIV/0!"/>
  </r>
  <r>
    <n v="22"/>
    <x v="40"/>
    <n v="0"/>
    <n v="0"/>
    <n v="0"/>
    <n v="0.11"/>
    <e v="#DIV/0!"/>
  </r>
  <r>
    <n v="23"/>
    <x v="40"/>
    <n v="0"/>
    <n v="0"/>
    <n v="0"/>
    <n v="0.35499999999999998"/>
    <e v="#DIV/0!"/>
  </r>
  <r>
    <n v="24"/>
    <x v="40"/>
    <n v="0"/>
    <n v="0"/>
    <n v="0"/>
    <n v="0.04"/>
    <e v="#DIV/0!"/>
  </r>
  <r>
    <n v="25"/>
    <x v="40"/>
    <n v="6.95"/>
    <n v="6.67"/>
    <n v="0.28000000000000025"/>
    <n v="5.5E-2"/>
    <n v="4.8201438848920898E-2"/>
  </r>
  <r>
    <n v="26"/>
    <x v="40"/>
    <n v="0"/>
    <n v="0"/>
    <n v="0"/>
    <n v="5.0000000000000001E-3"/>
    <e v="#DIV/0!"/>
  </r>
  <r>
    <n v="27"/>
    <x v="40"/>
    <n v="0"/>
    <n v="0"/>
    <n v="0"/>
    <n v="4.4999999999999998E-2"/>
    <e v="#DIV/0!"/>
  </r>
  <r>
    <n v="28"/>
    <x v="40"/>
    <n v="0"/>
    <n v="0"/>
    <n v="0"/>
    <n v="-3.3499999999999988"/>
    <e v="#DIV/0!"/>
  </r>
  <r>
    <n v="29"/>
    <x v="40"/>
    <n v="0"/>
    <n v="0"/>
    <n v="0"/>
    <n v="0.12"/>
    <e v="#DIV/0!"/>
  </r>
  <r>
    <n v="30"/>
    <x v="40"/>
    <n v="0"/>
    <n v="0"/>
    <n v="0"/>
    <n v="0.2"/>
    <e v="#DIV/0!"/>
  </r>
  <r>
    <n v="31"/>
    <x v="40"/>
    <n v="0"/>
    <n v="0"/>
    <n v="0"/>
    <n v="0.05"/>
    <e v="#DIV/0!"/>
  </r>
  <r>
    <n v="1"/>
    <x v="41"/>
    <n v="0"/>
    <n v="0"/>
    <n v="0"/>
    <n v="0"/>
    <e v="#DIV/0!"/>
  </r>
  <r>
    <n v="2"/>
    <x v="41"/>
    <n v="0"/>
    <n v="0"/>
    <n v="0"/>
    <n v="0"/>
    <e v="#DIV/0!"/>
  </r>
  <r>
    <n v="3"/>
    <x v="41"/>
    <n v="0"/>
    <n v="0"/>
    <n v="0"/>
    <n v="0"/>
    <e v="#DIV/0!"/>
  </r>
  <r>
    <n v="4"/>
    <x v="41"/>
    <n v="0"/>
    <n v="0"/>
    <n v="0"/>
    <n v="0"/>
    <e v="#DIV/0!"/>
  </r>
  <r>
    <n v="5"/>
    <x v="41"/>
    <n v="0"/>
    <n v="0"/>
    <n v="0"/>
    <n v="0"/>
    <e v="#DIV/0!"/>
  </r>
  <r>
    <n v="6"/>
    <x v="41"/>
    <n v="0"/>
    <n v="0"/>
    <n v="0"/>
    <n v="0"/>
    <e v="#DIV/0!"/>
  </r>
  <r>
    <n v="7"/>
    <x v="41"/>
    <n v="0"/>
    <n v="0"/>
    <n v="0"/>
    <n v="0"/>
    <e v="#DIV/0!"/>
  </r>
  <r>
    <n v="8"/>
    <x v="41"/>
    <n v="0"/>
    <n v="0"/>
    <n v="0"/>
    <n v="0"/>
    <e v="#DIV/0!"/>
  </r>
  <r>
    <n v="9"/>
    <x v="41"/>
    <n v="0"/>
    <n v="0"/>
    <n v="0"/>
    <n v="0"/>
    <e v="#DIV/0!"/>
  </r>
  <r>
    <n v="10"/>
    <x v="41"/>
    <n v="0"/>
    <n v="0"/>
    <n v="0"/>
    <n v="0"/>
    <e v="#DIV/0!"/>
  </r>
  <r>
    <n v="11"/>
    <x v="41"/>
    <n v="0"/>
    <n v="0"/>
    <n v="0"/>
    <n v="0"/>
    <e v="#DIV/0!"/>
  </r>
  <r>
    <n v="12"/>
    <x v="41"/>
    <n v="0"/>
    <n v="0"/>
    <n v="0"/>
    <n v="0"/>
    <e v="#DIV/0!"/>
  </r>
  <r>
    <n v="13"/>
    <x v="41"/>
    <n v="0"/>
    <n v="0"/>
    <n v="0"/>
    <n v="0"/>
    <e v="#DIV/0!"/>
  </r>
  <r>
    <n v="14"/>
    <x v="41"/>
    <n v="0"/>
    <n v="0"/>
    <n v="0"/>
    <n v="0"/>
    <e v="#DIV/0!"/>
  </r>
  <r>
    <n v="15"/>
    <x v="41"/>
    <n v="0"/>
    <n v="0"/>
    <n v="0"/>
    <n v="0"/>
    <e v="#DIV/0!"/>
  </r>
  <r>
    <n v="16"/>
    <x v="41"/>
    <n v="0"/>
    <n v="0"/>
    <n v="0"/>
    <n v="0"/>
    <e v="#DIV/0!"/>
  </r>
  <r>
    <n v="17"/>
    <x v="41"/>
    <n v="20"/>
    <n v="19.75"/>
    <n v="0.25"/>
    <n v="4.4999999999999998E-2"/>
    <n v="1.4749999999999999E-2"/>
  </r>
  <r>
    <n v="18"/>
    <x v="41"/>
    <n v="0"/>
    <n v="0"/>
    <n v="0"/>
    <n v="0.14000000000000001"/>
    <e v="#DIV/0!"/>
  </r>
  <r>
    <n v="19"/>
    <x v="41"/>
    <n v="20"/>
    <n v="19.89"/>
    <n v="0.10999999999999943"/>
    <n v="0.18"/>
    <n v="1.4499999999999971E-2"/>
  </r>
  <r>
    <n v="20"/>
    <x v="41"/>
    <n v="0"/>
    <n v="0"/>
    <n v="0"/>
    <n v="0.17"/>
    <e v="#DIV/0!"/>
  </r>
  <r>
    <n v="21"/>
    <x v="41"/>
    <n v="0"/>
    <n v="0"/>
    <n v="0"/>
    <n v="0.17"/>
    <e v="#DIV/0!"/>
  </r>
  <r>
    <n v="22"/>
    <x v="41"/>
    <n v="0"/>
    <n v="0"/>
    <n v="0"/>
    <n v="0.1"/>
    <e v="#DIV/0!"/>
  </r>
  <r>
    <n v="23"/>
    <x v="41"/>
    <n v="0"/>
    <n v="0"/>
    <n v="0"/>
    <n v="0.155"/>
    <e v="#DIV/0!"/>
  </r>
  <r>
    <n v="24"/>
    <x v="41"/>
    <n v="0"/>
    <n v="0"/>
    <n v="0"/>
    <n v="0.15"/>
    <e v="#DIV/0!"/>
  </r>
  <r>
    <n v="25"/>
    <x v="41"/>
    <n v="20"/>
    <n v="19.88"/>
    <n v="0.12000000000000099"/>
    <n v="0.14499999999999999"/>
    <n v="1.325000000000005E-2"/>
  </r>
  <r>
    <n v="26"/>
    <x v="41"/>
    <n v="0"/>
    <n v="0"/>
    <n v="0"/>
    <n v="0.13"/>
    <e v="#DIV/0!"/>
  </r>
  <r>
    <n v="27"/>
    <x v="41"/>
    <n v="0"/>
    <n v="0"/>
    <n v="0"/>
    <n v="0.18"/>
    <e v="#DIV/0!"/>
  </r>
  <r>
    <n v="28"/>
    <x v="41"/>
    <n v="0"/>
    <n v="0"/>
    <n v="0"/>
    <n v="0.14499999999999999"/>
    <e v="#DIV/0!"/>
  </r>
  <r>
    <n v="29"/>
    <x v="41"/>
    <n v="0"/>
    <n v="0"/>
    <n v="0"/>
    <n v="6.0999999999999999E-2"/>
    <e v="#DIV/0!"/>
  </r>
  <r>
    <n v="30"/>
    <x v="41"/>
    <n v="3"/>
    <n v="2.98"/>
    <n v="2.0000000000000018E-2"/>
    <n v="2.5000000000000001E-2"/>
    <n v="1.5000000000000006E-2"/>
  </r>
  <r>
    <n v="31"/>
    <x v="41"/>
    <n v="3"/>
    <n v="3"/>
    <n v="0"/>
    <n v="3.9E-2"/>
    <n v="1.2999999999999999E-2"/>
  </r>
  <r>
    <n v="1"/>
    <x v="42"/>
    <n v="0"/>
    <n v="0"/>
    <n v="0"/>
    <n v="0"/>
    <e v="#DIV/0!"/>
  </r>
  <r>
    <n v="2"/>
    <x v="42"/>
    <n v="0"/>
    <n v="0"/>
    <n v="0"/>
    <n v="0"/>
    <e v="#DIV/0!"/>
  </r>
  <r>
    <n v="3"/>
    <x v="42"/>
    <n v="0"/>
    <n v="0"/>
    <n v="0"/>
    <n v="0"/>
    <e v="#DIV/0!"/>
  </r>
  <r>
    <n v="4"/>
    <x v="42"/>
    <n v="0"/>
    <n v="0"/>
    <n v="0"/>
    <n v="0"/>
    <e v="#DIV/0!"/>
  </r>
  <r>
    <n v="5"/>
    <x v="42"/>
    <n v="0"/>
    <n v="0"/>
    <n v="0"/>
    <n v="0"/>
    <e v="#DIV/0!"/>
  </r>
  <r>
    <n v="6"/>
    <x v="42"/>
    <n v="0"/>
    <n v="0"/>
    <n v="0"/>
    <n v="0"/>
    <e v="#DIV/0!"/>
  </r>
  <r>
    <n v="7"/>
    <x v="42"/>
    <n v="0"/>
    <n v="0"/>
    <n v="0"/>
    <n v="0"/>
    <e v="#DIV/0!"/>
  </r>
  <r>
    <n v="8"/>
    <x v="42"/>
    <n v="0"/>
    <n v="0"/>
    <n v="0"/>
    <n v="0"/>
    <e v="#DIV/0!"/>
  </r>
  <r>
    <n v="9"/>
    <x v="42"/>
    <n v="0"/>
    <n v="0"/>
    <n v="0"/>
    <n v="0"/>
    <e v="#DIV/0!"/>
  </r>
  <r>
    <n v="10"/>
    <x v="42"/>
    <n v="0"/>
    <n v="0"/>
    <n v="0"/>
    <n v="0"/>
    <e v="#DIV/0!"/>
  </r>
  <r>
    <n v="11"/>
    <x v="42"/>
    <n v="0"/>
    <n v="0"/>
    <n v="0"/>
    <n v="0"/>
    <e v="#DIV/0!"/>
  </r>
  <r>
    <n v="12"/>
    <x v="42"/>
    <n v="0"/>
    <n v="0"/>
    <n v="0"/>
    <n v="0"/>
    <e v="#DIV/0!"/>
  </r>
  <r>
    <n v="13"/>
    <x v="42"/>
    <n v="0"/>
    <n v="0"/>
    <n v="0"/>
    <n v="0"/>
    <e v="#DIV/0!"/>
  </r>
  <r>
    <n v="14"/>
    <x v="42"/>
    <n v="0"/>
    <n v="0"/>
    <n v="0"/>
    <n v="0"/>
    <e v="#DIV/0!"/>
  </r>
  <r>
    <n v="15"/>
    <x v="42"/>
    <n v="0"/>
    <n v="0"/>
    <n v="0"/>
    <n v="0"/>
    <e v="#DIV/0!"/>
  </r>
  <r>
    <n v="16"/>
    <x v="42"/>
    <n v="0"/>
    <n v="0"/>
    <n v="0"/>
    <n v="0"/>
    <e v="#DIV/0!"/>
  </r>
  <r>
    <n v="17"/>
    <x v="42"/>
    <n v="0"/>
    <n v="0"/>
    <n v="0"/>
    <n v="0"/>
    <e v="#DIV/0!"/>
  </r>
  <r>
    <n v="18"/>
    <x v="42"/>
    <n v="0"/>
    <n v="0"/>
    <n v="0"/>
    <n v="0"/>
    <e v="#DIV/0!"/>
  </r>
  <r>
    <n v="19"/>
    <x v="42"/>
    <n v="0"/>
    <n v="0"/>
    <n v="0"/>
    <n v="0"/>
    <e v="#DIV/0!"/>
  </r>
  <r>
    <n v="20"/>
    <x v="42"/>
    <n v="0"/>
    <n v="0"/>
    <n v="0"/>
    <n v="0"/>
    <e v="#DIV/0!"/>
  </r>
  <r>
    <n v="21"/>
    <x v="42"/>
    <n v="0"/>
    <n v="0"/>
    <n v="0"/>
    <n v="0"/>
    <e v="#DIV/0!"/>
  </r>
  <r>
    <n v="22"/>
    <x v="42"/>
    <n v="0"/>
    <n v="0"/>
    <n v="0"/>
    <n v="0"/>
    <e v="#DIV/0!"/>
  </r>
  <r>
    <n v="23"/>
    <x v="42"/>
    <n v="0"/>
    <n v="0"/>
    <n v="0"/>
    <n v="0"/>
    <e v="#DIV/0!"/>
  </r>
  <r>
    <n v="24"/>
    <x v="42"/>
    <n v="0"/>
    <n v="0"/>
    <n v="0"/>
    <n v="0"/>
    <e v="#DIV/0!"/>
  </r>
  <r>
    <n v="25"/>
    <x v="42"/>
    <n v="0"/>
    <n v="0"/>
    <n v="0"/>
    <n v="0"/>
    <e v="#DIV/0!"/>
  </r>
  <r>
    <n v="26"/>
    <x v="42"/>
    <n v="0"/>
    <n v="0"/>
    <n v="0"/>
    <n v="0"/>
    <e v="#DIV/0!"/>
  </r>
  <r>
    <n v="27"/>
    <x v="42"/>
    <n v="0"/>
    <n v="0"/>
    <n v="0"/>
    <n v="0"/>
    <e v="#DIV/0!"/>
  </r>
  <r>
    <n v="28"/>
    <x v="42"/>
    <n v="0"/>
    <n v="0"/>
    <n v="0"/>
    <n v="0"/>
    <e v="#DIV/0!"/>
  </r>
  <r>
    <n v="29"/>
    <x v="42"/>
    <n v="20"/>
    <n v="19.84"/>
    <n v="0.16000000000000014"/>
    <n v="0"/>
    <n v="8.0000000000000071E-3"/>
  </r>
  <r>
    <n v="30"/>
    <x v="42"/>
    <n v="20"/>
    <n v="19.84"/>
    <n v="0.16000000000000014"/>
    <n v="0"/>
    <n v="8.0000000000000071E-3"/>
  </r>
  <r>
    <n v="31"/>
    <x v="42"/>
    <n v="20"/>
    <n v="19.829999999999998"/>
    <n v="0.17000000000000171"/>
    <n v="0.13600000000000001"/>
    <n v="1.5300000000000086E-2"/>
  </r>
  <r>
    <n v="1"/>
    <x v="43"/>
    <n v="0"/>
    <n v="0"/>
    <n v="0"/>
    <n v="0"/>
    <e v="#DIV/0!"/>
  </r>
  <r>
    <n v="2"/>
    <x v="43"/>
    <n v="0"/>
    <n v="0"/>
    <n v="0"/>
    <n v="0"/>
    <e v="#DIV/0!"/>
  </r>
  <r>
    <n v="3"/>
    <x v="43"/>
    <n v="0"/>
    <n v="0"/>
    <n v="0"/>
    <n v="0"/>
    <e v="#DIV/0!"/>
  </r>
  <r>
    <n v="4"/>
    <x v="43"/>
    <n v="0"/>
    <n v="0"/>
    <n v="0"/>
    <n v="0"/>
    <e v="#DIV/0!"/>
  </r>
  <r>
    <n v="5"/>
    <x v="43"/>
    <n v="0"/>
    <n v="0"/>
    <n v="0"/>
    <n v="0"/>
    <e v="#DIV/0!"/>
  </r>
  <r>
    <n v="6"/>
    <x v="43"/>
    <n v="0"/>
    <n v="0"/>
    <n v="0"/>
    <n v="0"/>
    <e v="#DIV/0!"/>
  </r>
  <r>
    <n v="7"/>
    <x v="43"/>
    <n v="0"/>
    <n v="0"/>
    <n v="0"/>
    <n v="0"/>
    <e v="#DIV/0!"/>
  </r>
  <r>
    <n v="8"/>
    <x v="43"/>
    <n v="0"/>
    <n v="0"/>
    <n v="0"/>
    <n v="0"/>
    <e v="#DIV/0!"/>
  </r>
  <r>
    <n v="9"/>
    <x v="43"/>
    <n v="0"/>
    <n v="0"/>
    <n v="0"/>
    <n v="0"/>
    <e v="#DIV/0!"/>
  </r>
  <r>
    <n v="10"/>
    <x v="43"/>
    <n v="0"/>
    <n v="0"/>
    <n v="0"/>
    <n v="0"/>
    <e v="#DIV/0!"/>
  </r>
  <r>
    <n v="11"/>
    <x v="43"/>
    <n v="0"/>
    <n v="0"/>
    <n v="0"/>
    <n v="0"/>
    <e v="#DIV/0!"/>
  </r>
  <r>
    <n v="12"/>
    <x v="43"/>
    <n v="0"/>
    <n v="0"/>
    <n v="0"/>
    <n v="0"/>
    <e v="#DIV/0!"/>
  </r>
  <r>
    <n v="13"/>
    <x v="43"/>
    <n v="0"/>
    <n v="0"/>
    <n v="0"/>
    <n v="0"/>
    <e v="#DIV/0!"/>
  </r>
  <r>
    <n v="14"/>
    <x v="43"/>
    <n v="0"/>
    <n v="0"/>
    <n v="0"/>
    <n v="0"/>
    <e v="#DIV/0!"/>
  </r>
  <r>
    <n v="15"/>
    <x v="43"/>
    <n v="0"/>
    <n v="0"/>
    <n v="0"/>
    <n v="0"/>
    <e v="#DIV/0!"/>
  </r>
  <r>
    <n v="16"/>
    <x v="43"/>
    <n v="0"/>
    <n v="0"/>
    <n v="0"/>
    <n v="0"/>
    <e v="#DIV/0!"/>
  </r>
  <r>
    <n v="17"/>
    <x v="43"/>
    <n v="0"/>
    <n v="0"/>
    <n v="0"/>
    <n v="0"/>
    <e v="#DIV/0!"/>
  </r>
  <r>
    <n v="18"/>
    <x v="43"/>
    <n v="0"/>
    <n v="0"/>
    <n v="0"/>
    <n v="0"/>
    <e v="#DIV/0!"/>
  </r>
  <r>
    <n v="19"/>
    <x v="43"/>
    <n v="0"/>
    <n v="0"/>
    <n v="0"/>
    <n v="0"/>
    <e v="#DIV/0!"/>
  </r>
  <r>
    <n v="20"/>
    <x v="43"/>
    <n v="0"/>
    <n v="0"/>
    <n v="0"/>
    <n v="0"/>
    <e v="#DIV/0!"/>
  </r>
  <r>
    <n v="21"/>
    <x v="43"/>
    <n v="0"/>
    <n v="0"/>
    <n v="0"/>
    <n v="0"/>
    <e v="#DIV/0!"/>
  </r>
  <r>
    <n v="22"/>
    <x v="43"/>
    <n v="0"/>
    <n v="0"/>
    <n v="0"/>
    <n v="0"/>
    <e v="#DIV/0!"/>
  </r>
  <r>
    <n v="23"/>
    <x v="43"/>
    <n v="0"/>
    <n v="0"/>
    <n v="0"/>
    <n v="0"/>
    <e v="#DIV/0!"/>
  </r>
  <r>
    <n v="24"/>
    <x v="43"/>
    <n v="0"/>
    <n v="0"/>
    <n v="0"/>
    <n v="0"/>
    <e v="#DIV/0!"/>
  </r>
  <r>
    <n v="25"/>
    <x v="43"/>
    <n v="0"/>
    <n v="0"/>
    <n v="0"/>
    <n v="0"/>
    <e v="#DIV/0!"/>
  </r>
  <r>
    <n v="26"/>
    <x v="43"/>
    <n v="0"/>
    <n v="0"/>
    <n v="0"/>
    <n v="0"/>
    <e v="#DIV/0!"/>
  </r>
  <r>
    <n v="27"/>
    <x v="43"/>
    <n v="0"/>
    <n v="0"/>
    <n v="0"/>
    <n v="0"/>
    <e v="#DIV/0!"/>
  </r>
  <r>
    <n v="28"/>
    <x v="43"/>
    <n v="0"/>
    <n v="0"/>
    <n v="0"/>
    <n v="0"/>
    <e v="#DIV/0!"/>
  </r>
  <r>
    <n v="29"/>
    <x v="43"/>
    <n v="0"/>
    <n v="0"/>
    <n v="0"/>
    <n v="0"/>
    <e v="#DIV/0!"/>
  </r>
  <r>
    <n v="30"/>
    <x v="43"/>
    <n v="0"/>
    <n v="0"/>
    <n v="0"/>
    <n v="0.33"/>
    <e v="#DIV/0!"/>
  </r>
  <r>
    <n v="31"/>
    <x v="43"/>
    <n v="0"/>
    <n v="0"/>
    <n v="0"/>
    <n v="2.3E-2"/>
    <e v="#DIV/0!"/>
  </r>
  <r>
    <n v="1"/>
    <x v="44"/>
    <n v="0"/>
    <n v="0"/>
    <n v="0"/>
    <n v="0"/>
    <e v="#DIV/0!"/>
  </r>
  <r>
    <n v="2"/>
    <x v="44"/>
    <n v="0"/>
    <n v="0"/>
    <n v="0"/>
    <n v="0"/>
    <e v="#DIV/0!"/>
  </r>
  <r>
    <n v="3"/>
    <x v="44"/>
    <n v="0"/>
    <n v="0"/>
    <n v="0"/>
    <n v="0"/>
    <e v="#DIV/0!"/>
  </r>
  <r>
    <n v="4"/>
    <x v="44"/>
    <n v="0"/>
    <n v="0"/>
    <n v="0"/>
    <n v="0"/>
    <e v="#DIV/0!"/>
  </r>
  <r>
    <n v="5"/>
    <x v="44"/>
    <n v="0"/>
    <n v="0"/>
    <n v="0"/>
    <n v="0"/>
    <e v="#DIV/0!"/>
  </r>
  <r>
    <n v="6"/>
    <x v="44"/>
    <n v="0"/>
    <n v="0"/>
    <n v="0"/>
    <n v="0"/>
    <e v="#DIV/0!"/>
  </r>
  <r>
    <n v="7"/>
    <x v="44"/>
    <n v="0"/>
    <n v="0"/>
    <n v="0"/>
    <n v="0"/>
    <e v="#DIV/0!"/>
  </r>
  <r>
    <n v="8"/>
    <x v="44"/>
    <n v="0"/>
    <n v="0"/>
    <n v="0"/>
    <n v="0"/>
    <e v="#DIV/0!"/>
  </r>
  <r>
    <n v="9"/>
    <x v="44"/>
    <n v="0"/>
    <n v="0"/>
    <n v="0"/>
    <n v="0"/>
    <e v="#DIV/0!"/>
  </r>
  <r>
    <n v="10"/>
    <x v="44"/>
    <n v="0"/>
    <n v="0"/>
    <n v="0"/>
    <n v="0"/>
    <e v="#DIV/0!"/>
  </r>
  <r>
    <n v="11"/>
    <x v="44"/>
    <n v="0"/>
    <n v="0"/>
    <n v="0"/>
    <n v="0"/>
    <e v="#DIV/0!"/>
  </r>
  <r>
    <n v="12"/>
    <x v="44"/>
    <n v="0"/>
    <n v="0"/>
    <n v="0"/>
    <n v="0"/>
    <e v="#DIV/0!"/>
  </r>
  <r>
    <n v="13"/>
    <x v="44"/>
    <n v="0"/>
    <n v="0"/>
    <n v="0"/>
    <n v="0"/>
    <e v="#DIV/0!"/>
  </r>
  <r>
    <n v="14"/>
    <x v="44"/>
    <n v="0"/>
    <n v="0"/>
    <n v="0"/>
    <n v="0"/>
    <e v="#DIV/0!"/>
  </r>
  <r>
    <n v="15"/>
    <x v="44"/>
    <n v="0"/>
    <n v="0"/>
    <n v="0"/>
    <n v="0"/>
    <e v="#DIV/0!"/>
  </r>
  <r>
    <n v="16"/>
    <x v="44"/>
    <n v="0"/>
    <n v="0"/>
    <n v="0"/>
    <n v="0"/>
    <e v="#DIV/0!"/>
  </r>
  <r>
    <n v="17"/>
    <x v="44"/>
    <n v="0"/>
    <n v="0"/>
    <n v="0"/>
    <n v="0"/>
    <e v="#DIV/0!"/>
  </r>
  <r>
    <n v="18"/>
    <x v="44"/>
    <n v="0"/>
    <n v="0"/>
    <n v="0"/>
    <n v="0"/>
    <e v="#DIV/0!"/>
  </r>
  <r>
    <n v="19"/>
    <x v="44"/>
    <n v="0"/>
    <n v="0"/>
    <n v="0"/>
    <n v="0"/>
    <e v="#DIV/0!"/>
  </r>
  <r>
    <n v="20"/>
    <x v="44"/>
    <n v="0"/>
    <n v="0"/>
    <n v="0"/>
    <n v="0"/>
    <e v="#DIV/0!"/>
  </r>
  <r>
    <n v="21"/>
    <x v="44"/>
    <n v="0"/>
    <n v="0"/>
    <n v="0"/>
    <n v="0"/>
    <e v="#DIV/0!"/>
  </r>
  <r>
    <n v="22"/>
    <x v="44"/>
    <n v="0"/>
    <n v="0"/>
    <n v="0"/>
    <n v="0"/>
    <e v="#DIV/0!"/>
  </r>
  <r>
    <n v="23"/>
    <x v="44"/>
    <n v="0"/>
    <n v="0"/>
    <n v="0"/>
    <n v="0"/>
    <e v="#DIV/0!"/>
  </r>
  <r>
    <n v="24"/>
    <x v="44"/>
    <n v="0"/>
    <n v="0"/>
    <n v="0"/>
    <n v="0"/>
    <e v="#DIV/0!"/>
  </r>
  <r>
    <n v="25"/>
    <x v="44"/>
    <n v="0"/>
    <n v="0"/>
    <n v="0"/>
    <n v="0"/>
    <e v="#DIV/0!"/>
  </r>
  <r>
    <n v="26"/>
    <x v="44"/>
    <n v="0"/>
    <n v="0"/>
    <n v="0"/>
    <n v="0"/>
    <e v="#DIV/0!"/>
  </r>
  <r>
    <n v="27"/>
    <x v="44"/>
    <n v="0"/>
    <n v="0"/>
    <n v="0"/>
    <n v="0"/>
    <e v="#DIV/0!"/>
  </r>
  <r>
    <n v="28"/>
    <x v="44"/>
    <n v="0"/>
    <n v="0"/>
    <n v="0"/>
    <n v="0"/>
    <e v="#DIV/0!"/>
  </r>
  <r>
    <n v="29"/>
    <x v="44"/>
    <n v="0"/>
    <n v="0"/>
    <n v="0"/>
    <n v="0"/>
    <e v="#DIV/0!"/>
  </r>
  <r>
    <n v="30"/>
    <x v="44"/>
    <n v="0"/>
    <n v="0"/>
    <n v="0"/>
    <n v="0"/>
    <e v="#DIV/0!"/>
  </r>
  <r>
    <n v="31"/>
    <x v="44"/>
    <n v="40"/>
    <n v="40.380000000000003"/>
    <n v="-0.38000000000000256"/>
    <n v="0.2"/>
    <n v="-4.5000000000000638E-3"/>
  </r>
  <r>
    <n v="1"/>
    <x v="45"/>
    <n v="0"/>
    <n v="0"/>
    <n v="0"/>
    <n v="0.06"/>
    <e v="#DIV/0!"/>
  </r>
  <r>
    <n v="2"/>
    <x v="45"/>
    <n v="0"/>
    <n v="0"/>
    <n v="0"/>
    <n v="6.2E-2"/>
    <e v="#DIV/0!"/>
  </r>
  <r>
    <n v="3"/>
    <x v="45"/>
    <n v="0"/>
    <n v="0"/>
    <n v="0"/>
    <n v="0.05"/>
    <e v="#DIV/0!"/>
  </r>
  <r>
    <n v="4"/>
    <x v="45"/>
    <n v="0"/>
    <n v="0"/>
    <n v="0"/>
    <n v="0.06"/>
    <e v="#DIV/0!"/>
  </r>
  <r>
    <n v="5"/>
    <x v="45"/>
    <n v="0"/>
    <n v="0"/>
    <n v="0"/>
    <n v="6.6000000000000003E-2"/>
    <e v="#DIV/0!"/>
  </r>
  <r>
    <n v="6"/>
    <x v="45"/>
    <n v="0"/>
    <n v="0"/>
    <n v="0"/>
    <n v="0.05"/>
    <e v="#DIV/0!"/>
  </r>
  <r>
    <n v="7"/>
    <x v="45"/>
    <n v="0"/>
    <n v="0"/>
    <n v="0"/>
    <n v="5.8000000000000003E-2"/>
    <e v="#DIV/0!"/>
  </r>
  <r>
    <n v="8"/>
    <x v="45"/>
    <n v="0"/>
    <n v="0"/>
    <n v="0"/>
    <n v="6.2E-2"/>
    <e v="#DIV/0!"/>
  </r>
  <r>
    <n v="9"/>
    <x v="45"/>
    <n v="20"/>
    <n v="19.98"/>
    <n v="1.9999999999999574E-2"/>
    <n v="6.6000000000000003E-2"/>
    <n v="4.2999999999999792E-3"/>
  </r>
  <r>
    <n v="10"/>
    <x v="45"/>
    <n v="0"/>
    <n v="0"/>
    <n v="0"/>
    <n v="7.3999999999999996E-2"/>
    <e v="#DIV/0!"/>
  </r>
  <r>
    <n v="11"/>
    <x v="45"/>
    <n v="0"/>
    <n v="0"/>
    <n v="0"/>
    <n v="6.2E-2"/>
    <e v="#DIV/0!"/>
  </r>
  <r>
    <n v="12"/>
    <x v="45"/>
    <n v="0"/>
    <n v="0"/>
    <n v="0"/>
    <n v="3.7999999999999999E-2"/>
    <e v="#DIV/0!"/>
  </r>
  <r>
    <n v="13"/>
    <x v="45"/>
    <n v="0"/>
    <n v="0"/>
    <n v="0"/>
    <n v="5.1999999999999998E-2"/>
    <e v="#DIV/0!"/>
  </r>
  <r>
    <n v="14"/>
    <x v="45"/>
    <n v="0"/>
    <n v="0"/>
    <n v="0"/>
    <n v="0.06"/>
    <e v="#DIV/0!"/>
  </r>
  <r>
    <n v="15"/>
    <x v="45"/>
    <n v="0"/>
    <n v="0"/>
    <n v="0"/>
    <n v="6.2E-2"/>
    <e v="#DIV/0!"/>
  </r>
  <r>
    <n v="16"/>
    <x v="45"/>
    <n v="0"/>
    <n v="0"/>
    <n v="0"/>
    <n v="0.06"/>
    <e v="#DIV/0!"/>
  </r>
  <r>
    <n v="17"/>
    <x v="45"/>
    <n v="0"/>
    <n v="0"/>
    <n v="0"/>
    <n v="5.1999999999999998E-2"/>
    <e v="#DIV/0!"/>
  </r>
  <r>
    <n v="18"/>
    <x v="45"/>
    <n v="0"/>
    <n v="0"/>
    <n v="0"/>
    <n v="6.2E-2"/>
    <e v="#DIV/0!"/>
  </r>
  <r>
    <n v="19"/>
    <x v="45"/>
    <n v="0"/>
    <n v="0"/>
    <n v="0"/>
    <n v="5.8000000000000003E-2"/>
    <e v="#DIV/0!"/>
  </r>
  <r>
    <n v="20"/>
    <x v="45"/>
    <n v="0"/>
    <n v="0"/>
    <n v="0"/>
    <n v="6.2E-2"/>
    <e v="#DIV/0!"/>
  </r>
  <r>
    <n v="21"/>
    <x v="45"/>
    <n v="0"/>
    <n v="0"/>
    <n v="0"/>
    <n v="3.4000000000000002E-2"/>
    <e v="#DIV/0!"/>
  </r>
  <r>
    <n v="22"/>
    <x v="45"/>
    <n v="0"/>
    <n v="0"/>
    <n v="0"/>
    <n v="0.06"/>
    <e v="#DIV/0!"/>
  </r>
  <r>
    <n v="23"/>
    <x v="45"/>
    <n v="0"/>
    <n v="0"/>
    <n v="0"/>
    <n v="5.1999999999999998E-2"/>
    <e v="#DIV/0!"/>
  </r>
  <r>
    <n v="24"/>
    <x v="45"/>
    <n v="0"/>
    <n v="0"/>
    <n v="0"/>
    <n v="0.06"/>
    <e v="#DIV/0!"/>
  </r>
  <r>
    <n v="25"/>
    <x v="45"/>
    <n v="0"/>
    <n v="0"/>
    <n v="0"/>
    <n v="0"/>
    <e v="#DIV/0!"/>
  </r>
  <r>
    <n v="26"/>
    <x v="45"/>
    <n v="0"/>
    <n v="0"/>
    <n v="0"/>
    <n v="7.3999999999999996E-2"/>
    <e v="#DIV/0!"/>
  </r>
  <r>
    <n v="27"/>
    <x v="45"/>
    <n v="0"/>
    <n v="0"/>
    <n v="0"/>
    <n v="5.1999999999999998E-2"/>
    <e v="#DIV/0!"/>
  </r>
  <r>
    <n v="28"/>
    <x v="45"/>
    <n v="0"/>
    <n v="0"/>
    <n v="0"/>
    <n v="5.8000000000000003E-2"/>
    <e v="#DIV/0!"/>
  </r>
  <r>
    <n v="29"/>
    <x v="45"/>
    <n v="0"/>
    <n v="0"/>
    <n v="0"/>
    <n v="0.05"/>
    <e v="#DIV/0!"/>
  </r>
  <r>
    <n v="30"/>
    <x v="45"/>
    <n v="0"/>
    <n v="0"/>
    <n v="0"/>
    <n v="0.06"/>
    <e v="#DIV/0!"/>
  </r>
  <r>
    <n v="31"/>
    <x v="45"/>
    <n v="0"/>
    <n v="0"/>
    <n v="0"/>
    <n v="5.8000000000000003E-2"/>
    <e v="#DIV/0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C11731-3BFA-40F6-A32F-0A6F69592798}" name="PivotTable6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50" firstHeaderRow="0" firstDataRow="1" firstDataCol="1"/>
  <pivotFields count="7">
    <pivotField showAll="0"/>
    <pivotField axis="axisRow" showAll="0">
      <items count="47">
        <item x="15"/>
        <item x="10"/>
        <item x="16"/>
        <item x="6"/>
        <item x="4"/>
        <item x="24"/>
        <item x="17"/>
        <item x="19"/>
        <item x="30"/>
        <item x="1"/>
        <item x="45"/>
        <item x="18"/>
        <item x="25"/>
        <item x="35"/>
        <item x="33"/>
        <item x="2"/>
        <item x="22"/>
        <item x="31"/>
        <item x="12"/>
        <item x="23"/>
        <item x="38"/>
        <item x="9"/>
        <item x="3"/>
        <item x="0"/>
        <item x="8"/>
        <item x="28"/>
        <item x="26"/>
        <item x="11"/>
        <item x="37"/>
        <item x="36"/>
        <item x="20"/>
        <item x="32"/>
        <item x="21"/>
        <item x="13"/>
        <item x="34"/>
        <item x="29"/>
        <item x="14"/>
        <item x="5"/>
        <item x="7"/>
        <item x="27"/>
        <item x="40"/>
        <item x="39"/>
        <item x="43"/>
        <item x="44"/>
        <item x="42"/>
        <item x="41"/>
        <item t="default"/>
      </items>
    </pivotField>
    <pivotField dataField="1" showAll="0"/>
    <pivotField dataField="1" showAll="0"/>
    <pivotField dataField="1" numFmtId="43" showAll="0"/>
    <pivotField dataField="1" numFmtId="164" showAll="0"/>
    <pivotField showAll="0"/>
  </pivotFields>
  <rowFields count="1">
    <field x="1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ALY" fld="2" baseField="0" baseItem="0"/>
    <dataField name="Sum of NETTO" fld="3" baseField="0" baseItem="0"/>
    <dataField name="Sum of SUSUT 1 " fld="4" baseField="0" baseItem="0" numFmtId="43"/>
    <dataField name="Sum of SUSUT JUAL" fld="5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22577F-84BE-4489-9B7E-36402AC27249}" name="PivotTable7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K4" firstHeaderRow="0" firstDataRow="1" firstDataCol="0"/>
  <pivotFields count="7">
    <pivotField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>
      <items count="34">
        <item x="15"/>
        <item x="10"/>
        <item x="16"/>
        <item x="6"/>
        <item x="4"/>
        <item x="24"/>
        <item x="17"/>
        <item x="19"/>
        <item x="30"/>
        <item x="1"/>
        <item x="32"/>
        <item x="18"/>
        <item x="25"/>
        <item x="2"/>
        <item x="22"/>
        <item x="31"/>
        <item x="12"/>
        <item x="23"/>
        <item x="9"/>
        <item x="3"/>
        <item x="0"/>
        <item x="8"/>
        <item x="28"/>
        <item x="26"/>
        <item x="11"/>
        <item x="20"/>
        <item x="21"/>
        <item x="13"/>
        <item x="29"/>
        <item x="14"/>
        <item x="5"/>
        <item x="7"/>
        <item x="27"/>
        <item t="default"/>
      </items>
    </pivotField>
    <pivotField dataField="1" numFmtId="43" showAll="0"/>
    <pivotField dataField="1" numFmtId="43" showAll="0"/>
    <pivotField dataField="1" numFmtId="43" showAll="0"/>
    <pivotField dataField="1"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ALY" fld="2" baseField="0" baseItem="0" numFmtId="43"/>
    <dataField name="Sum of NETTO" fld="3" baseField="0" baseItem="0" numFmtId="43"/>
    <dataField name="Sum of SUSUT 1 " fld="4" baseField="0" baseItem="0" numFmtId="43"/>
    <dataField name="Sum of SUSUT JU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6B56DA-80A6-47F9-AF3F-2EFA846074B8}" name="PivotTable6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K4" firstHeaderRow="0" firstDataRow="1" firstDataCol="0"/>
  <pivotFields count="7">
    <pivotField showAll="0"/>
    <pivotField showAll="0"/>
    <pivotField dataField="1" numFmtId="43" showAll="0"/>
    <pivotField dataField="1" numFmtId="43" showAll="0"/>
    <pivotField dataField="1" numFmtId="43" showAll="0"/>
    <pivotField dataField="1" numFmtId="164"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ALY" fld="2" baseField="0" baseItem="0" numFmtId="43"/>
    <dataField name="Sum of NETTO" fld="3" baseField="0" baseItem="0" numFmtId="43"/>
    <dataField name="Sum of SUSUT 1 " fld="4" baseField="0" baseItem="0" numFmtId="43"/>
    <dataField name="Sum of SUSUT JUAL" fld="5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440B03-7839-4760-A75F-835B6F2D98E5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K4" firstHeaderRow="0" firstDataRow="1" firstDataCol="0"/>
  <pivotFields count="7">
    <pivotField showAll="0"/>
    <pivotField showAll="0"/>
    <pivotField dataField="1" showAll="0"/>
    <pivotField dataField="1" showAll="0"/>
    <pivotField dataField="1" numFmtId="43" showAll="0"/>
    <pivotField dataField="1"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ALY" fld="2" baseField="0" baseItem="0"/>
    <dataField name="Sum of NETTO" fld="3" baseField="0" baseItem="0"/>
    <dataField name="Sum of SUSUT 1 " fld="4" baseField="0" baseItem="0" numFmtId="43"/>
    <dataField name="Sum of SUSUT JUAL" fld="5" baseField="0" baseItem="0"/>
  </dataFields>
  <formats count="1">
    <format dxfId="1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AE6DB6-FBC3-4857-8D8F-D478EEDAFF1F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K4" firstHeaderRow="0" firstDataRow="1" firstDataCol="0"/>
  <pivotFields count="7">
    <pivotField showAll="0"/>
    <pivotField showAll="0"/>
    <pivotField dataField="1" showAll="0"/>
    <pivotField dataField="1" showAll="0"/>
    <pivotField dataField="1" numFmtId="43" showAll="0"/>
    <pivotField dataField="1"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ALY" fld="2" baseField="0" baseItem="0"/>
    <dataField name="Sum of NETTO" fld="3" baseField="0" baseItem="0"/>
    <dataField name="Sum of SUSUT 1 " fld="4" baseField="0" baseItem="0" numFmtId="43"/>
    <dataField name="Sum of SUSUT JUAL" fld="5" baseField="0" baseItem="0"/>
  </dataFields>
  <formats count="3">
    <format dxfId="112">
      <pivotArea type="all" dataOnly="0" outline="0" fieldPosition="0"/>
    </format>
    <format dxfId="111">
      <pivotArea outline="0" collapsedLevelsAreSubtotals="1" fieldPosition="0"/>
    </format>
    <format dxfId="11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3C496-67BC-436A-8AD6-30FD1A0E3442}">
  <dimension ref="A1:AA49"/>
  <sheetViews>
    <sheetView tabSelected="1" zoomScale="70" zoomScaleNormal="70" workbookViewId="0">
      <selection activeCell="R20" sqref="R20"/>
    </sheetView>
  </sheetViews>
  <sheetFormatPr defaultRowHeight="14.4"/>
  <cols>
    <col min="1" max="1" width="17.44140625" bestFit="1" customWidth="1"/>
    <col min="2" max="3" width="10.77734375" customWidth="1"/>
    <col min="4" max="4" width="9.88671875" customWidth="1"/>
    <col min="5" max="5" width="7.88671875" customWidth="1"/>
    <col min="7" max="7" width="3.88671875" customWidth="1"/>
    <col min="8" max="8" width="17.44140625" bestFit="1" customWidth="1"/>
    <col min="13" max="13" width="8.88671875" style="4"/>
    <col min="14" max="14" width="4.44140625" customWidth="1"/>
    <col min="15" max="15" width="17.44140625" bestFit="1" customWidth="1"/>
    <col min="19" max="19" width="9.44140625" style="12" bestFit="1" customWidth="1"/>
    <col min="20" max="20" width="8.88671875" style="4"/>
    <col min="21" max="21" width="4.33203125" customWidth="1"/>
    <col min="22" max="22" width="17.44140625" bestFit="1" customWidth="1"/>
    <col min="26" max="26" width="8.88671875" style="12"/>
    <col min="27" max="27" width="8.88671875" style="4"/>
  </cols>
  <sheetData>
    <row r="1" spans="1:27" ht="37.200000000000003" customHeight="1">
      <c r="A1" s="112" t="s">
        <v>133</v>
      </c>
      <c r="B1" s="112"/>
      <c r="C1" s="112"/>
      <c r="D1" s="112"/>
      <c r="E1" s="112"/>
      <c r="F1" s="112"/>
      <c r="H1" s="112" t="s">
        <v>134</v>
      </c>
      <c r="I1" s="112"/>
      <c r="J1" s="112"/>
      <c r="K1" s="112"/>
      <c r="L1" s="112"/>
      <c r="M1" s="112"/>
      <c r="O1" s="112" t="s">
        <v>135</v>
      </c>
      <c r="P1" s="112"/>
      <c r="Q1" s="112"/>
      <c r="R1" s="112"/>
      <c r="S1" s="112"/>
      <c r="T1" s="112"/>
      <c r="V1" s="112" t="s">
        <v>139</v>
      </c>
      <c r="W1" s="112"/>
      <c r="X1" s="112"/>
      <c r="Y1" s="112"/>
      <c r="Z1" s="112"/>
      <c r="AA1" s="112"/>
    </row>
    <row r="2" spans="1:27" ht="37.799999999999997" customHeight="1">
      <c r="A2" s="101" t="s">
        <v>0</v>
      </c>
      <c r="B2" s="104" t="s">
        <v>138</v>
      </c>
      <c r="C2" s="104" t="s">
        <v>137</v>
      </c>
      <c r="D2" s="104" t="s">
        <v>136</v>
      </c>
      <c r="E2" s="104" t="s">
        <v>5</v>
      </c>
      <c r="F2" s="105" t="s">
        <v>6</v>
      </c>
      <c r="H2" s="105" t="s">
        <v>0</v>
      </c>
      <c r="I2" s="104" t="s">
        <v>138</v>
      </c>
      <c r="J2" s="104" t="s">
        <v>137</v>
      </c>
      <c r="K2" s="104" t="s">
        <v>136</v>
      </c>
      <c r="L2" s="104" t="s">
        <v>5</v>
      </c>
      <c r="M2" s="105" t="s">
        <v>6</v>
      </c>
      <c r="O2" s="104" t="s">
        <v>0</v>
      </c>
      <c r="P2" s="104" t="s">
        <v>138</v>
      </c>
      <c r="Q2" s="104" t="s">
        <v>137</v>
      </c>
      <c r="R2" s="104" t="s">
        <v>136</v>
      </c>
      <c r="S2" s="111" t="s">
        <v>5</v>
      </c>
      <c r="T2" s="106" t="s">
        <v>6</v>
      </c>
      <c r="V2" s="104" t="s">
        <v>0</v>
      </c>
      <c r="W2" s="104" t="s">
        <v>138</v>
      </c>
      <c r="X2" s="104" t="s">
        <v>137</v>
      </c>
      <c r="Y2" s="104" t="s">
        <v>136</v>
      </c>
      <c r="Z2" s="111" t="s">
        <v>5</v>
      </c>
      <c r="AA2" s="106" t="s">
        <v>6</v>
      </c>
    </row>
    <row r="3" spans="1:27">
      <c r="A3" s="5" t="s">
        <v>119</v>
      </c>
      <c r="B3" s="107">
        <v>24.55</v>
      </c>
      <c r="C3" s="107">
        <v>24.35</v>
      </c>
      <c r="D3" s="107">
        <v>0.19999999999999929</v>
      </c>
      <c r="E3" s="107">
        <v>3.363</v>
      </c>
      <c r="F3" s="108">
        <f t="shared" ref="F3:F48" si="0">(D3+E3)/B3</f>
        <v>0.14513238289205699</v>
      </c>
      <c r="H3" s="5" t="s">
        <v>125</v>
      </c>
      <c r="I3" s="1">
        <v>515.99599999999998</v>
      </c>
      <c r="J3" s="1">
        <v>494.76000000000016</v>
      </c>
      <c r="K3" s="1">
        <v>21.235999999999997</v>
      </c>
      <c r="L3" s="1">
        <v>2.7889999999999988</v>
      </c>
      <c r="M3" s="102">
        <v>4.6560438453011256E-2</v>
      </c>
      <c r="O3" s="5" t="s">
        <v>126</v>
      </c>
      <c r="P3" s="1">
        <v>29.033999999999999</v>
      </c>
      <c r="Q3" s="1">
        <v>28.47</v>
      </c>
      <c r="R3" s="1">
        <v>0.56400000000000006</v>
      </c>
      <c r="S3" s="11">
        <v>4.45</v>
      </c>
      <c r="T3" s="103">
        <v>0.17269408279947648</v>
      </c>
      <c r="V3" s="5" t="s">
        <v>23</v>
      </c>
      <c r="W3" s="1">
        <v>25.282</v>
      </c>
      <c r="X3" s="1">
        <v>25.282</v>
      </c>
      <c r="Y3" s="1">
        <v>0</v>
      </c>
      <c r="Z3" s="11">
        <v>3.5240000000000005</v>
      </c>
      <c r="AA3" s="103">
        <v>0.13938770666877623</v>
      </c>
    </row>
    <row r="4" spans="1:27">
      <c r="A4" s="5" t="s">
        <v>36</v>
      </c>
      <c r="B4" s="107">
        <v>113.17</v>
      </c>
      <c r="C4" s="107">
        <v>112.35499999999999</v>
      </c>
      <c r="D4" s="107">
        <v>0.81500000000000261</v>
      </c>
      <c r="E4" s="107">
        <v>14.449999999999998</v>
      </c>
      <c r="F4" s="108">
        <f t="shared" si="0"/>
        <v>0.13488557038084298</v>
      </c>
      <c r="H4" s="5" t="s">
        <v>38</v>
      </c>
      <c r="I4" s="1">
        <v>1150.192</v>
      </c>
      <c r="J4" s="1">
        <v>1122.1600000000003</v>
      </c>
      <c r="K4" s="1">
        <v>28.031999999999986</v>
      </c>
      <c r="L4" s="1">
        <v>13.715</v>
      </c>
      <c r="M4" s="103">
        <v>3.6295679330059664E-2</v>
      </c>
      <c r="O4" s="5" t="s">
        <v>38</v>
      </c>
      <c r="P4" s="1">
        <v>70.03</v>
      </c>
      <c r="Q4" s="1">
        <v>68.12</v>
      </c>
      <c r="R4" s="1">
        <v>1.9100000000000001</v>
      </c>
      <c r="S4" s="11">
        <v>4.0919999999999996</v>
      </c>
      <c r="T4" s="103">
        <v>8.5706125946023129E-2</v>
      </c>
      <c r="V4" s="5" t="s">
        <v>25</v>
      </c>
      <c r="W4" s="1">
        <v>20</v>
      </c>
      <c r="X4" s="1">
        <v>19.98</v>
      </c>
      <c r="Y4" s="1">
        <v>1.9999999999999574E-2</v>
      </c>
      <c r="Z4" s="11">
        <v>2.2632999999999988</v>
      </c>
      <c r="AA4" s="103">
        <v>0.11416499999999992</v>
      </c>
    </row>
    <row r="5" spans="1:27">
      <c r="A5" s="5" t="s">
        <v>126</v>
      </c>
      <c r="B5" s="107">
        <v>26.63</v>
      </c>
      <c r="C5" s="107">
        <v>26.48</v>
      </c>
      <c r="D5" s="107">
        <v>0.14999999999999858</v>
      </c>
      <c r="E5" s="107">
        <v>3.2069999999999999</v>
      </c>
      <c r="F5" s="108">
        <f t="shared" si="0"/>
        <v>0.12606083364626355</v>
      </c>
      <c r="H5" s="5" t="s">
        <v>21</v>
      </c>
      <c r="I5" s="1">
        <v>1749.0060000000001</v>
      </c>
      <c r="J5" s="1">
        <v>1728.77</v>
      </c>
      <c r="K5" s="1">
        <v>20.236000000000018</v>
      </c>
      <c r="L5" s="1">
        <v>41.478000000000009</v>
      </c>
      <c r="M5" s="103">
        <v>3.5285184842133201E-2</v>
      </c>
      <c r="O5" s="5" t="s">
        <v>26</v>
      </c>
      <c r="P5" s="1">
        <v>56.449999999999989</v>
      </c>
      <c r="Q5" s="1">
        <v>55.74</v>
      </c>
      <c r="R5" s="1">
        <v>0.71</v>
      </c>
      <c r="S5" s="11">
        <v>3.4139999999999984</v>
      </c>
      <c r="T5" s="103">
        <v>7.3055801594331254E-2</v>
      </c>
      <c r="V5" s="5" t="s">
        <v>32</v>
      </c>
      <c r="W5" s="1">
        <v>40</v>
      </c>
      <c r="X5" s="1">
        <v>39.739999999999995</v>
      </c>
      <c r="Y5" s="1">
        <v>0.26000000000000156</v>
      </c>
      <c r="Z5" s="11">
        <v>4.0980000000000016</v>
      </c>
      <c r="AA5" s="103">
        <v>0.10895000000000007</v>
      </c>
    </row>
    <row r="6" spans="1:27">
      <c r="A6" s="5" t="s">
        <v>125</v>
      </c>
      <c r="B6" s="107">
        <v>81.699999999999989</v>
      </c>
      <c r="C6" s="107">
        <v>79.09</v>
      </c>
      <c r="D6" s="107">
        <v>2.6099999999999994</v>
      </c>
      <c r="E6" s="107">
        <v>2.5139999999999931</v>
      </c>
      <c r="F6" s="108">
        <f t="shared" si="0"/>
        <v>6.271725826193382E-2</v>
      </c>
      <c r="H6" s="5" t="s">
        <v>66</v>
      </c>
      <c r="I6" s="1">
        <v>250.40000000000003</v>
      </c>
      <c r="J6" s="1">
        <v>243.71999999999997</v>
      </c>
      <c r="K6" s="1">
        <v>6.6799999999999979</v>
      </c>
      <c r="L6" s="1">
        <v>1.9890000000000005</v>
      </c>
      <c r="M6" s="103">
        <v>3.4620607028753983E-2</v>
      </c>
      <c r="O6" s="5" t="s">
        <v>36</v>
      </c>
      <c r="P6" s="1">
        <v>119.39999999999998</v>
      </c>
      <c r="Q6" s="1">
        <v>118.89999999999999</v>
      </c>
      <c r="R6" s="1">
        <v>0.49999999999999467</v>
      </c>
      <c r="S6" s="11">
        <v>6.3950000000000022</v>
      </c>
      <c r="T6" s="103">
        <v>5.7747068676716903E-2</v>
      </c>
      <c r="V6" s="5" t="s">
        <v>44</v>
      </c>
      <c r="W6" s="1">
        <v>20</v>
      </c>
      <c r="X6" s="1">
        <v>19.98</v>
      </c>
      <c r="Y6" s="1">
        <v>1.9999999999999574E-2</v>
      </c>
      <c r="Z6" s="11">
        <v>1.7340000000000009</v>
      </c>
      <c r="AA6" s="103">
        <v>8.7700000000000028E-2</v>
      </c>
    </row>
    <row r="7" spans="1:27">
      <c r="A7" s="5" t="s">
        <v>38</v>
      </c>
      <c r="B7" s="107">
        <v>448.91</v>
      </c>
      <c r="C7" s="107">
        <v>441.42999999999989</v>
      </c>
      <c r="D7" s="107">
        <v>7.480000000000004</v>
      </c>
      <c r="E7" s="107">
        <v>9.161999999999999</v>
      </c>
      <c r="F7" s="108">
        <f t="shared" si="0"/>
        <v>3.707201889020071E-2</v>
      </c>
      <c r="H7" s="5" t="s">
        <v>33</v>
      </c>
      <c r="I7" s="1">
        <v>472.84000000000003</v>
      </c>
      <c r="J7" s="1">
        <v>468.78999999999996</v>
      </c>
      <c r="K7" s="1">
        <v>4.0500000000000043</v>
      </c>
      <c r="L7" s="1">
        <v>10.106000000000002</v>
      </c>
      <c r="M7" s="103">
        <v>2.9938245495304976E-2</v>
      </c>
      <c r="O7" s="5" t="s">
        <v>125</v>
      </c>
      <c r="P7" s="1">
        <v>384.50599999999997</v>
      </c>
      <c r="Q7" s="1">
        <v>367.43</v>
      </c>
      <c r="R7" s="1">
        <v>17.075999999999993</v>
      </c>
      <c r="S7" s="11">
        <v>3.1949999999999985</v>
      </c>
      <c r="T7" s="103">
        <v>5.2719593452377846E-2</v>
      </c>
      <c r="V7" s="5" t="s">
        <v>38</v>
      </c>
      <c r="W7" s="1">
        <v>80</v>
      </c>
      <c r="X7" s="1">
        <v>78.639999999999986</v>
      </c>
      <c r="Y7" s="1">
        <v>1.360000000000003</v>
      </c>
      <c r="Z7" s="11">
        <v>4.5720000000000001</v>
      </c>
      <c r="AA7" s="103">
        <v>7.4150000000000035E-2</v>
      </c>
    </row>
    <row r="8" spans="1:27">
      <c r="A8" s="5" t="s">
        <v>39</v>
      </c>
      <c r="B8" s="107">
        <v>618.59</v>
      </c>
      <c r="C8" s="107">
        <v>604.76999999999987</v>
      </c>
      <c r="D8" s="107">
        <v>13.820000000000007</v>
      </c>
      <c r="E8" s="107">
        <v>8.6040000000000028</v>
      </c>
      <c r="F8" s="108">
        <f t="shared" si="0"/>
        <v>3.6250181865209605E-2</v>
      </c>
      <c r="H8" s="5" t="s">
        <v>129</v>
      </c>
      <c r="I8" s="1">
        <v>200</v>
      </c>
      <c r="J8" s="1">
        <v>198.43</v>
      </c>
      <c r="K8" s="1">
        <v>1.5700000000000003</v>
      </c>
      <c r="L8" s="1">
        <v>3.9809999999999999</v>
      </c>
      <c r="M8" s="103">
        <v>2.7755000000000002E-2</v>
      </c>
      <c r="O8" s="5" t="s">
        <v>12</v>
      </c>
      <c r="P8" s="1">
        <v>1047.0859999999998</v>
      </c>
      <c r="Q8" s="1">
        <v>1025.0999999999999</v>
      </c>
      <c r="R8" s="1">
        <v>21.986000000000022</v>
      </c>
      <c r="S8" s="11">
        <v>29.748999999999995</v>
      </c>
      <c r="T8" s="103">
        <v>4.9408549059007593E-2</v>
      </c>
      <c r="V8" s="5" t="s">
        <v>28</v>
      </c>
      <c r="W8" s="1">
        <v>75</v>
      </c>
      <c r="X8" s="1">
        <v>73.680000000000007</v>
      </c>
      <c r="Y8" s="1">
        <v>1.3199999999999967</v>
      </c>
      <c r="Z8" s="11">
        <v>3.7729999999999992</v>
      </c>
      <c r="AA8" s="103">
        <v>6.7906666666666615E-2</v>
      </c>
    </row>
    <row r="9" spans="1:27">
      <c r="A9" s="5" t="s">
        <v>33</v>
      </c>
      <c r="B9" s="107">
        <v>725.63000000000011</v>
      </c>
      <c r="C9" s="107">
        <v>718.36999999999989</v>
      </c>
      <c r="D9" s="107">
        <v>7.26</v>
      </c>
      <c r="E9" s="107">
        <v>16.759999999999998</v>
      </c>
      <c r="F9" s="108">
        <f t="shared" si="0"/>
        <v>3.3102269751801874E-2</v>
      </c>
      <c r="H9" s="5" t="s">
        <v>124</v>
      </c>
      <c r="I9" s="1">
        <v>402.39999999999992</v>
      </c>
      <c r="J9" s="1">
        <v>397.61999999999995</v>
      </c>
      <c r="K9" s="1">
        <v>4.7800000000000082</v>
      </c>
      <c r="L9" s="1">
        <v>6.0820000000000016</v>
      </c>
      <c r="M9" s="103">
        <v>2.6993041749503011E-2</v>
      </c>
      <c r="O9" s="5" t="s">
        <v>124</v>
      </c>
      <c r="P9" s="1">
        <v>161.202</v>
      </c>
      <c r="Q9" s="1">
        <v>155.81</v>
      </c>
      <c r="R9" s="1">
        <v>5.3919999999999995</v>
      </c>
      <c r="S9" s="11">
        <v>2.3130000000000006</v>
      </c>
      <c r="T9" s="103">
        <v>4.7797173732335829E-2</v>
      </c>
      <c r="V9" s="5" t="s">
        <v>29</v>
      </c>
      <c r="W9" s="1">
        <v>60</v>
      </c>
      <c r="X9" s="1">
        <v>59.5</v>
      </c>
      <c r="Y9" s="1">
        <v>0.5</v>
      </c>
      <c r="Z9" s="11">
        <v>3.5200000000000009</v>
      </c>
      <c r="AA9" s="103">
        <v>6.7000000000000018E-2</v>
      </c>
    </row>
    <row r="10" spans="1:27">
      <c r="A10" s="5" t="s">
        <v>12</v>
      </c>
      <c r="B10" s="107">
        <v>1777.46</v>
      </c>
      <c r="C10" s="107">
        <v>1748.7</v>
      </c>
      <c r="D10" s="107">
        <v>28.759999999999994</v>
      </c>
      <c r="E10" s="107">
        <v>29.320000000000036</v>
      </c>
      <c r="F10" s="108">
        <f t="shared" si="0"/>
        <v>3.2675840806544183E-2</v>
      </c>
      <c r="H10" s="5" t="s">
        <v>15</v>
      </c>
      <c r="I10" s="1">
        <v>811.81</v>
      </c>
      <c r="J10" s="1">
        <v>805.73</v>
      </c>
      <c r="K10" s="1">
        <v>6.0799999999999628</v>
      </c>
      <c r="L10" s="1">
        <v>15.815599999999998</v>
      </c>
      <c r="M10" s="103">
        <v>2.6971335657358202E-2</v>
      </c>
      <c r="O10" s="5" t="s">
        <v>20</v>
      </c>
      <c r="P10" s="1">
        <v>46.245999999999995</v>
      </c>
      <c r="Q10" s="1">
        <v>45.519999999999996</v>
      </c>
      <c r="R10" s="1">
        <v>0.72599999999999909</v>
      </c>
      <c r="S10" s="11">
        <v>1.3929999999999989</v>
      </c>
      <c r="T10" s="103">
        <v>4.5820179042511747E-2</v>
      </c>
      <c r="V10" s="5" t="s">
        <v>123</v>
      </c>
      <c r="W10" s="1">
        <v>80</v>
      </c>
      <c r="X10" s="1">
        <v>79</v>
      </c>
      <c r="Y10" s="1">
        <v>1</v>
      </c>
      <c r="Z10" s="11">
        <v>4.0219999999999994</v>
      </c>
      <c r="AA10" s="103">
        <v>6.2774999999999997E-2</v>
      </c>
    </row>
    <row r="11" spans="1:27">
      <c r="A11" s="5" t="s">
        <v>124</v>
      </c>
      <c r="B11" s="107">
        <v>503.9</v>
      </c>
      <c r="C11" s="107">
        <v>498.80999999999995</v>
      </c>
      <c r="D11" s="107">
        <v>5.0900000000000158</v>
      </c>
      <c r="E11" s="107">
        <v>11.034000000000002</v>
      </c>
      <c r="F11" s="108">
        <f t="shared" si="0"/>
        <v>3.199841238340944E-2</v>
      </c>
      <c r="H11" s="5" t="s">
        <v>123</v>
      </c>
      <c r="I11" s="1">
        <v>324.02</v>
      </c>
      <c r="J11" s="1">
        <v>319.30000000000007</v>
      </c>
      <c r="K11" s="1">
        <v>4.7199999999999953</v>
      </c>
      <c r="L11" s="1">
        <v>3.9049999999999994</v>
      </c>
      <c r="M11" s="103">
        <v>2.6618727239059302E-2</v>
      </c>
      <c r="O11" s="5" t="s">
        <v>39</v>
      </c>
      <c r="P11" s="1">
        <v>238.05399999999997</v>
      </c>
      <c r="Q11" s="1">
        <v>227.66</v>
      </c>
      <c r="R11" s="1">
        <v>10.394000000000009</v>
      </c>
      <c r="S11" s="11">
        <v>2.8000000000000001E-2</v>
      </c>
      <c r="T11" s="103">
        <v>4.377998269300247E-2</v>
      </c>
      <c r="V11" s="5" t="s">
        <v>26</v>
      </c>
      <c r="W11" s="1">
        <v>47.75</v>
      </c>
      <c r="X11" s="1">
        <v>47.21</v>
      </c>
      <c r="Y11" s="1">
        <v>0.54</v>
      </c>
      <c r="Z11" s="11">
        <v>2.324999999999998</v>
      </c>
      <c r="AA11" s="103">
        <v>5.9999999999999956E-2</v>
      </c>
    </row>
    <row r="12" spans="1:27">
      <c r="A12" s="5" t="s">
        <v>129</v>
      </c>
      <c r="B12" s="107">
        <v>104.48</v>
      </c>
      <c r="C12" s="107">
        <v>103.71000000000001</v>
      </c>
      <c r="D12" s="107">
        <v>0.76999999999999602</v>
      </c>
      <c r="E12" s="107">
        <v>2.5179999999999998</v>
      </c>
      <c r="F12" s="108">
        <f t="shared" si="0"/>
        <v>3.1470137825421095E-2</v>
      </c>
      <c r="H12" s="5" t="s">
        <v>39</v>
      </c>
      <c r="I12" s="1">
        <v>1011.34</v>
      </c>
      <c r="J12" s="1">
        <v>995.88999999999987</v>
      </c>
      <c r="K12" s="1">
        <v>15.449999999999978</v>
      </c>
      <c r="L12" s="1">
        <v>10.604000000000012</v>
      </c>
      <c r="M12" s="103">
        <v>2.5761860501908346E-2</v>
      </c>
      <c r="O12" s="5" t="s">
        <v>33</v>
      </c>
      <c r="P12" s="1">
        <v>119.72</v>
      </c>
      <c r="Q12" s="1">
        <v>118.47000000000001</v>
      </c>
      <c r="R12" s="1">
        <v>1.25</v>
      </c>
      <c r="S12" s="11">
        <v>3.6639999999999997</v>
      </c>
      <c r="T12" s="103">
        <v>4.1045773471433344E-2</v>
      </c>
      <c r="V12" s="5" t="s">
        <v>11</v>
      </c>
      <c r="W12" s="1">
        <v>197.66</v>
      </c>
      <c r="X12" s="1">
        <v>195.3</v>
      </c>
      <c r="Y12" s="1">
        <v>2.360000000000003</v>
      </c>
      <c r="Z12" s="11">
        <v>8.8020000000000014</v>
      </c>
      <c r="AA12" s="103">
        <v>5.6470707275118916E-2</v>
      </c>
    </row>
    <row r="13" spans="1:27">
      <c r="A13" s="5" t="s">
        <v>121</v>
      </c>
      <c r="B13" s="107">
        <v>279.79000000000002</v>
      </c>
      <c r="C13" s="107">
        <v>276.57</v>
      </c>
      <c r="D13" s="107">
        <v>3.2199999999999918</v>
      </c>
      <c r="E13" s="107">
        <v>4.7859999999999996</v>
      </c>
      <c r="F13" s="108">
        <f t="shared" si="0"/>
        <v>2.8614317881268062E-2</v>
      </c>
      <c r="H13" s="5" t="s">
        <v>28</v>
      </c>
      <c r="I13" s="1">
        <v>1090</v>
      </c>
      <c r="J13" s="1">
        <v>1072.69</v>
      </c>
      <c r="K13" s="1">
        <v>17.309999999999977</v>
      </c>
      <c r="L13" s="1">
        <v>10.460000000000003</v>
      </c>
      <c r="M13" s="103">
        <v>2.5477064220183469E-2</v>
      </c>
      <c r="O13" s="5" t="s">
        <v>67</v>
      </c>
      <c r="P13" s="1">
        <v>291.10999999999996</v>
      </c>
      <c r="Q13" s="1">
        <v>287.61</v>
      </c>
      <c r="R13" s="1">
        <v>3.4999999999999893</v>
      </c>
      <c r="S13" s="11">
        <v>8.36</v>
      </c>
      <c r="T13" s="103">
        <v>4.0740613513792004E-2</v>
      </c>
      <c r="V13" s="5" t="s">
        <v>31</v>
      </c>
      <c r="W13" s="1">
        <v>111</v>
      </c>
      <c r="X13" s="1">
        <v>110</v>
      </c>
      <c r="Y13" s="1">
        <v>0.99999999999999645</v>
      </c>
      <c r="Z13" s="11">
        <v>5.1729999999999992</v>
      </c>
      <c r="AA13" s="103">
        <v>5.5612612612612571E-2</v>
      </c>
    </row>
    <row r="14" spans="1:27">
      <c r="A14" s="5" t="s">
        <v>20</v>
      </c>
      <c r="B14" s="107">
        <v>1422.6999999999996</v>
      </c>
      <c r="C14" s="107">
        <v>1406.2200000000003</v>
      </c>
      <c r="D14" s="107">
        <v>16.479999999999954</v>
      </c>
      <c r="E14" s="107">
        <v>23.030999999999999</v>
      </c>
      <c r="F14" s="108">
        <f t="shared" si="0"/>
        <v>2.7771842271736815E-2</v>
      </c>
      <c r="H14" s="5" t="s">
        <v>12</v>
      </c>
      <c r="I14" s="1">
        <v>3249.1759999999999</v>
      </c>
      <c r="J14" s="1">
        <v>3208.53</v>
      </c>
      <c r="K14" s="1">
        <v>40.646000000000015</v>
      </c>
      <c r="L14" s="1">
        <v>37.247999999999955</v>
      </c>
      <c r="M14" s="103">
        <v>2.3973462810263274E-2</v>
      </c>
      <c r="O14" s="5" t="s">
        <v>123</v>
      </c>
      <c r="P14" s="1">
        <v>161.47999999999999</v>
      </c>
      <c r="Q14" s="1">
        <v>157.99</v>
      </c>
      <c r="R14" s="1">
        <v>3.4899999999999984</v>
      </c>
      <c r="S14" s="11">
        <v>2.7130000000000001</v>
      </c>
      <c r="T14" s="103">
        <v>3.8413425811245967E-2</v>
      </c>
      <c r="V14" s="5" t="s">
        <v>30</v>
      </c>
      <c r="W14" s="1">
        <v>125.13</v>
      </c>
      <c r="X14" s="1">
        <v>123.88999999999999</v>
      </c>
      <c r="Y14" s="1">
        <v>1.240000000000002</v>
      </c>
      <c r="Z14" s="11">
        <v>5.1819999999999977</v>
      </c>
      <c r="AA14" s="103">
        <v>5.1322624470550623E-2</v>
      </c>
    </row>
    <row r="15" spans="1:27">
      <c r="A15" s="5" t="s">
        <v>123</v>
      </c>
      <c r="B15" s="107">
        <v>348.45</v>
      </c>
      <c r="C15" s="107">
        <v>342.9899999999999</v>
      </c>
      <c r="D15" s="107">
        <v>5.4599999999999973</v>
      </c>
      <c r="E15" s="107">
        <v>4.1199999999999921</v>
      </c>
      <c r="F15" s="108">
        <f t="shared" si="0"/>
        <v>2.7493184101018767E-2</v>
      </c>
      <c r="H15" s="5" t="s">
        <v>130</v>
      </c>
      <c r="I15" s="1">
        <v>60</v>
      </c>
      <c r="J15" s="1">
        <v>59.92</v>
      </c>
      <c r="K15" s="1">
        <v>7.9999999999998295E-2</v>
      </c>
      <c r="L15" s="1">
        <v>1.357</v>
      </c>
      <c r="M15" s="103">
        <v>2.3949999999999971E-2</v>
      </c>
      <c r="O15" s="5" t="s">
        <v>29</v>
      </c>
      <c r="P15" s="1">
        <v>143.88</v>
      </c>
      <c r="Q15" s="1">
        <v>142.12</v>
      </c>
      <c r="R15" s="1">
        <v>1.759999999999998</v>
      </c>
      <c r="S15" s="11">
        <v>3.5750000000000006</v>
      </c>
      <c r="T15" s="103">
        <v>3.7079510703363912E-2</v>
      </c>
      <c r="V15" s="5" t="s">
        <v>10</v>
      </c>
      <c r="W15" s="1">
        <v>160</v>
      </c>
      <c r="X15" s="1">
        <v>158.14000000000001</v>
      </c>
      <c r="Y15" s="1">
        <v>1.860000000000003</v>
      </c>
      <c r="Z15" s="11">
        <v>6.1830000000000007</v>
      </c>
      <c r="AA15" s="103">
        <v>5.0268750000000015E-2</v>
      </c>
    </row>
    <row r="16" spans="1:27">
      <c r="A16" s="5" t="s">
        <v>28</v>
      </c>
      <c r="B16" s="107">
        <v>508.47</v>
      </c>
      <c r="C16" s="107">
        <v>501.29000000000008</v>
      </c>
      <c r="D16" s="107">
        <v>7.1800000000000077</v>
      </c>
      <c r="E16" s="107">
        <v>5.7359999999999962</v>
      </c>
      <c r="F16" s="108">
        <f t="shared" si="0"/>
        <v>2.5401695281924212E-2</v>
      </c>
      <c r="H16" s="5" t="s">
        <v>20</v>
      </c>
      <c r="I16" s="1">
        <v>1754.19</v>
      </c>
      <c r="J16" s="1">
        <v>1740.51</v>
      </c>
      <c r="K16" s="1">
        <v>13.680000000000021</v>
      </c>
      <c r="L16" s="1">
        <v>27.236999999999995</v>
      </c>
      <c r="M16" s="103">
        <v>2.3325295435500153E-2</v>
      </c>
      <c r="O16" s="5" t="s">
        <v>122</v>
      </c>
      <c r="P16" s="1">
        <v>48.94</v>
      </c>
      <c r="Q16" s="1">
        <v>48.480000000000004</v>
      </c>
      <c r="R16" s="1">
        <v>0.46000000000000085</v>
      </c>
      <c r="S16" s="11">
        <v>1.2209999999999996</v>
      </c>
      <c r="T16" s="103">
        <v>3.4348181446669401E-2</v>
      </c>
      <c r="V16" s="5" t="s">
        <v>39</v>
      </c>
      <c r="W16" s="1">
        <v>148</v>
      </c>
      <c r="X16" s="1">
        <v>146.35999999999999</v>
      </c>
      <c r="Y16" s="1">
        <v>1.6400000000000015</v>
      </c>
      <c r="Z16" s="11">
        <v>5.7039999999999971</v>
      </c>
      <c r="AA16" s="103">
        <v>4.9621621621621613E-2</v>
      </c>
    </row>
    <row r="17" spans="1:27">
      <c r="A17" s="5" t="s">
        <v>66</v>
      </c>
      <c r="B17" s="107">
        <v>268.06</v>
      </c>
      <c r="C17" s="107">
        <v>262.02</v>
      </c>
      <c r="D17" s="107">
        <v>6.0400000000000036</v>
      </c>
      <c r="E17" s="107">
        <v>0.50500000000000178</v>
      </c>
      <c r="F17" s="108">
        <f t="shared" si="0"/>
        <v>2.4416175483100818E-2</v>
      </c>
      <c r="H17" s="5" t="s">
        <v>117</v>
      </c>
      <c r="I17" s="1">
        <v>464.45000000000005</v>
      </c>
      <c r="J17" s="1">
        <v>457.85999999999996</v>
      </c>
      <c r="K17" s="1">
        <v>6.5899999999999892</v>
      </c>
      <c r="L17" s="1">
        <v>3.1000000000000005</v>
      </c>
      <c r="M17" s="103">
        <v>2.0863386801593262E-2</v>
      </c>
      <c r="O17" s="5" t="s">
        <v>121</v>
      </c>
      <c r="P17" s="1">
        <v>101.24000000000001</v>
      </c>
      <c r="Q17" s="1">
        <v>99.56</v>
      </c>
      <c r="R17" s="1">
        <v>1.6799999999999997</v>
      </c>
      <c r="S17" s="11">
        <v>1.77</v>
      </c>
      <c r="T17" s="103">
        <v>3.4077439747135514E-2</v>
      </c>
      <c r="V17" s="5" t="s">
        <v>121</v>
      </c>
      <c r="W17" s="1">
        <v>85</v>
      </c>
      <c r="X17" s="1">
        <v>84.29</v>
      </c>
      <c r="Y17" s="1">
        <v>0.71000000000000085</v>
      </c>
      <c r="Z17" s="11">
        <v>3.3319999999999994</v>
      </c>
      <c r="AA17" s="103">
        <v>4.7552941176470589E-2</v>
      </c>
    </row>
    <row r="18" spans="1:27">
      <c r="A18" s="5" t="s">
        <v>67</v>
      </c>
      <c r="B18" s="107">
        <v>961.55000000000007</v>
      </c>
      <c r="C18" s="107">
        <v>953.66000000000008</v>
      </c>
      <c r="D18" s="107">
        <v>7.8899999999999615</v>
      </c>
      <c r="E18" s="107">
        <v>13.789999999999997</v>
      </c>
      <c r="F18" s="108">
        <f t="shared" si="0"/>
        <v>2.2546929436846712E-2</v>
      </c>
      <c r="H18" s="5" t="s">
        <v>67</v>
      </c>
      <c r="I18" s="1">
        <v>1459.32</v>
      </c>
      <c r="J18" s="1">
        <v>1440.95</v>
      </c>
      <c r="K18" s="1">
        <v>18.370000000000019</v>
      </c>
      <c r="L18" s="1">
        <v>11.758999999999995</v>
      </c>
      <c r="M18" s="103">
        <v>2.0645917276539767E-2</v>
      </c>
      <c r="O18" s="5" t="s">
        <v>32</v>
      </c>
      <c r="P18" s="1">
        <v>165.98999999999998</v>
      </c>
      <c r="Q18" s="1">
        <v>164.61</v>
      </c>
      <c r="R18" s="1">
        <v>1.3800000000000061</v>
      </c>
      <c r="S18" s="11">
        <v>4.166999999999998</v>
      </c>
      <c r="T18" s="103">
        <v>3.3417675763600246E-2</v>
      </c>
      <c r="V18" s="5" t="s">
        <v>118</v>
      </c>
      <c r="W18" s="1">
        <v>85.24</v>
      </c>
      <c r="X18" s="1">
        <v>84.42</v>
      </c>
      <c r="Y18" s="1">
        <v>0.82000000000000028</v>
      </c>
      <c r="Z18" s="11">
        <v>3.12</v>
      </c>
      <c r="AA18" s="103">
        <v>4.6222430783669645E-2</v>
      </c>
    </row>
    <row r="19" spans="1:27">
      <c r="A19" s="5" t="s">
        <v>30</v>
      </c>
      <c r="B19" s="107">
        <v>532.81000000000006</v>
      </c>
      <c r="C19" s="107">
        <v>527.15</v>
      </c>
      <c r="D19" s="107">
        <v>5.659999999999993</v>
      </c>
      <c r="E19" s="107">
        <v>6.1009999999999991</v>
      </c>
      <c r="F19" s="108">
        <f t="shared" si="0"/>
        <v>2.2073534655881067E-2</v>
      </c>
      <c r="H19" s="5" t="s">
        <v>121</v>
      </c>
      <c r="I19" s="1">
        <v>585.99</v>
      </c>
      <c r="J19" s="1">
        <v>583.01</v>
      </c>
      <c r="K19" s="1">
        <v>2.9800000000000075</v>
      </c>
      <c r="L19" s="1">
        <v>8.8219999999999867</v>
      </c>
      <c r="M19" s="103">
        <v>2.0140275431321342E-2</v>
      </c>
      <c r="O19" s="5" t="s">
        <v>16</v>
      </c>
      <c r="P19" s="1">
        <v>426.928</v>
      </c>
      <c r="Q19" s="1">
        <v>420.44999999999993</v>
      </c>
      <c r="R19" s="1">
        <v>6.4780000000000086</v>
      </c>
      <c r="S19" s="11">
        <v>4.5740000000000034</v>
      </c>
      <c r="T19" s="103">
        <v>2.5887269047708307E-2</v>
      </c>
      <c r="V19" s="5" t="s">
        <v>33</v>
      </c>
      <c r="W19" s="1">
        <v>100</v>
      </c>
      <c r="X19" s="1">
        <v>99.100000000000009</v>
      </c>
      <c r="Y19" s="1">
        <v>0.89999999999999858</v>
      </c>
      <c r="Z19" s="11">
        <v>3.5759999999999996</v>
      </c>
      <c r="AA19" s="103">
        <v>4.475999999999998E-2</v>
      </c>
    </row>
    <row r="20" spans="1:27">
      <c r="A20" s="5" t="s">
        <v>9</v>
      </c>
      <c r="B20" s="107">
        <v>1389.1</v>
      </c>
      <c r="C20" s="107">
        <v>1380.28</v>
      </c>
      <c r="D20" s="107">
        <v>8.8200000000000109</v>
      </c>
      <c r="E20" s="107">
        <v>21.256</v>
      </c>
      <c r="F20" s="108">
        <f t="shared" si="0"/>
        <v>2.1651428982794624E-2</v>
      </c>
      <c r="H20" s="1" t="s">
        <v>27</v>
      </c>
      <c r="I20" s="1">
        <v>816.13000000000011</v>
      </c>
      <c r="J20" s="1">
        <v>807.82000000000016</v>
      </c>
      <c r="K20" s="1">
        <v>8.3100000000000094</v>
      </c>
      <c r="L20" s="1">
        <v>8.0530000000000008</v>
      </c>
      <c r="M20" s="3">
        <v>2.0049501917586667E-2</v>
      </c>
      <c r="O20" s="5" t="s">
        <v>30</v>
      </c>
      <c r="P20" s="1">
        <v>262.476</v>
      </c>
      <c r="Q20" s="1">
        <v>260.02</v>
      </c>
      <c r="R20" s="1">
        <v>2.4559999999999924</v>
      </c>
      <c r="S20" s="11">
        <v>3.7020000000000008</v>
      </c>
      <c r="T20" s="103">
        <v>2.3461192642374895E-2</v>
      </c>
      <c r="V20" s="5" t="s">
        <v>125</v>
      </c>
      <c r="W20" s="1">
        <v>141</v>
      </c>
      <c r="X20" s="1">
        <v>136.54</v>
      </c>
      <c r="Y20" s="1">
        <v>4.4599999999999991</v>
      </c>
      <c r="Z20" s="11">
        <v>1.7290000000000008</v>
      </c>
      <c r="AA20" s="103">
        <v>4.3893617021276594E-2</v>
      </c>
    </row>
    <row r="21" spans="1:27">
      <c r="A21" s="5" t="s">
        <v>15</v>
      </c>
      <c r="B21" s="107">
        <v>667.69999999999993</v>
      </c>
      <c r="C21" s="107">
        <v>662.65</v>
      </c>
      <c r="D21" s="107">
        <v>5.0500000000000149</v>
      </c>
      <c r="E21" s="107">
        <v>8.9649699999999992</v>
      </c>
      <c r="F21" s="108">
        <f t="shared" si="0"/>
        <v>2.0989920623034321E-2</v>
      </c>
      <c r="H21" s="1" t="s">
        <v>122</v>
      </c>
      <c r="I21" s="1">
        <v>306.40999999999997</v>
      </c>
      <c r="J21" s="1">
        <v>303.95999999999998</v>
      </c>
      <c r="K21" s="1">
        <v>2.4500000000000028</v>
      </c>
      <c r="L21" s="1">
        <v>3.5870000000000002</v>
      </c>
      <c r="M21" s="3">
        <v>1.9702359583564515E-2</v>
      </c>
      <c r="O21" s="5" t="s">
        <v>28</v>
      </c>
      <c r="P21" s="1">
        <v>286.78000000000003</v>
      </c>
      <c r="Q21" s="1">
        <v>283.32</v>
      </c>
      <c r="R21" s="1">
        <v>3.4600000000000062</v>
      </c>
      <c r="S21" s="11">
        <v>3.2329999999999997</v>
      </c>
      <c r="T21" s="103">
        <v>2.3338447590487501E-2</v>
      </c>
      <c r="V21" s="5" t="s">
        <v>35</v>
      </c>
      <c r="W21" s="1">
        <v>180</v>
      </c>
      <c r="X21" s="1">
        <v>178.2</v>
      </c>
      <c r="Y21" s="1">
        <v>1.8000000000000007</v>
      </c>
      <c r="Z21" s="11">
        <v>5.3859999999999992</v>
      </c>
      <c r="AA21" s="103">
        <v>3.992222222222222E-2</v>
      </c>
    </row>
    <row r="22" spans="1:27">
      <c r="A22" s="5" t="s">
        <v>21</v>
      </c>
      <c r="B22" s="107">
        <v>1228.4300000000003</v>
      </c>
      <c r="C22" s="107">
        <v>1212.27</v>
      </c>
      <c r="D22" s="107">
        <v>16.160000000000018</v>
      </c>
      <c r="E22" s="107">
        <v>9.4850000000000012</v>
      </c>
      <c r="F22" s="109">
        <f t="shared" si="0"/>
        <v>2.0876240404418659E-2</v>
      </c>
      <c r="H22" s="1" t="s">
        <v>24</v>
      </c>
      <c r="I22" s="1">
        <v>1958.54</v>
      </c>
      <c r="J22" s="1">
        <v>1945.5300000000002</v>
      </c>
      <c r="K22" s="1">
        <v>13.009999999999987</v>
      </c>
      <c r="L22" s="1">
        <v>25.240999999999996</v>
      </c>
      <c r="M22" s="3">
        <v>1.9530364455155363E-2</v>
      </c>
      <c r="O22" s="5" t="s">
        <v>10</v>
      </c>
      <c r="P22" s="1">
        <v>481.57999999999993</v>
      </c>
      <c r="Q22" s="1">
        <v>474.34999999999997</v>
      </c>
      <c r="R22" s="1">
        <v>7.2299999999999969</v>
      </c>
      <c r="S22" s="11">
        <v>3.8070000000000013</v>
      </c>
      <c r="T22" s="103">
        <v>2.2918310561069813E-2</v>
      </c>
      <c r="V22" s="5" t="s">
        <v>67</v>
      </c>
      <c r="W22" s="1">
        <v>215</v>
      </c>
      <c r="X22" s="1">
        <v>213.36</v>
      </c>
      <c r="Y22" s="1">
        <v>1.6400000000000041</v>
      </c>
      <c r="Z22" s="11">
        <v>6.3549999999999995</v>
      </c>
      <c r="AA22" s="103">
        <v>3.7186046511627921E-2</v>
      </c>
    </row>
    <row r="23" spans="1:27">
      <c r="A23" s="1" t="s">
        <v>24</v>
      </c>
      <c r="B23" s="107">
        <v>713.48000000000013</v>
      </c>
      <c r="C23" s="107">
        <v>706.86999999999989</v>
      </c>
      <c r="D23" s="107">
        <v>6.6100000000000065</v>
      </c>
      <c r="E23" s="107">
        <v>7.4660000000000002</v>
      </c>
      <c r="F23" s="110">
        <f t="shared" si="0"/>
        <v>1.9728653921623599E-2</v>
      </c>
      <c r="H23" s="1" t="s">
        <v>9</v>
      </c>
      <c r="I23" s="1">
        <v>7217.91</v>
      </c>
      <c r="J23" s="1">
        <v>7180.7200000000012</v>
      </c>
      <c r="K23" s="1">
        <v>37.189999999999991</v>
      </c>
      <c r="L23" s="1">
        <v>96.025999999999996</v>
      </c>
      <c r="M23" s="3">
        <v>1.8456312145759643E-2</v>
      </c>
      <c r="O23" s="5" t="s">
        <v>25</v>
      </c>
      <c r="P23" s="1">
        <v>413.50400000000002</v>
      </c>
      <c r="Q23" s="1">
        <v>406.34000000000003</v>
      </c>
      <c r="R23" s="1">
        <v>7.1639999999999997</v>
      </c>
      <c r="S23" s="11">
        <v>2.0202000000000053</v>
      </c>
      <c r="T23" s="103">
        <v>2.2210667853273497E-2</v>
      </c>
      <c r="V23" s="5" t="s">
        <v>27</v>
      </c>
      <c r="W23" s="1">
        <v>20</v>
      </c>
      <c r="X23" s="1">
        <v>19.670000000000002</v>
      </c>
      <c r="Y23" s="1">
        <v>0.32999999999999829</v>
      </c>
      <c r="Z23" s="11">
        <v>0.39800000000000002</v>
      </c>
      <c r="AA23" s="103">
        <v>3.6399999999999919E-2</v>
      </c>
    </row>
    <row r="24" spans="1:27">
      <c r="A24" s="1" t="s">
        <v>10</v>
      </c>
      <c r="B24" s="107">
        <v>1865.1499999999999</v>
      </c>
      <c r="C24" s="107">
        <v>1837.97</v>
      </c>
      <c r="D24" s="107">
        <v>27.179999999999993</v>
      </c>
      <c r="E24" s="107">
        <v>9.3779999999999966</v>
      </c>
      <c r="F24" s="110">
        <f t="shared" si="0"/>
        <v>1.9600568318901963E-2</v>
      </c>
      <c r="H24" s="1" t="s">
        <v>10</v>
      </c>
      <c r="I24" s="1">
        <v>3745.5459999999998</v>
      </c>
      <c r="J24" s="1">
        <v>3689.8199999999993</v>
      </c>
      <c r="K24" s="1">
        <v>55.725999999999992</v>
      </c>
      <c r="L24" s="1">
        <v>11.548999999999999</v>
      </c>
      <c r="M24" s="3">
        <v>1.7961333274240925E-2</v>
      </c>
      <c r="O24" s="5" t="s">
        <v>34</v>
      </c>
      <c r="P24" s="1">
        <v>197.28</v>
      </c>
      <c r="Q24" s="1">
        <v>194.72</v>
      </c>
      <c r="R24" s="1">
        <v>2.5599999999999987</v>
      </c>
      <c r="S24" s="11">
        <v>1.7010000000000001</v>
      </c>
      <c r="T24" s="103">
        <v>2.1598742903487424E-2</v>
      </c>
      <c r="V24" s="5" t="s">
        <v>127</v>
      </c>
      <c r="W24" s="1">
        <v>66</v>
      </c>
      <c r="X24" s="1">
        <v>65.5</v>
      </c>
      <c r="Y24" s="1">
        <v>0.50000000000000044</v>
      </c>
      <c r="Z24" s="11">
        <v>1.835</v>
      </c>
      <c r="AA24" s="103">
        <v>3.5378787878787885E-2</v>
      </c>
    </row>
    <row r="25" spans="1:27">
      <c r="A25" s="1" t="s">
        <v>122</v>
      </c>
      <c r="B25" s="107">
        <v>653.27</v>
      </c>
      <c r="C25" s="107">
        <v>647.54999999999995</v>
      </c>
      <c r="D25" s="107">
        <v>5.7200000000000202</v>
      </c>
      <c r="E25" s="107">
        <v>6.8100000000000023</v>
      </c>
      <c r="F25" s="110">
        <f t="shared" si="0"/>
        <v>1.9180430756042713E-2</v>
      </c>
      <c r="H25" s="1" t="s">
        <v>35</v>
      </c>
      <c r="I25" s="1">
        <v>951.52</v>
      </c>
      <c r="J25" s="1">
        <v>940.6099999999999</v>
      </c>
      <c r="K25" s="1">
        <v>10.909999999999989</v>
      </c>
      <c r="L25" s="1">
        <v>5.3530000000000015</v>
      </c>
      <c r="M25" s="3">
        <v>1.7091600807129636E-2</v>
      </c>
      <c r="O25" s="5" t="s">
        <v>35</v>
      </c>
      <c r="P25" s="1">
        <v>470.94000000000005</v>
      </c>
      <c r="Q25" s="1">
        <v>465.77</v>
      </c>
      <c r="R25" s="1">
        <v>5.1699999999999875</v>
      </c>
      <c r="S25" s="11">
        <v>4.8500000000000005</v>
      </c>
      <c r="T25" s="103">
        <v>2.1276595744680826E-2</v>
      </c>
      <c r="V25" s="5" t="s">
        <v>124</v>
      </c>
      <c r="W25" s="1">
        <v>140</v>
      </c>
      <c r="X25" s="1">
        <v>137.74</v>
      </c>
      <c r="Y25" s="1">
        <v>2.259999999999998</v>
      </c>
      <c r="Z25" s="11">
        <v>2.6540000000000039</v>
      </c>
      <c r="AA25" s="103">
        <v>3.5100000000000013E-2</v>
      </c>
    </row>
    <row r="26" spans="1:27">
      <c r="A26" s="1" t="s">
        <v>60</v>
      </c>
      <c r="B26" s="107">
        <v>42442.92</v>
      </c>
      <c r="C26" s="107">
        <v>42001.394999999997</v>
      </c>
      <c r="D26" s="107">
        <v>441.52499999999986</v>
      </c>
      <c r="E26" s="107">
        <v>349.44607000000002</v>
      </c>
      <c r="F26" s="110">
        <f t="shared" si="0"/>
        <v>1.8636113396533507E-2</v>
      </c>
      <c r="H26" s="1" t="s">
        <v>37</v>
      </c>
      <c r="I26" s="1">
        <v>1603.1299999999999</v>
      </c>
      <c r="J26" s="1">
        <v>1598.28</v>
      </c>
      <c r="K26" s="1">
        <v>4.8500000000000156</v>
      </c>
      <c r="L26" s="1">
        <v>22.093</v>
      </c>
      <c r="M26" s="3">
        <v>1.6806497289677081E-2</v>
      </c>
      <c r="O26" s="5" t="s">
        <v>24</v>
      </c>
      <c r="P26" s="1">
        <v>247.55</v>
      </c>
      <c r="Q26" s="1">
        <v>245.16999999999996</v>
      </c>
      <c r="R26" s="1">
        <v>2.3800000000000026</v>
      </c>
      <c r="S26" s="11">
        <v>2.6899999999999995</v>
      </c>
      <c r="T26" s="103">
        <v>2.0480710967481323E-2</v>
      </c>
      <c r="V26" s="5" t="s">
        <v>66</v>
      </c>
      <c r="W26" s="1">
        <v>117.09</v>
      </c>
      <c r="X26" s="1">
        <v>114.23999999999998</v>
      </c>
      <c r="Y26" s="1">
        <v>2.8500000000000014</v>
      </c>
      <c r="Z26" s="11">
        <v>0.90699999999999803</v>
      </c>
      <c r="AA26" s="103">
        <v>3.2086429242463056E-2</v>
      </c>
    </row>
    <row r="27" spans="1:27">
      <c r="A27" s="1" t="s">
        <v>31</v>
      </c>
      <c r="B27" s="107">
        <v>963.67000000000007</v>
      </c>
      <c r="C27" s="107">
        <v>954.05000000000007</v>
      </c>
      <c r="D27" s="107">
        <v>9.6199999999999903</v>
      </c>
      <c r="E27" s="107">
        <v>8.0660000000000007</v>
      </c>
      <c r="F27" s="110">
        <f t="shared" si="0"/>
        <v>1.8352755611360728E-2</v>
      </c>
      <c r="H27" s="1" t="s">
        <v>60</v>
      </c>
      <c r="I27" s="1">
        <v>81033.099000000002</v>
      </c>
      <c r="J27" s="1">
        <v>80297.294999999998</v>
      </c>
      <c r="K27" s="1">
        <v>735.80399999999975</v>
      </c>
      <c r="L27" s="1">
        <v>621.33439999999962</v>
      </c>
      <c r="M27" s="3">
        <v>1.674795135257013E-2</v>
      </c>
      <c r="O27" s="1" t="s">
        <v>129</v>
      </c>
      <c r="P27" s="1">
        <v>73.045999999999992</v>
      </c>
      <c r="Q27" s="1">
        <v>72.19</v>
      </c>
      <c r="R27" s="1">
        <v>0.8559999999999981</v>
      </c>
      <c r="S27" s="11">
        <v>0.6</v>
      </c>
      <c r="T27" s="3">
        <v>1.9932645182487725E-2</v>
      </c>
      <c r="V27" s="5" t="s">
        <v>12</v>
      </c>
      <c r="W27" s="1">
        <v>1038</v>
      </c>
      <c r="X27" s="1">
        <v>1028.0000000000002</v>
      </c>
      <c r="Y27" s="1">
        <v>9.9999999999999822</v>
      </c>
      <c r="Z27" s="11">
        <v>16.542999999999996</v>
      </c>
      <c r="AA27" s="103">
        <v>2.5571290944123293E-2</v>
      </c>
    </row>
    <row r="28" spans="1:27">
      <c r="A28" s="1" t="s">
        <v>16</v>
      </c>
      <c r="B28" s="107">
        <v>1141.79</v>
      </c>
      <c r="C28" s="107">
        <v>1128.3500000000001</v>
      </c>
      <c r="D28" s="107">
        <v>13.440000000000015</v>
      </c>
      <c r="E28" s="107">
        <v>7.1060000000000052</v>
      </c>
      <c r="F28" s="110">
        <f t="shared" si="0"/>
        <v>1.7994552413315951E-2</v>
      </c>
      <c r="H28" s="1" t="s">
        <v>44</v>
      </c>
      <c r="I28" s="1">
        <v>166.53</v>
      </c>
      <c r="J28" s="1">
        <v>165.95999999999998</v>
      </c>
      <c r="K28" s="1">
        <v>0.57000000000000028</v>
      </c>
      <c r="L28" s="1">
        <v>2.2144000000000004</v>
      </c>
      <c r="M28" s="3">
        <v>1.6720110490602298E-2</v>
      </c>
      <c r="O28" s="1" t="s">
        <v>23</v>
      </c>
      <c r="P28" s="1">
        <v>401.48400000000004</v>
      </c>
      <c r="Q28" s="1">
        <v>397.32999999999993</v>
      </c>
      <c r="R28" s="1">
        <v>4.1539999999999928</v>
      </c>
      <c r="S28" s="11">
        <v>3.8159999999999998</v>
      </c>
      <c r="T28" s="3">
        <v>1.9851351485986969E-2</v>
      </c>
      <c r="V28" s="5" t="s">
        <v>13</v>
      </c>
      <c r="W28" s="1">
        <v>435</v>
      </c>
      <c r="X28" s="1">
        <v>431.03000000000009</v>
      </c>
      <c r="Y28" s="1">
        <v>3.9700000000000095</v>
      </c>
      <c r="Z28" s="11">
        <v>6.1209999999999987</v>
      </c>
      <c r="AA28" s="103">
        <v>2.3197701149425307E-2</v>
      </c>
    </row>
    <row r="29" spans="1:27">
      <c r="A29" s="1" t="s">
        <v>14</v>
      </c>
      <c r="B29" s="107">
        <v>1000.7199999999998</v>
      </c>
      <c r="C29" s="107">
        <v>996.1</v>
      </c>
      <c r="D29" s="107">
        <v>4.6200000000000081</v>
      </c>
      <c r="E29" s="107">
        <v>12.987499999999997</v>
      </c>
      <c r="F29" s="110">
        <f t="shared" si="0"/>
        <v>1.7594831721160772E-2</v>
      </c>
      <c r="H29" s="1" t="s">
        <v>19</v>
      </c>
      <c r="I29" s="1">
        <v>2789.23</v>
      </c>
      <c r="J29" s="1">
        <v>2749.43</v>
      </c>
      <c r="K29" s="1">
        <v>39.79999999999999</v>
      </c>
      <c r="L29" s="1">
        <v>5.6550000000000011</v>
      </c>
      <c r="M29" s="3">
        <v>1.6296612326699478E-2</v>
      </c>
      <c r="O29" s="1" t="s">
        <v>13</v>
      </c>
      <c r="P29" s="1">
        <v>1610.9200000000003</v>
      </c>
      <c r="Q29" s="1">
        <v>1579.44</v>
      </c>
      <c r="R29" s="1">
        <v>31.479999999999993</v>
      </c>
      <c r="S29" s="11">
        <v>0.03</v>
      </c>
      <c r="T29" s="3">
        <v>1.9560251284980006E-2</v>
      </c>
      <c r="V29" s="5" t="s">
        <v>24</v>
      </c>
      <c r="W29" s="1">
        <v>143</v>
      </c>
      <c r="X29" s="1">
        <v>142.04</v>
      </c>
      <c r="Y29" s="1">
        <v>0.96000000000000529</v>
      </c>
      <c r="Z29" s="11">
        <v>2.3530000000000002</v>
      </c>
      <c r="AA29" s="103">
        <v>2.3167832167832206E-2</v>
      </c>
    </row>
    <row r="30" spans="1:27">
      <c r="A30" s="1" t="s">
        <v>26</v>
      </c>
      <c r="B30" s="107">
        <v>595.19000000000005</v>
      </c>
      <c r="C30" s="107">
        <v>589.99000000000012</v>
      </c>
      <c r="D30" s="107">
        <v>5.1999999999999966</v>
      </c>
      <c r="E30" s="107">
        <v>4.9150000000000009</v>
      </c>
      <c r="F30" s="110">
        <f t="shared" si="0"/>
        <v>1.6994573161511446E-2</v>
      </c>
      <c r="H30" s="1" t="s">
        <v>13</v>
      </c>
      <c r="I30" s="1">
        <v>3062.65</v>
      </c>
      <c r="J30" s="1">
        <v>3020.5600000000009</v>
      </c>
      <c r="K30" s="1">
        <v>42.089999999999939</v>
      </c>
      <c r="L30" s="1">
        <v>6.4220000000000148</v>
      </c>
      <c r="M30" s="3">
        <v>1.583987723050298E-2</v>
      </c>
      <c r="O30" s="1" t="s">
        <v>66</v>
      </c>
      <c r="P30" s="1">
        <v>105.102</v>
      </c>
      <c r="Q30" s="1">
        <v>102.95</v>
      </c>
      <c r="R30" s="1">
        <v>2.1519999999999975</v>
      </c>
      <c r="S30" s="11">
        <v>-0.11899999999999961</v>
      </c>
      <c r="T30" s="3">
        <v>1.9343114308005532E-2</v>
      </c>
      <c r="V30" s="5" t="s">
        <v>16</v>
      </c>
      <c r="W30" s="1">
        <v>465</v>
      </c>
      <c r="X30" s="1">
        <v>460.32</v>
      </c>
      <c r="Y30" s="1">
        <v>4.6800000000000033</v>
      </c>
      <c r="Z30" s="11">
        <v>5.9191999999999982</v>
      </c>
      <c r="AA30" s="103">
        <v>2.2793978494623657E-2</v>
      </c>
    </row>
    <row r="31" spans="1:27">
      <c r="A31" s="1" t="s">
        <v>27</v>
      </c>
      <c r="B31" s="107">
        <v>781.91999999999985</v>
      </c>
      <c r="C31" s="107">
        <v>775.41999999999985</v>
      </c>
      <c r="D31" s="107">
        <v>6.5000000000000036</v>
      </c>
      <c r="E31" s="107">
        <v>6.5610000000000017</v>
      </c>
      <c r="F31" s="110">
        <f t="shared" si="0"/>
        <v>1.6703754859832217E-2</v>
      </c>
      <c r="H31" s="1" t="s">
        <v>26</v>
      </c>
      <c r="I31" s="1">
        <v>1602.1499999999999</v>
      </c>
      <c r="J31" s="1">
        <v>1590.5300000000002</v>
      </c>
      <c r="K31" s="1">
        <v>11.620000000000051</v>
      </c>
      <c r="L31" s="1">
        <v>13.456000000000005</v>
      </c>
      <c r="M31" s="3">
        <v>1.5651468339418943E-2</v>
      </c>
      <c r="O31" s="1" t="s">
        <v>127</v>
      </c>
      <c r="P31" s="1">
        <v>70.037999999999997</v>
      </c>
      <c r="Q31" s="1">
        <v>69.900000000000006</v>
      </c>
      <c r="R31" s="1">
        <v>0.13799999999999812</v>
      </c>
      <c r="S31" s="11">
        <v>1.2100000000000002</v>
      </c>
      <c r="T31" s="3">
        <v>1.924669465147489E-2</v>
      </c>
      <c r="V31" s="1" t="s">
        <v>21</v>
      </c>
      <c r="W31" s="1">
        <v>640</v>
      </c>
      <c r="X31" s="1">
        <v>634.01</v>
      </c>
      <c r="Y31" s="1">
        <v>5.9900000000000055</v>
      </c>
      <c r="Z31" s="11">
        <v>6.67</v>
      </c>
      <c r="AA31" s="3">
        <v>1.9781250000000007E-2</v>
      </c>
    </row>
    <row r="32" spans="1:27">
      <c r="A32" s="1" t="s">
        <v>19</v>
      </c>
      <c r="B32" s="107">
        <v>2578.39</v>
      </c>
      <c r="C32" s="107">
        <v>2540.85</v>
      </c>
      <c r="D32" s="107">
        <v>37.539999999999978</v>
      </c>
      <c r="E32" s="107">
        <v>5.4710000000000001</v>
      </c>
      <c r="F32" s="110">
        <f t="shared" si="0"/>
        <v>1.668133990591027E-2</v>
      </c>
      <c r="H32" s="1" t="s">
        <v>29</v>
      </c>
      <c r="I32" s="1">
        <v>896.68999999999994</v>
      </c>
      <c r="J32" s="1">
        <v>887.69</v>
      </c>
      <c r="K32" s="1">
        <v>8.9999999999999929</v>
      </c>
      <c r="L32" s="1">
        <v>4.87</v>
      </c>
      <c r="M32" s="3">
        <v>1.5467998974004388E-2</v>
      </c>
      <c r="O32" s="1" t="s">
        <v>31</v>
      </c>
      <c r="P32" s="1">
        <v>414.18</v>
      </c>
      <c r="Q32" s="1">
        <v>411.42000000000007</v>
      </c>
      <c r="R32" s="1">
        <v>2.7600000000000051</v>
      </c>
      <c r="S32" s="11">
        <v>5.0760000000000014</v>
      </c>
      <c r="T32" s="3">
        <v>1.8919310444734189E-2</v>
      </c>
      <c r="V32" s="1" t="s">
        <v>19</v>
      </c>
      <c r="W32" s="1">
        <v>395</v>
      </c>
      <c r="X32" s="1">
        <v>390.6</v>
      </c>
      <c r="Y32" s="1">
        <v>4.4000000000000057</v>
      </c>
      <c r="Z32" s="11">
        <v>3.2260000000000009</v>
      </c>
      <c r="AA32" s="3">
        <v>1.9306329113924069E-2</v>
      </c>
    </row>
    <row r="33" spans="1:27">
      <c r="A33" s="1" t="s">
        <v>13</v>
      </c>
      <c r="B33" s="107">
        <v>2306.8000000000006</v>
      </c>
      <c r="C33" s="107">
        <v>2275.0499999999997</v>
      </c>
      <c r="D33" s="107">
        <v>31.750000000000025</v>
      </c>
      <c r="E33" s="107">
        <v>5.8659999999999988</v>
      </c>
      <c r="F33" s="110">
        <f t="shared" si="0"/>
        <v>1.630657187445813E-2</v>
      </c>
      <c r="H33" s="1" t="s">
        <v>127</v>
      </c>
      <c r="I33" s="1">
        <v>321.5</v>
      </c>
      <c r="J33" s="1">
        <v>318.83</v>
      </c>
      <c r="K33" s="1">
        <v>2.6700000000000053</v>
      </c>
      <c r="L33" s="1">
        <v>2.2749999999999999</v>
      </c>
      <c r="M33" s="3">
        <v>1.5381026438569225E-2</v>
      </c>
      <c r="O33" s="1" t="s">
        <v>19</v>
      </c>
      <c r="P33" s="1">
        <v>1025.07</v>
      </c>
      <c r="Q33" s="1">
        <v>1010.1599999999999</v>
      </c>
      <c r="R33" s="1">
        <v>14.909999999999986</v>
      </c>
      <c r="S33" s="11">
        <v>3.9350000000000001</v>
      </c>
      <c r="T33" s="3">
        <v>1.8384110353439263E-2</v>
      </c>
      <c r="V33" s="1" t="s">
        <v>15</v>
      </c>
      <c r="W33" s="1">
        <v>305</v>
      </c>
      <c r="X33" s="1">
        <v>303.58</v>
      </c>
      <c r="Y33" s="1">
        <v>1.4200000000000053</v>
      </c>
      <c r="Z33" s="11">
        <v>4.3614300000000004</v>
      </c>
      <c r="AA33" s="3">
        <v>1.895550819672133E-2</v>
      </c>
    </row>
    <row r="34" spans="1:27">
      <c r="A34" s="1" t="s">
        <v>34</v>
      </c>
      <c r="B34" s="107">
        <v>491.7700000000001</v>
      </c>
      <c r="C34" s="107">
        <v>485.83</v>
      </c>
      <c r="D34" s="107">
        <v>5.9400000000000119</v>
      </c>
      <c r="E34" s="107">
        <v>2.012</v>
      </c>
      <c r="F34" s="110">
        <f t="shared" si="0"/>
        <v>1.6170160847550706E-2</v>
      </c>
      <c r="H34" s="1" t="s">
        <v>31</v>
      </c>
      <c r="I34" s="1">
        <v>1853.04</v>
      </c>
      <c r="J34" s="1">
        <v>1833.5200000000002</v>
      </c>
      <c r="K34" s="1">
        <v>19.519999999999992</v>
      </c>
      <c r="L34" s="1">
        <v>8.8110000000000017</v>
      </c>
      <c r="M34" s="3">
        <v>1.528893062211285E-2</v>
      </c>
      <c r="O34" s="1" t="s">
        <v>130</v>
      </c>
      <c r="P34" s="1">
        <v>21.838000000000001</v>
      </c>
      <c r="Q34" s="1">
        <v>21.65</v>
      </c>
      <c r="R34" s="1">
        <v>0.18800000000000239</v>
      </c>
      <c r="S34" s="11">
        <v>0.188</v>
      </c>
      <c r="T34" s="3">
        <v>1.7217693928015494E-2</v>
      </c>
      <c r="V34" s="1" t="s">
        <v>122</v>
      </c>
      <c r="W34" s="1">
        <v>50</v>
      </c>
      <c r="X34" s="1">
        <v>49.59</v>
      </c>
      <c r="Y34" s="1">
        <v>0.41000000000000014</v>
      </c>
      <c r="Z34" s="11">
        <v>0.51900000000000002</v>
      </c>
      <c r="AA34" s="3">
        <v>1.8580000000000003E-2</v>
      </c>
    </row>
    <row r="35" spans="1:27">
      <c r="A35" s="1" t="s">
        <v>25</v>
      </c>
      <c r="B35" s="107">
        <v>1003.14</v>
      </c>
      <c r="C35" s="107">
        <v>991.36999999999989</v>
      </c>
      <c r="D35" s="107">
        <v>11.77</v>
      </c>
      <c r="E35" s="107">
        <v>4.1535999999999991</v>
      </c>
      <c r="F35" s="110">
        <f t="shared" si="0"/>
        <v>1.587375640488865E-2</v>
      </c>
      <c r="H35" s="1" t="s">
        <v>36</v>
      </c>
      <c r="I35" s="1">
        <v>872.63499999999999</v>
      </c>
      <c r="J35" s="1">
        <v>870.82500000000005</v>
      </c>
      <c r="K35" s="1">
        <v>1.8099999999999703</v>
      </c>
      <c r="L35" s="1">
        <v>11.469999999999995</v>
      </c>
      <c r="M35" s="3">
        <v>1.5218275682272618E-2</v>
      </c>
      <c r="O35" s="1" t="s">
        <v>117</v>
      </c>
      <c r="P35" s="1">
        <v>481.96000000000004</v>
      </c>
      <c r="Q35" s="1">
        <v>476.78000000000003</v>
      </c>
      <c r="R35" s="1">
        <v>5.1799999999999784</v>
      </c>
      <c r="S35" s="11">
        <v>2.6499999999999995</v>
      </c>
      <c r="T35" s="3">
        <v>1.6246161507178971E-2</v>
      </c>
      <c r="V35" s="1" t="s">
        <v>37</v>
      </c>
      <c r="W35" s="1">
        <v>150</v>
      </c>
      <c r="X35" s="1">
        <v>149.46</v>
      </c>
      <c r="Y35" s="1">
        <v>0.5400000000000027</v>
      </c>
      <c r="Z35" s="11">
        <v>2.1480000000000001</v>
      </c>
      <c r="AA35" s="3">
        <v>1.7920000000000019E-2</v>
      </c>
    </row>
    <row r="36" spans="1:27">
      <c r="A36" s="1" t="s">
        <v>127</v>
      </c>
      <c r="B36" s="107">
        <v>291.56</v>
      </c>
      <c r="C36" s="107">
        <v>289.51</v>
      </c>
      <c r="D36" s="107">
        <v>2.0500000000000007</v>
      </c>
      <c r="E36" s="107">
        <v>2.5150000000000001</v>
      </c>
      <c r="F36" s="110">
        <f t="shared" si="0"/>
        <v>1.5657154616545484E-2</v>
      </c>
      <c r="H36" s="1" t="s">
        <v>14</v>
      </c>
      <c r="I36" s="1">
        <v>6161.5680000000002</v>
      </c>
      <c r="J36" s="1">
        <v>6132.3500000000013</v>
      </c>
      <c r="K36" s="1">
        <v>29.217999999999996</v>
      </c>
      <c r="L36" s="1">
        <v>64.300399999999911</v>
      </c>
      <c r="M36" s="3">
        <v>1.5177695028278499E-2</v>
      </c>
      <c r="O36" s="1" t="s">
        <v>9</v>
      </c>
      <c r="P36" s="1">
        <v>789.73</v>
      </c>
      <c r="Q36" s="1">
        <v>781.42000000000019</v>
      </c>
      <c r="R36" s="1">
        <v>8.3100000000000023</v>
      </c>
      <c r="S36" s="11">
        <v>3.2910000000000008</v>
      </c>
      <c r="T36" s="3">
        <v>1.4689830701632206E-2</v>
      </c>
      <c r="V36" s="1" t="s">
        <v>130</v>
      </c>
      <c r="W36" s="1">
        <v>20</v>
      </c>
      <c r="X36" s="1">
        <v>19.739999999999998</v>
      </c>
      <c r="Y36" s="1">
        <v>0</v>
      </c>
      <c r="Z36" s="11">
        <v>0.35300000000000004</v>
      </c>
      <c r="AA36" s="3">
        <v>1.7650000000000002E-2</v>
      </c>
    </row>
    <row r="37" spans="1:27">
      <c r="A37" s="1" t="s">
        <v>130</v>
      </c>
      <c r="B37" s="107">
        <v>155.27000000000001</v>
      </c>
      <c r="C37" s="107">
        <v>154.09</v>
      </c>
      <c r="D37" s="107">
        <v>1.1800000000000068</v>
      </c>
      <c r="E37" s="107">
        <v>1.2250000000000001</v>
      </c>
      <c r="F37" s="110">
        <f t="shared" si="0"/>
        <v>1.5489147935853717E-2</v>
      </c>
      <c r="H37" s="1" t="s">
        <v>18</v>
      </c>
      <c r="I37" s="1">
        <v>3716.3259999999996</v>
      </c>
      <c r="J37" s="1">
        <v>3701.11</v>
      </c>
      <c r="K37" s="1">
        <v>15.21599999999998</v>
      </c>
      <c r="L37" s="1">
        <v>39.900999999999996</v>
      </c>
      <c r="M37" s="3">
        <v>1.4831045500314015E-2</v>
      </c>
      <c r="O37" s="1" t="s">
        <v>15</v>
      </c>
      <c r="P37" s="1">
        <v>107.52</v>
      </c>
      <c r="Q37" s="1">
        <v>106.20000000000002</v>
      </c>
      <c r="R37" s="1">
        <v>1.3200000000000003</v>
      </c>
      <c r="S37" s="11">
        <v>0</v>
      </c>
      <c r="T37" s="3">
        <v>1.2276785714285718E-2</v>
      </c>
      <c r="V37" s="1" t="s">
        <v>9</v>
      </c>
      <c r="W37" s="1">
        <v>550.54</v>
      </c>
      <c r="X37" s="1">
        <v>546.92000000000007</v>
      </c>
      <c r="Y37" s="1">
        <v>3.620000000000001</v>
      </c>
      <c r="Z37" s="11">
        <v>6.0230000000000006</v>
      </c>
      <c r="AA37" s="3">
        <v>1.7515530206706147E-2</v>
      </c>
    </row>
    <row r="38" spans="1:27">
      <c r="A38" s="1" t="s">
        <v>131</v>
      </c>
      <c r="B38" s="107">
        <v>85.49</v>
      </c>
      <c r="C38" s="107">
        <v>84.42</v>
      </c>
      <c r="D38" s="107">
        <v>1.0699999999999932</v>
      </c>
      <c r="E38" s="107">
        <v>0.21199999999999999</v>
      </c>
      <c r="F38" s="110">
        <f t="shared" si="0"/>
        <v>1.4995905953912659E-2</v>
      </c>
      <c r="H38" s="1" t="s">
        <v>30</v>
      </c>
      <c r="I38" s="1">
        <v>1220.3700000000001</v>
      </c>
      <c r="J38" s="1">
        <v>1210.5100000000002</v>
      </c>
      <c r="K38" s="1">
        <v>9.8599999999999675</v>
      </c>
      <c r="L38" s="1">
        <v>8.1530000000000005</v>
      </c>
      <c r="M38" s="3">
        <v>1.4760277620721558E-2</v>
      </c>
      <c r="O38" s="1" t="s">
        <v>11</v>
      </c>
      <c r="P38" s="1">
        <v>778.64000000000021</v>
      </c>
      <c r="Q38" s="1">
        <v>772.24000000000024</v>
      </c>
      <c r="R38" s="1">
        <v>6.3999999999999915</v>
      </c>
      <c r="S38" s="11">
        <v>1.984</v>
      </c>
      <c r="T38" s="3">
        <v>1.0767492037398527E-2</v>
      </c>
      <c r="V38" s="1" t="s">
        <v>14</v>
      </c>
      <c r="W38" s="1">
        <v>1766.3</v>
      </c>
      <c r="X38" s="1">
        <v>1755.34</v>
      </c>
      <c r="Y38" s="1">
        <v>10.959999999999958</v>
      </c>
      <c r="Z38" s="11">
        <v>16.510000000000005</v>
      </c>
      <c r="AA38" s="3">
        <v>1.5552284436392439E-2</v>
      </c>
    </row>
    <row r="39" spans="1:27">
      <c r="A39" s="1" t="s">
        <v>29</v>
      </c>
      <c r="B39" s="107">
        <v>832.19999999999982</v>
      </c>
      <c r="C39" s="107">
        <v>824.70999999999992</v>
      </c>
      <c r="D39" s="107">
        <v>7.4899999999999878</v>
      </c>
      <c r="E39" s="107">
        <v>4.9420000000000011</v>
      </c>
      <c r="F39" s="110">
        <f t="shared" si="0"/>
        <v>1.4938716654650313E-2</v>
      </c>
      <c r="H39" s="1" t="s">
        <v>23</v>
      </c>
      <c r="I39" s="1">
        <v>2480.09</v>
      </c>
      <c r="J39" s="1">
        <v>2457.14</v>
      </c>
      <c r="K39" s="1">
        <v>22.949999999999978</v>
      </c>
      <c r="L39" s="1">
        <v>11.719999999999999</v>
      </c>
      <c r="M39" s="3">
        <v>1.3979331395231612E-2</v>
      </c>
      <c r="O39" s="1" t="s">
        <v>27</v>
      </c>
      <c r="P39" s="1">
        <v>604.1</v>
      </c>
      <c r="Q39" s="1">
        <v>598.71000000000015</v>
      </c>
      <c r="R39" s="1">
        <v>5.3900000000000059</v>
      </c>
      <c r="S39" s="11">
        <v>9.8000000000000004E-2</v>
      </c>
      <c r="T39" s="3">
        <v>9.0845886442642038E-3</v>
      </c>
      <c r="V39" s="1" t="s">
        <v>34</v>
      </c>
      <c r="W39" s="1">
        <v>594</v>
      </c>
      <c r="X39" s="1">
        <v>587.92999999999984</v>
      </c>
      <c r="Y39" s="1">
        <v>6.0700000000000216</v>
      </c>
      <c r="Z39" s="11">
        <v>1.8040000000000003</v>
      </c>
      <c r="AA39" s="3">
        <v>1.3255892255892293E-2</v>
      </c>
    </row>
    <row r="40" spans="1:27">
      <c r="A40" s="1" t="s">
        <v>23</v>
      </c>
      <c r="B40" s="107">
        <v>1200.1099999999999</v>
      </c>
      <c r="C40" s="107">
        <v>1190.6500000000001</v>
      </c>
      <c r="D40" s="107">
        <v>9.459999999999976</v>
      </c>
      <c r="E40" s="107">
        <v>7.7879999999999985</v>
      </c>
      <c r="F40" s="110">
        <f t="shared" si="0"/>
        <v>1.4372015898542615E-2</v>
      </c>
      <c r="H40" s="1" t="s">
        <v>16</v>
      </c>
      <c r="I40" s="1">
        <v>2935.38</v>
      </c>
      <c r="J40" s="1">
        <v>2907.9499999999994</v>
      </c>
      <c r="K40" s="1">
        <v>27.429999999999986</v>
      </c>
      <c r="L40" s="1">
        <v>13.485999999999983</v>
      </c>
      <c r="M40" s="3">
        <v>1.3938910805415301E-2</v>
      </c>
      <c r="O40" s="1" t="s">
        <v>37</v>
      </c>
      <c r="P40" s="1">
        <v>296.82</v>
      </c>
      <c r="Q40" s="1">
        <v>295.53000000000003</v>
      </c>
      <c r="R40" s="1">
        <v>1.2900000000000098</v>
      </c>
      <c r="S40" s="11">
        <v>1.17</v>
      </c>
      <c r="T40" s="3">
        <v>8.2878512229634452E-3</v>
      </c>
      <c r="V40" s="1" t="s">
        <v>17</v>
      </c>
      <c r="W40" s="1">
        <v>650</v>
      </c>
      <c r="X40" s="1">
        <v>645.51</v>
      </c>
      <c r="Y40" s="1">
        <v>4.4899999999999984</v>
      </c>
      <c r="Z40" s="11">
        <v>3.8240000000000016</v>
      </c>
      <c r="AA40" s="3">
        <v>1.2790769230769231E-2</v>
      </c>
    </row>
    <row r="41" spans="1:27">
      <c r="A41" s="1" t="s">
        <v>35</v>
      </c>
      <c r="B41" s="107">
        <v>2206.94</v>
      </c>
      <c r="C41" s="107">
        <v>2184.09</v>
      </c>
      <c r="D41" s="107">
        <v>22.849999999999973</v>
      </c>
      <c r="E41" s="107">
        <v>5.9420000000000002</v>
      </c>
      <c r="F41" s="110">
        <f t="shared" si="0"/>
        <v>1.3046118154548821E-2</v>
      </c>
      <c r="H41" s="1" t="s">
        <v>25</v>
      </c>
      <c r="I41" s="1">
        <v>1743.17</v>
      </c>
      <c r="J41" s="1">
        <v>1724.7300000000002</v>
      </c>
      <c r="K41" s="1">
        <v>18.44000000000003</v>
      </c>
      <c r="L41" s="1">
        <v>5.2910000000000084</v>
      </c>
      <c r="M41" s="3">
        <v>1.3613703769569253E-2</v>
      </c>
      <c r="O41" s="1" t="s">
        <v>8</v>
      </c>
      <c r="P41" s="1">
        <v>660.87399999999991</v>
      </c>
      <c r="Q41" s="1">
        <v>655.92000000000007</v>
      </c>
      <c r="R41" s="1">
        <v>4.9540000000000077</v>
      </c>
      <c r="S41" s="11">
        <v>0.154</v>
      </c>
      <c r="T41" s="3">
        <v>7.7291586595932176E-3</v>
      </c>
      <c r="V41" s="1" t="s">
        <v>20</v>
      </c>
      <c r="W41" s="1">
        <v>220</v>
      </c>
      <c r="X41" s="1">
        <v>219.22000000000003</v>
      </c>
      <c r="Y41" s="1">
        <v>0.77999999999999403</v>
      </c>
      <c r="Z41" s="11">
        <v>1.9469999999999985</v>
      </c>
      <c r="AA41" s="3">
        <v>1.239545454545451E-2</v>
      </c>
    </row>
    <row r="42" spans="1:27">
      <c r="A42" s="1" t="s">
        <v>18</v>
      </c>
      <c r="B42" s="107">
        <v>2389.4199999999996</v>
      </c>
      <c r="C42" s="107">
        <v>2369.21</v>
      </c>
      <c r="D42" s="107">
        <v>20.210000000000036</v>
      </c>
      <c r="E42" s="107">
        <v>9.6479999999999873</v>
      </c>
      <c r="F42" s="110">
        <f t="shared" si="0"/>
        <v>1.2495919511848076E-2</v>
      </c>
      <c r="H42" s="1" t="s">
        <v>32</v>
      </c>
      <c r="I42" s="1">
        <v>803.84</v>
      </c>
      <c r="J42" s="1">
        <v>797.32999999999993</v>
      </c>
      <c r="K42" s="1">
        <v>6.5099999999999874</v>
      </c>
      <c r="L42" s="1">
        <v>4.1229999999999958</v>
      </c>
      <c r="M42" s="3">
        <v>1.3227756767515902E-2</v>
      </c>
      <c r="O42" s="1" t="s">
        <v>18</v>
      </c>
      <c r="P42" s="1">
        <v>576.88800000000015</v>
      </c>
      <c r="Q42" s="1">
        <v>572.5</v>
      </c>
      <c r="R42" s="1">
        <v>4.3880000000000052</v>
      </c>
      <c r="S42" s="11">
        <v>0</v>
      </c>
      <c r="T42" s="3">
        <v>7.6063291314778679E-3</v>
      </c>
      <c r="V42" s="1" t="s">
        <v>18</v>
      </c>
      <c r="W42" s="1">
        <v>850</v>
      </c>
      <c r="X42" s="1">
        <v>846.85</v>
      </c>
      <c r="Y42" s="1">
        <v>3.1500000000000021</v>
      </c>
      <c r="Z42" s="11">
        <v>6.0890000000000102</v>
      </c>
      <c r="AA42" s="3">
        <v>1.0869411764705897E-2</v>
      </c>
    </row>
    <row r="43" spans="1:27">
      <c r="A43" s="1" t="s">
        <v>11</v>
      </c>
      <c r="B43" s="107">
        <v>2158.2600000000002</v>
      </c>
      <c r="C43" s="107">
        <v>2141.4800000000005</v>
      </c>
      <c r="D43" s="107">
        <v>16.779999999999994</v>
      </c>
      <c r="E43" s="107">
        <v>9.7639999999999993</v>
      </c>
      <c r="F43" s="110">
        <f t="shared" si="0"/>
        <v>1.2298796252536761E-2</v>
      </c>
      <c r="H43" s="1" t="s">
        <v>34</v>
      </c>
      <c r="I43" s="1">
        <v>1820.4699999999998</v>
      </c>
      <c r="J43" s="1">
        <v>1802.9799999999998</v>
      </c>
      <c r="K43" s="1">
        <v>17.489999999999998</v>
      </c>
      <c r="L43" s="1">
        <v>3.5160000000000005</v>
      </c>
      <c r="M43" s="3">
        <v>1.1538778447324044E-2</v>
      </c>
      <c r="O43" s="1" t="s">
        <v>131</v>
      </c>
      <c r="P43" s="1">
        <v>55.71</v>
      </c>
      <c r="Q43" s="1">
        <v>55.33</v>
      </c>
      <c r="R43" s="1">
        <v>0.38000000000000256</v>
      </c>
      <c r="S43" s="11">
        <v>0</v>
      </c>
      <c r="T43" s="3">
        <v>6.8210375157063824E-3</v>
      </c>
      <c r="V43" s="1" t="s">
        <v>129</v>
      </c>
      <c r="W43" s="1">
        <v>60</v>
      </c>
      <c r="X43" s="1">
        <v>59.51</v>
      </c>
      <c r="Y43" s="1">
        <v>0.49000000000000199</v>
      </c>
      <c r="Z43" s="11">
        <v>0.13600000000000001</v>
      </c>
      <c r="AA43" s="3">
        <v>1.0433333333333367E-2</v>
      </c>
    </row>
    <row r="44" spans="1:27">
      <c r="A44" s="1" t="s">
        <v>8</v>
      </c>
      <c r="B44" s="107">
        <v>2416.9499999999998</v>
      </c>
      <c r="C44" s="107">
        <v>2396.1600000000003</v>
      </c>
      <c r="D44" s="107">
        <v>20.789999999999964</v>
      </c>
      <c r="E44" s="107">
        <v>8.0110000000000028</v>
      </c>
      <c r="F44" s="110">
        <f t="shared" si="0"/>
        <v>1.1916258093878637E-2</v>
      </c>
      <c r="H44" s="1" t="s">
        <v>11</v>
      </c>
      <c r="I44" s="1">
        <v>3730.5940000000001</v>
      </c>
      <c r="J44" s="1">
        <v>3704.3399999999997</v>
      </c>
      <c r="K44" s="1">
        <v>26.253999999999944</v>
      </c>
      <c r="L44" s="1">
        <v>9.6900000000000048</v>
      </c>
      <c r="M44" s="3">
        <v>9.6349267703748909E-3</v>
      </c>
      <c r="O44" s="1" t="s">
        <v>17</v>
      </c>
      <c r="P44" s="1">
        <v>756.2199999999998</v>
      </c>
      <c r="Q44" s="1">
        <v>751.49999999999977</v>
      </c>
      <c r="R44" s="1">
        <v>4.7200000000000095</v>
      </c>
      <c r="S44" s="11">
        <v>0</v>
      </c>
      <c r="T44" s="3">
        <v>6.2415699135172443E-3</v>
      </c>
      <c r="V44" s="1" t="s">
        <v>8</v>
      </c>
      <c r="W44" s="1">
        <v>1855.04</v>
      </c>
      <c r="X44" s="1">
        <v>1842.8999999999999</v>
      </c>
      <c r="Y44" s="1">
        <v>12.140000000000029</v>
      </c>
      <c r="Z44" s="11">
        <v>6.5899999999999883</v>
      </c>
      <c r="AA44" s="3">
        <v>1.0096817319303097E-2</v>
      </c>
    </row>
    <row r="45" spans="1:27">
      <c r="A45" s="1" t="s">
        <v>32</v>
      </c>
      <c r="B45" s="107">
        <v>1076.3999999999999</v>
      </c>
      <c r="C45" s="107">
        <v>1068.96</v>
      </c>
      <c r="D45" s="107">
        <v>7.4399999999999729</v>
      </c>
      <c r="E45" s="107">
        <v>4.4519999999999937</v>
      </c>
      <c r="F45" s="110">
        <f t="shared" si="0"/>
        <v>1.1047937569676671E-2</v>
      </c>
      <c r="H45" s="1" t="s">
        <v>22</v>
      </c>
      <c r="I45" s="1">
        <v>2683.5899999999997</v>
      </c>
      <c r="J45" s="1">
        <v>2668.9599999999996</v>
      </c>
      <c r="K45" s="1">
        <v>14.630000000000045</v>
      </c>
      <c r="L45" s="1">
        <v>10.509</v>
      </c>
      <c r="M45" s="3">
        <v>9.3676753900558754E-3</v>
      </c>
      <c r="O45" s="1" t="s">
        <v>14</v>
      </c>
      <c r="P45" s="1">
        <v>476.96</v>
      </c>
      <c r="Q45" s="1">
        <v>472.21</v>
      </c>
      <c r="R45" s="1">
        <v>4.7499999999999929</v>
      </c>
      <c r="S45" s="11">
        <v>-3.9620000000000011</v>
      </c>
      <c r="T45" s="3">
        <v>1.6521301576651959E-3</v>
      </c>
      <c r="V45" s="1" t="s">
        <v>22</v>
      </c>
      <c r="W45" s="1">
        <v>1160</v>
      </c>
      <c r="X45" s="1">
        <v>1152.9599999999998</v>
      </c>
      <c r="Y45" s="1">
        <v>7.039999999999992</v>
      </c>
      <c r="Z45" s="11">
        <v>4.4909999999999997</v>
      </c>
      <c r="AA45" s="3">
        <v>9.9405172413793031E-3</v>
      </c>
    </row>
    <row r="46" spans="1:27">
      <c r="A46" s="1" t="s">
        <v>37</v>
      </c>
      <c r="B46" s="107">
        <v>964.18999999999994</v>
      </c>
      <c r="C46" s="107">
        <v>960.75000000000023</v>
      </c>
      <c r="D46" s="107">
        <v>3.4400000000000013</v>
      </c>
      <c r="E46" s="107">
        <v>6.7180000000000017</v>
      </c>
      <c r="F46" s="110">
        <f t="shared" si="0"/>
        <v>1.0535267945114555E-2</v>
      </c>
      <c r="H46" s="1" t="s">
        <v>17</v>
      </c>
      <c r="I46" s="1">
        <v>2185.77</v>
      </c>
      <c r="J46" s="1">
        <v>2171.1199999999994</v>
      </c>
      <c r="K46" s="1">
        <v>14.650000000000031</v>
      </c>
      <c r="L46" s="1">
        <v>5.0590000000000011</v>
      </c>
      <c r="M46" s="3">
        <v>9.0169596984129314E-3</v>
      </c>
      <c r="O46" s="1"/>
      <c r="P46" s="1"/>
      <c r="Q46" s="1"/>
      <c r="R46" s="1"/>
      <c r="S46" s="11"/>
      <c r="T46" s="3"/>
      <c r="V46" s="1" t="s">
        <v>36</v>
      </c>
      <c r="W46" s="1">
        <v>460.255</v>
      </c>
      <c r="X46" s="1">
        <v>459.36</v>
      </c>
      <c r="Y46" s="1">
        <v>0.89500000000000934</v>
      </c>
      <c r="Z46" s="11">
        <v>1.3850000000000053</v>
      </c>
      <c r="AA46" s="3">
        <v>4.9537756243821672E-3</v>
      </c>
    </row>
    <row r="47" spans="1:27">
      <c r="A47" s="1" t="s">
        <v>22</v>
      </c>
      <c r="B47" s="107">
        <v>1083.0899999999999</v>
      </c>
      <c r="C47" s="107">
        <v>1077.2299999999998</v>
      </c>
      <c r="D47" s="107">
        <v>5.8600000000000136</v>
      </c>
      <c r="E47" s="107">
        <v>4.8449999999999989</v>
      </c>
      <c r="F47" s="110">
        <f t="shared" si="0"/>
        <v>9.8837585057566894E-3</v>
      </c>
      <c r="H47" s="1" t="s">
        <v>8</v>
      </c>
      <c r="I47" s="1">
        <v>7737.1900000000005</v>
      </c>
      <c r="J47" s="1">
        <v>7676.5499999999993</v>
      </c>
      <c r="K47" s="1">
        <v>60.639999999999944</v>
      </c>
      <c r="L47" s="1">
        <v>8.0810000000000137</v>
      </c>
      <c r="M47" s="3">
        <v>8.8819067387514022E-3</v>
      </c>
      <c r="O47" s="1"/>
      <c r="P47" s="1"/>
      <c r="Q47" s="1"/>
      <c r="R47" s="1"/>
      <c r="S47" s="11"/>
      <c r="T47" s="3"/>
      <c r="V47" s="1" t="s">
        <v>131</v>
      </c>
      <c r="W47" s="1">
        <v>40</v>
      </c>
      <c r="X47" s="1">
        <v>40.380000000000003</v>
      </c>
      <c r="Y47" s="1">
        <v>-0.38000000000000256</v>
      </c>
      <c r="Z47" s="11">
        <v>0.2</v>
      </c>
      <c r="AA47" s="3">
        <v>-4.5000000000000638E-3</v>
      </c>
    </row>
    <row r="48" spans="1:27">
      <c r="A48" s="1" t="s">
        <v>17</v>
      </c>
      <c r="B48" s="107">
        <v>1455.67</v>
      </c>
      <c r="C48" s="107">
        <v>1447.5699999999997</v>
      </c>
      <c r="D48" s="107">
        <v>8.0999999999999979</v>
      </c>
      <c r="E48" s="107">
        <v>3.8849999999999998</v>
      </c>
      <c r="F48" s="110">
        <f t="shared" si="0"/>
        <v>8.2333221128415082E-3</v>
      </c>
      <c r="H48" s="1" t="s">
        <v>131</v>
      </c>
      <c r="I48" s="1">
        <v>60</v>
      </c>
      <c r="J48" s="1">
        <v>59.82</v>
      </c>
      <c r="K48" s="1">
        <v>0.17999999999999972</v>
      </c>
      <c r="L48" s="1">
        <v>0.222</v>
      </c>
      <c r="M48" s="3">
        <v>6.699999999999995E-3</v>
      </c>
      <c r="O48" s="1"/>
      <c r="P48" s="1"/>
      <c r="Q48" s="1"/>
      <c r="R48" s="1"/>
      <c r="S48" s="11"/>
      <c r="T48" s="3"/>
      <c r="V48" s="1" t="s">
        <v>126</v>
      </c>
      <c r="W48" s="1">
        <v>26.95</v>
      </c>
      <c r="X48" s="1">
        <v>26.54</v>
      </c>
      <c r="Y48" s="1">
        <v>0.40999999999999925</v>
      </c>
      <c r="Z48" s="11">
        <v>-1.1099999999999985</v>
      </c>
      <c r="AA48" s="3">
        <v>-2.5974025974025948E-2</v>
      </c>
    </row>
    <row r="49" spans="1:27">
      <c r="A49" s="1"/>
      <c r="B49" s="1"/>
      <c r="C49" s="1"/>
      <c r="D49" s="1"/>
      <c r="E49" s="1"/>
      <c r="F49" s="1"/>
      <c r="H49" s="1" t="s">
        <v>126</v>
      </c>
      <c r="I49" s="1">
        <v>40</v>
      </c>
      <c r="J49" s="1">
        <v>39.68</v>
      </c>
      <c r="K49" s="1">
        <v>0.32000000000000028</v>
      </c>
      <c r="L49" s="1">
        <v>-0.24000000000000016</v>
      </c>
      <c r="M49" s="3">
        <v>2.0000000000000031E-3</v>
      </c>
      <c r="O49" s="1"/>
      <c r="P49" s="1"/>
      <c r="Q49" s="1"/>
      <c r="R49" s="1"/>
      <c r="S49" s="11"/>
      <c r="T49" s="3"/>
      <c r="V49" s="1"/>
      <c r="W49" s="1"/>
      <c r="X49" s="1"/>
      <c r="Y49" s="1"/>
      <c r="Z49" s="11"/>
      <c r="AA49" s="3"/>
    </row>
  </sheetData>
  <autoFilter ref="A2:F48" xr:uid="{0883C496-67BC-436A-8AD6-30FD1A0E3442}">
    <sortState xmlns:xlrd2="http://schemas.microsoft.com/office/spreadsheetml/2017/richdata2" ref="A3:F48">
      <sortCondition descending="1" ref="F2:F48"/>
    </sortState>
  </autoFilter>
  <mergeCells count="4">
    <mergeCell ref="A1:F1"/>
    <mergeCell ref="H1:M1"/>
    <mergeCell ref="O1:T1"/>
    <mergeCell ref="V1:AA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7AD0B-DC71-47FB-912A-FDE96F09E50C}">
  <sheetPr>
    <tabColor rgb="FF92D050"/>
  </sheetPr>
  <dimension ref="A1:R1397"/>
  <sheetViews>
    <sheetView workbookViewId="0">
      <pane xSplit="1" ySplit="2" topLeftCell="B1329" activePane="bottomRight" state="frozen"/>
      <selection activeCell="B1009" sqref="B1009"/>
      <selection pane="topRight" activeCell="B1009" sqref="B1009"/>
      <selection pane="bottomLeft" activeCell="B1009" sqref="B1009"/>
      <selection pane="bottomRight" activeCell="G1333" sqref="G1333"/>
    </sheetView>
  </sheetViews>
  <sheetFormatPr defaultRowHeight="14.4"/>
  <cols>
    <col min="2" max="2" width="16.44140625" bestFit="1" customWidth="1"/>
    <col min="3" max="5" width="8.88671875" style="9"/>
    <col min="6" max="6" width="13.44140625" style="12" customWidth="1"/>
    <col min="7" max="7" width="8.88671875" style="4"/>
    <col min="18" max="18" width="15.44140625" style="97" customWidth="1"/>
  </cols>
  <sheetData>
    <row r="1" spans="1:18">
      <c r="A1" s="113" t="s">
        <v>40</v>
      </c>
      <c r="B1" s="113"/>
      <c r="C1" s="114"/>
      <c r="D1" s="114"/>
      <c r="E1" s="114"/>
      <c r="F1" s="115"/>
      <c r="G1" s="116"/>
    </row>
    <row r="2" spans="1:18">
      <c r="A2" s="5" t="s">
        <v>1</v>
      </c>
      <c r="B2" s="5" t="s">
        <v>0</v>
      </c>
      <c r="C2" s="8" t="s">
        <v>2</v>
      </c>
      <c r="D2" s="8" t="s">
        <v>3</v>
      </c>
      <c r="E2" s="8" t="s">
        <v>4</v>
      </c>
      <c r="F2" s="10" t="s">
        <v>5</v>
      </c>
      <c r="G2" s="7" t="s">
        <v>6</v>
      </c>
    </row>
    <row r="3" spans="1:18">
      <c r="A3" s="1">
        <v>1</v>
      </c>
      <c r="B3" s="1" t="s">
        <v>8</v>
      </c>
      <c r="C3" s="11">
        <v>49.75</v>
      </c>
      <c r="D3" s="11">
        <v>49.57</v>
      </c>
      <c r="E3" s="2">
        <f>C3-D3</f>
        <v>0.17999999999999972</v>
      </c>
      <c r="F3" s="11">
        <v>0.25300000000000367</v>
      </c>
      <c r="G3" s="3">
        <f>(E3+F3)/C3</f>
        <v>8.7035175879397672E-3</v>
      </c>
      <c r="R3"/>
    </row>
    <row r="4" spans="1:18">
      <c r="A4" s="1">
        <v>2</v>
      </c>
      <c r="B4" s="1" t="s">
        <v>8</v>
      </c>
      <c r="C4" s="11">
        <v>49.14</v>
      </c>
      <c r="D4" s="11">
        <v>48.88</v>
      </c>
      <c r="E4" s="2">
        <f t="shared" ref="E4:E67" si="0">C4-D4</f>
        <v>0.25999999999999801</v>
      </c>
      <c r="F4" s="11">
        <v>0.23499999999999999</v>
      </c>
      <c r="G4" s="3">
        <f t="shared" ref="G4:G67" si="1">(E4+F4)/C4</f>
        <v>1.0073260073260032E-2</v>
      </c>
      <c r="R4"/>
    </row>
    <row r="5" spans="1:18">
      <c r="A5" s="1">
        <v>3</v>
      </c>
      <c r="B5" s="1" t="s">
        <v>8</v>
      </c>
      <c r="C5" s="11">
        <v>70.2</v>
      </c>
      <c r="D5" s="11">
        <v>69.709999999999994</v>
      </c>
      <c r="E5" s="2">
        <f t="shared" si="0"/>
        <v>0.49000000000000909</v>
      </c>
      <c r="F5" s="11">
        <v>0.32100000000000001</v>
      </c>
      <c r="G5" s="3">
        <f t="shared" si="1"/>
        <v>1.1552706552706682E-2</v>
      </c>
      <c r="R5"/>
    </row>
    <row r="6" spans="1:18">
      <c r="A6" s="1">
        <v>4</v>
      </c>
      <c r="B6" s="1" t="s">
        <v>8</v>
      </c>
      <c r="C6" s="11">
        <v>48.36</v>
      </c>
      <c r="D6" s="11">
        <v>48.01</v>
      </c>
      <c r="E6" s="2">
        <f t="shared" si="0"/>
        <v>0.35000000000000142</v>
      </c>
      <c r="F6" s="11">
        <v>0.21</v>
      </c>
      <c r="G6" s="3">
        <f t="shared" si="1"/>
        <v>1.1579818031430964E-2</v>
      </c>
      <c r="R6"/>
    </row>
    <row r="7" spans="1:18">
      <c r="A7" s="1">
        <v>5</v>
      </c>
      <c r="B7" s="1" t="s">
        <v>8</v>
      </c>
      <c r="C7" s="11">
        <v>55.96</v>
      </c>
      <c r="D7" s="11">
        <v>55.6</v>
      </c>
      <c r="E7" s="2">
        <f t="shared" si="0"/>
        <v>0.35999999999999943</v>
      </c>
      <c r="F7" s="11">
        <v>0.25800000000000001</v>
      </c>
      <c r="G7" s="3">
        <f t="shared" si="1"/>
        <v>1.1043602573266609E-2</v>
      </c>
      <c r="R7"/>
    </row>
    <row r="8" spans="1:18">
      <c r="A8" s="1">
        <v>6</v>
      </c>
      <c r="B8" s="1" t="s">
        <v>8</v>
      </c>
      <c r="C8" s="11">
        <v>45.16</v>
      </c>
      <c r="D8" s="11">
        <v>44.77</v>
      </c>
      <c r="E8" s="2">
        <f t="shared" si="0"/>
        <v>0.38999999999999346</v>
      </c>
      <c r="F8" s="11">
        <v>0.2</v>
      </c>
      <c r="G8" s="3">
        <f t="shared" si="1"/>
        <v>1.306465899025672E-2</v>
      </c>
      <c r="R8"/>
    </row>
    <row r="9" spans="1:18">
      <c r="A9" s="1">
        <v>7</v>
      </c>
      <c r="B9" s="1" t="s">
        <v>8</v>
      </c>
      <c r="C9" s="11">
        <v>52.66</v>
      </c>
      <c r="D9" s="11">
        <v>52.43</v>
      </c>
      <c r="E9" s="2">
        <f t="shared" si="0"/>
        <v>0.22999999999999687</v>
      </c>
      <c r="F9" s="11">
        <v>0.22</v>
      </c>
      <c r="G9" s="3">
        <f t="shared" si="1"/>
        <v>8.5453854918343501E-3</v>
      </c>
      <c r="R9"/>
    </row>
    <row r="10" spans="1:18">
      <c r="A10" s="1">
        <v>10</v>
      </c>
      <c r="B10" s="1" t="s">
        <v>8</v>
      </c>
      <c r="C10" s="11">
        <v>73.09</v>
      </c>
      <c r="D10" s="11">
        <v>72.45</v>
      </c>
      <c r="E10" s="2">
        <f t="shared" si="0"/>
        <v>0.64000000000000057</v>
      </c>
      <c r="F10" s="11">
        <v>0.35</v>
      </c>
      <c r="G10" s="3">
        <f t="shared" si="1"/>
        <v>1.3544944588863052E-2</v>
      </c>
      <c r="R10"/>
    </row>
    <row r="11" spans="1:18">
      <c r="A11" s="1">
        <v>8</v>
      </c>
      <c r="B11" s="1" t="s">
        <v>8</v>
      </c>
      <c r="C11" s="11">
        <v>29.67</v>
      </c>
      <c r="D11" s="11">
        <v>29.4</v>
      </c>
      <c r="E11" s="2">
        <f t="shared" si="0"/>
        <v>0.27000000000000313</v>
      </c>
      <c r="F11" s="11">
        <v>0.30099999999999999</v>
      </c>
      <c r="G11" s="3">
        <f t="shared" si="1"/>
        <v>1.9245028648466566E-2</v>
      </c>
    </row>
    <row r="12" spans="1:18">
      <c r="A12" s="1">
        <v>9</v>
      </c>
      <c r="B12" s="1" t="s">
        <v>8</v>
      </c>
      <c r="C12" s="11">
        <v>44.36</v>
      </c>
      <c r="D12" s="11">
        <v>44.08</v>
      </c>
      <c r="E12" s="2">
        <f t="shared" si="0"/>
        <v>0.28000000000000114</v>
      </c>
      <c r="F12" s="11">
        <v>0.25</v>
      </c>
      <c r="G12" s="3">
        <f t="shared" si="1"/>
        <v>1.1947700631199305E-2</v>
      </c>
      <c r="R12"/>
    </row>
    <row r="13" spans="1:18">
      <c r="A13" s="1">
        <v>11</v>
      </c>
      <c r="B13" s="1" t="s">
        <v>8</v>
      </c>
      <c r="C13" s="11">
        <v>110.17</v>
      </c>
      <c r="D13" s="11">
        <v>109.16</v>
      </c>
      <c r="E13" s="2">
        <f t="shared" si="0"/>
        <v>1.0100000000000051</v>
      </c>
      <c r="F13" s="11">
        <v>0.53</v>
      </c>
      <c r="G13" s="3">
        <f t="shared" si="1"/>
        <v>1.3978397022783019E-2</v>
      </c>
      <c r="R13"/>
    </row>
    <row r="14" spans="1:18">
      <c r="A14" s="1">
        <v>12</v>
      </c>
      <c r="B14" s="1" t="s">
        <v>8</v>
      </c>
      <c r="C14" s="11">
        <v>46.44</v>
      </c>
      <c r="D14" s="11">
        <v>45.92</v>
      </c>
      <c r="E14" s="2">
        <f t="shared" si="0"/>
        <v>0.51999999999999602</v>
      </c>
      <c r="F14" s="11">
        <v>0.14000000000000001</v>
      </c>
      <c r="G14" s="3">
        <f t="shared" si="1"/>
        <v>1.4211886304909476E-2</v>
      </c>
      <c r="R14"/>
    </row>
    <row r="15" spans="1:18">
      <c r="A15" s="1">
        <v>13</v>
      </c>
      <c r="B15" s="1" t="s">
        <v>8</v>
      </c>
      <c r="C15" s="11">
        <v>75.05</v>
      </c>
      <c r="D15" s="11">
        <v>74.41</v>
      </c>
      <c r="E15" s="2">
        <f t="shared" si="0"/>
        <v>0.64000000000000057</v>
      </c>
      <c r="F15" s="11">
        <v>0.21199999999999999</v>
      </c>
      <c r="G15" s="3">
        <f t="shared" si="1"/>
        <v>1.135243171219188E-2</v>
      </c>
      <c r="R15"/>
    </row>
    <row r="16" spans="1:18">
      <c r="A16" s="1">
        <v>14</v>
      </c>
      <c r="B16" s="1" t="s">
        <v>8</v>
      </c>
      <c r="C16" s="11">
        <v>100.47</v>
      </c>
      <c r="D16" s="11">
        <v>99.45</v>
      </c>
      <c r="E16" s="2">
        <f t="shared" si="0"/>
        <v>1.019999999999996</v>
      </c>
      <c r="F16" s="11">
        <v>0.432</v>
      </c>
      <c r="G16" s="3">
        <f t="shared" si="1"/>
        <v>1.4452075246342152E-2</v>
      </c>
      <c r="R16"/>
    </row>
    <row r="17" spans="1:7" customFormat="1">
      <c r="A17" s="1">
        <v>15</v>
      </c>
      <c r="B17" s="1" t="s">
        <v>8</v>
      </c>
      <c r="C17" s="11">
        <v>123.37</v>
      </c>
      <c r="D17" s="11">
        <v>122.59</v>
      </c>
      <c r="E17" s="2">
        <f t="shared" si="0"/>
        <v>0.78000000000000114</v>
      </c>
      <c r="F17" s="11">
        <v>0.40500000000000003</v>
      </c>
      <c r="G17" s="3">
        <f t="shared" si="1"/>
        <v>9.6052524925022385E-3</v>
      </c>
    </row>
    <row r="18" spans="1:7" customFormat="1">
      <c r="A18" s="1">
        <v>16</v>
      </c>
      <c r="B18" s="1" t="s">
        <v>8</v>
      </c>
      <c r="C18" s="11">
        <v>151.26</v>
      </c>
      <c r="D18" s="11">
        <v>149.77000000000001</v>
      </c>
      <c r="E18" s="2">
        <f t="shared" si="0"/>
        <v>1.4899999999999807</v>
      </c>
      <c r="F18" s="11">
        <v>0.52100000000000002</v>
      </c>
      <c r="G18" s="3">
        <f t="shared" si="1"/>
        <v>1.3294988761073521E-2</v>
      </c>
    </row>
    <row r="19" spans="1:7" customFormat="1">
      <c r="A19" s="1">
        <v>17</v>
      </c>
      <c r="B19" s="1" t="s">
        <v>8</v>
      </c>
      <c r="C19" s="11">
        <v>101.13</v>
      </c>
      <c r="D19" s="11">
        <v>100.03</v>
      </c>
      <c r="E19" s="2">
        <f t="shared" si="0"/>
        <v>1.0999999999999943</v>
      </c>
      <c r="F19" s="11">
        <v>0.34200000000000003</v>
      </c>
      <c r="G19" s="3">
        <f t="shared" si="1"/>
        <v>1.4258874715712395E-2</v>
      </c>
    </row>
    <row r="20" spans="1:7" customFormat="1">
      <c r="A20" s="1">
        <v>18</v>
      </c>
      <c r="B20" s="1" t="s">
        <v>8</v>
      </c>
      <c r="C20" s="11">
        <v>74.12</v>
      </c>
      <c r="D20" s="11">
        <v>73.52</v>
      </c>
      <c r="E20" s="2">
        <f t="shared" si="0"/>
        <v>0.60000000000000853</v>
      </c>
      <c r="F20" s="11">
        <v>0.41199999999999998</v>
      </c>
      <c r="G20" s="3">
        <f t="shared" si="1"/>
        <v>1.3653534808418893E-2</v>
      </c>
    </row>
    <row r="21" spans="1:7" customFormat="1">
      <c r="A21" s="1">
        <v>19</v>
      </c>
      <c r="B21" s="1" t="s">
        <v>8</v>
      </c>
      <c r="C21" s="11">
        <v>91.99</v>
      </c>
      <c r="D21" s="11">
        <v>91.27</v>
      </c>
      <c r="E21" s="2">
        <f t="shared" si="0"/>
        <v>0.71999999999999886</v>
      </c>
      <c r="F21" s="11">
        <v>0.20499999999999999</v>
      </c>
      <c r="G21" s="3">
        <f t="shared" si="1"/>
        <v>1.0055440808783551E-2</v>
      </c>
    </row>
    <row r="22" spans="1:7" customFormat="1">
      <c r="A22" s="1">
        <v>20</v>
      </c>
      <c r="B22" s="1" t="s">
        <v>8</v>
      </c>
      <c r="C22" s="11">
        <v>51.18</v>
      </c>
      <c r="D22" s="11">
        <v>50.63</v>
      </c>
      <c r="E22" s="2">
        <f t="shared" si="0"/>
        <v>0.54999999999999716</v>
      </c>
      <c r="F22" s="11">
        <v>0.12</v>
      </c>
      <c r="G22" s="3">
        <f t="shared" si="1"/>
        <v>1.309105119187177E-2</v>
      </c>
    </row>
    <row r="23" spans="1:7" customFormat="1">
      <c r="A23" s="1">
        <v>21</v>
      </c>
      <c r="B23" s="1" t="s">
        <v>8</v>
      </c>
      <c r="C23" s="11">
        <v>71.959999999999994</v>
      </c>
      <c r="D23" s="11">
        <v>71.36</v>
      </c>
      <c r="E23" s="2">
        <f t="shared" si="0"/>
        <v>0.59999999999999432</v>
      </c>
      <c r="F23" s="11">
        <v>0.22600000000000001</v>
      </c>
      <c r="G23" s="3">
        <f t="shared" si="1"/>
        <v>1.1478599221789804E-2</v>
      </c>
    </row>
    <row r="24" spans="1:7" customFormat="1">
      <c r="A24" s="1">
        <v>22</v>
      </c>
      <c r="B24" s="1" t="s">
        <v>8</v>
      </c>
      <c r="C24" s="11">
        <v>74.89</v>
      </c>
      <c r="D24" s="11">
        <v>74.22</v>
      </c>
      <c r="E24" s="2">
        <f t="shared" si="0"/>
        <v>0.67000000000000171</v>
      </c>
      <c r="F24" s="11">
        <v>0.312</v>
      </c>
      <c r="G24" s="3">
        <f t="shared" si="1"/>
        <v>1.3112565095473384E-2</v>
      </c>
    </row>
    <row r="25" spans="1:7" customFormat="1">
      <c r="A25" s="1">
        <v>23</v>
      </c>
      <c r="B25" s="1" t="s">
        <v>8</v>
      </c>
      <c r="C25" s="11">
        <v>78.7</v>
      </c>
      <c r="D25" s="11">
        <v>77.91</v>
      </c>
      <c r="E25" s="2">
        <f t="shared" si="0"/>
        <v>0.79000000000000625</v>
      </c>
      <c r="F25" s="11">
        <v>0.23</v>
      </c>
      <c r="G25" s="3">
        <f t="shared" si="1"/>
        <v>1.2960609911054717E-2</v>
      </c>
    </row>
    <row r="26" spans="1:7" customFormat="1">
      <c r="A26" s="1">
        <v>24</v>
      </c>
      <c r="B26" s="1" t="s">
        <v>8</v>
      </c>
      <c r="C26" s="11">
        <v>79.87</v>
      </c>
      <c r="D26" s="11">
        <v>79.209999999999994</v>
      </c>
      <c r="E26" s="2">
        <f t="shared" si="0"/>
        <v>0.6600000000000108</v>
      </c>
      <c r="F26" s="11">
        <v>0.26200000000000001</v>
      </c>
      <c r="G26" s="3">
        <f t="shared" si="1"/>
        <v>1.1543758607737709E-2</v>
      </c>
    </row>
    <row r="27" spans="1:7" customFormat="1">
      <c r="A27" s="1">
        <v>25</v>
      </c>
      <c r="B27" s="1" t="s">
        <v>8</v>
      </c>
      <c r="C27" s="11">
        <v>79.23</v>
      </c>
      <c r="D27" s="11">
        <v>78.55</v>
      </c>
      <c r="E27" s="2">
        <f t="shared" si="0"/>
        <v>0.68000000000000682</v>
      </c>
      <c r="F27" s="11">
        <v>0.23599999999999999</v>
      </c>
      <c r="G27" s="3">
        <f t="shared" si="1"/>
        <v>1.1561277293954396E-2</v>
      </c>
    </row>
    <row r="28" spans="1:7" customFormat="1">
      <c r="A28" s="1">
        <v>26</v>
      </c>
      <c r="B28" s="1" t="s">
        <v>8</v>
      </c>
      <c r="C28" s="11">
        <v>105.6</v>
      </c>
      <c r="D28" s="11">
        <v>104.76</v>
      </c>
      <c r="E28" s="2">
        <f t="shared" si="0"/>
        <v>0.8399999999999892</v>
      </c>
      <c r="F28" s="11">
        <v>0.23400000000000001</v>
      </c>
      <c r="G28" s="3">
        <f t="shared" si="1"/>
        <v>1.0170454545454444E-2</v>
      </c>
    </row>
    <row r="29" spans="1:7" customFormat="1">
      <c r="A29" s="1">
        <v>27</v>
      </c>
      <c r="B29" s="1" t="s">
        <v>8</v>
      </c>
      <c r="C29" s="11">
        <v>70.75</v>
      </c>
      <c r="D29" s="11">
        <v>70.2</v>
      </c>
      <c r="E29" s="2">
        <f t="shared" si="0"/>
        <v>0.54999999999999716</v>
      </c>
      <c r="F29" s="11">
        <v>9.1999999999999998E-2</v>
      </c>
      <c r="G29" s="3">
        <f t="shared" si="1"/>
        <v>9.0742049469964264E-3</v>
      </c>
    </row>
    <row r="30" spans="1:7" customFormat="1">
      <c r="A30" s="1">
        <v>28</v>
      </c>
      <c r="B30" s="1" t="s">
        <v>8</v>
      </c>
      <c r="C30" s="11">
        <v>75.930000000000007</v>
      </c>
      <c r="D30" s="11">
        <v>75.25</v>
      </c>
      <c r="E30" s="2">
        <f t="shared" si="0"/>
        <v>0.68000000000000682</v>
      </c>
      <c r="F30" s="11">
        <v>0.20100000000000001</v>
      </c>
      <c r="G30" s="3">
        <f t="shared" si="1"/>
        <v>1.1602792045304976E-2</v>
      </c>
    </row>
    <row r="31" spans="1:7" customFormat="1">
      <c r="A31" s="1">
        <v>29</v>
      </c>
      <c r="B31" s="1" t="s">
        <v>8</v>
      </c>
      <c r="C31" s="11">
        <v>69.959999999999994</v>
      </c>
      <c r="D31" s="11">
        <v>69.23</v>
      </c>
      <c r="E31" s="2">
        <f t="shared" si="0"/>
        <v>0.72999999999998977</v>
      </c>
      <c r="F31" s="11">
        <v>0.30099999999999999</v>
      </c>
      <c r="G31" s="3">
        <f t="shared" si="1"/>
        <v>1.47369925671811E-2</v>
      </c>
    </row>
    <row r="32" spans="1:7" customFormat="1">
      <c r="A32" s="1">
        <v>30</v>
      </c>
      <c r="B32" s="1" t="s">
        <v>8</v>
      </c>
      <c r="C32" s="11">
        <v>167.98</v>
      </c>
      <c r="D32" s="11">
        <v>166.3</v>
      </c>
      <c r="E32" s="2">
        <f t="shared" si="0"/>
        <v>1.6799999999999784</v>
      </c>
      <c r="F32" s="11">
        <v>0</v>
      </c>
      <c r="G32" s="3">
        <f t="shared" si="1"/>
        <v>1.0001190617930578E-2</v>
      </c>
    </row>
    <row r="33" spans="1:18">
      <c r="A33" s="1">
        <v>31</v>
      </c>
      <c r="B33" s="1" t="s">
        <v>8</v>
      </c>
      <c r="C33" s="11">
        <v>98.55</v>
      </c>
      <c r="D33" s="11">
        <v>97.52</v>
      </c>
      <c r="E33" s="2">
        <f t="shared" si="0"/>
        <v>1.0300000000000011</v>
      </c>
      <c r="F33" s="11">
        <v>0</v>
      </c>
      <c r="G33" s="3">
        <f t="shared" si="1"/>
        <v>1.045154743784882E-2</v>
      </c>
      <c r="R33"/>
    </row>
    <row r="34" spans="1:18">
      <c r="A34" s="1">
        <v>1</v>
      </c>
      <c r="B34" s="1" t="s">
        <v>9</v>
      </c>
      <c r="C34" s="11">
        <v>51.56</v>
      </c>
      <c r="D34" s="11">
        <v>51.42</v>
      </c>
      <c r="E34" s="2">
        <f t="shared" si="0"/>
        <v>0.14000000000000057</v>
      </c>
      <c r="F34" s="11">
        <v>1.1519999999999999</v>
      </c>
      <c r="G34" s="3">
        <f t="shared" si="1"/>
        <v>2.5058184639255243E-2</v>
      </c>
      <c r="R34"/>
    </row>
    <row r="35" spans="1:18">
      <c r="A35" s="1">
        <v>2</v>
      </c>
      <c r="B35" s="1" t="s">
        <v>9</v>
      </c>
      <c r="C35" s="11">
        <v>51.56</v>
      </c>
      <c r="D35" s="11">
        <v>51.42</v>
      </c>
      <c r="E35" s="2">
        <f t="shared" si="0"/>
        <v>0.14000000000000057</v>
      </c>
      <c r="F35" s="11">
        <v>0.997</v>
      </c>
      <c r="G35" s="3">
        <f t="shared" si="1"/>
        <v>2.2051978277734686E-2</v>
      </c>
      <c r="R35"/>
    </row>
    <row r="36" spans="1:18">
      <c r="A36" s="1">
        <v>3</v>
      </c>
      <c r="B36" s="1" t="s">
        <v>9</v>
      </c>
      <c r="C36" s="11">
        <v>206.57</v>
      </c>
      <c r="D36" s="11">
        <v>205.36</v>
      </c>
      <c r="E36" s="2">
        <f t="shared" si="0"/>
        <v>1.2099999999999795</v>
      </c>
      <c r="F36" s="11">
        <v>2.4940000000000002</v>
      </c>
      <c r="G36" s="3">
        <f t="shared" si="1"/>
        <v>1.7930967710703297E-2</v>
      </c>
      <c r="R36"/>
    </row>
    <row r="37" spans="1:18">
      <c r="A37" s="1">
        <v>4</v>
      </c>
      <c r="B37" s="1" t="s">
        <v>9</v>
      </c>
      <c r="C37" s="11">
        <v>49.62</v>
      </c>
      <c r="D37" s="11">
        <v>49.34</v>
      </c>
      <c r="E37" s="2">
        <f t="shared" si="0"/>
        <v>0.27999999999999403</v>
      </c>
      <c r="F37" s="11">
        <v>2.206</v>
      </c>
      <c r="G37" s="3">
        <f t="shared" si="1"/>
        <v>5.0100765820233657E-2</v>
      </c>
      <c r="R37"/>
    </row>
    <row r="38" spans="1:18">
      <c r="A38" s="1">
        <v>5</v>
      </c>
      <c r="B38" s="1" t="s">
        <v>9</v>
      </c>
      <c r="C38" s="11">
        <v>0</v>
      </c>
      <c r="D38" s="11">
        <v>0</v>
      </c>
      <c r="E38" s="2">
        <f t="shared" si="0"/>
        <v>0</v>
      </c>
      <c r="F38" s="11">
        <v>0</v>
      </c>
      <c r="G38" s="3" t="e">
        <f t="shared" si="1"/>
        <v>#DIV/0!</v>
      </c>
      <c r="R38"/>
    </row>
    <row r="39" spans="1:18">
      <c r="A39" s="1">
        <v>6</v>
      </c>
      <c r="B39" s="1" t="s">
        <v>9</v>
      </c>
      <c r="C39" s="11">
        <v>29.45</v>
      </c>
      <c r="D39" s="11">
        <v>29.34</v>
      </c>
      <c r="E39" s="2">
        <f t="shared" si="0"/>
        <v>0.10999999999999943</v>
      </c>
      <c r="F39" s="11">
        <v>0.21299999999999999</v>
      </c>
      <c r="G39" s="3">
        <f t="shared" si="1"/>
        <v>1.0967741935483851E-2</v>
      </c>
      <c r="R39"/>
    </row>
    <row r="40" spans="1:18">
      <c r="A40" s="1">
        <v>7</v>
      </c>
      <c r="B40" s="1" t="s">
        <v>9</v>
      </c>
      <c r="C40" s="11">
        <v>0</v>
      </c>
      <c r="D40" s="11">
        <v>0</v>
      </c>
      <c r="E40" s="2">
        <f t="shared" si="0"/>
        <v>0</v>
      </c>
      <c r="F40" s="11">
        <v>0.34300000000000003</v>
      </c>
      <c r="G40" s="3" t="e">
        <f t="shared" si="1"/>
        <v>#DIV/0!</v>
      </c>
      <c r="R40"/>
    </row>
    <row r="41" spans="1:18">
      <c r="A41" s="1">
        <v>10</v>
      </c>
      <c r="B41" s="1" t="s">
        <v>9</v>
      </c>
      <c r="C41" s="11">
        <v>70.95</v>
      </c>
      <c r="D41" s="11">
        <v>70.459999999999994</v>
      </c>
      <c r="E41" s="2">
        <f t="shared" si="0"/>
        <v>0.49000000000000909</v>
      </c>
      <c r="F41" s="11">
        <v>0.61</v>
      </c>
      <c r="G41" s="3">
        <f t="shared" si="1"/>
        <v>1.5503875968992374E-2</v>
      </c>
      <c r="R41"/>
    </row>
    <row r="42" spans="1:18">
      <c r="A42" s="1">
        <v>8</v>
      </c>
      <c r="B42" s="1" t="s">
        <v>9</v>
      </c>
      <c r="C42" s="11">
        <v>0</v>
      </c>
      <c r="D42" s="11">
        <v>0</v>
      </c>
      <c r="E42" s="2">
        <f t="shared" si="0"/>
        <v>0</v>
      </c>
      <c r="F42" s="11">
        <v>0</v>
      </c>
      <c r="G42" s="3" t="e">
        <f t="shared" si="1"/>
        <v>#DIV/0!</v>
      </c>
    </row>
    <row r="43" spans="1:18">
      <c r="A43" s="1">
        <v>9</v>
      </c>
      <c r="B43" s="1" t="s">
        <v>9</v>
      </c>
      <c r="C43" s="11">
        <v>0</v>
      </c>
      <c r="D43" s="11">
        <v>0</v>
      </c>
      <c r="E43" s="2">
        <f t="shared" si="0"/>
        <v>0</v>
      </c>
      <c r="F43" s="11">
        <v>0</v>
      </c>
      <c r="G43" s="3" t="e">
        <f t="shared" si="1"/>
        <v>#DIV/0!</v>
      </c>
      <c r="R43"/>
    </row>
    <row r="44" spans="1:18">
      <c r="A44" s="1">
        <v>11</v>
      </c>
      <c r="B44" s="1" t="s">
        <v>9</v>
      </c>
      <c r="C44" s="11">
        <v>128.9</v>
      </c>
      <c r="D44" s="11">
        <v>127.98</v>
      </c>
      <c r="E44" s="2">
        <f t="shared" si="0"/>
        <v>0.92000000000000171</v>
      </c>
      <c r="F44" s="11">
        <v>0</v>
      </c>
      <c r="G44" s="3">
        <f t="shared" si="1"/>
        <v>7.1373157486423712E-3</v>
      </c>
      <c r="R44"/>
    </row>
    <row r="45" spans="1:18">
      <c r="A45" s="1">
        <v>12</v>
      </c>
      <c r="B45" s="1" t="s">
        <v>9</v>
      </c>
      <c r="C45" s="11">
        <v>76.25</v>
      </c>
      <c r="D45" s="11">
        <v>75.92</v>
      </c>
      <c r="E45" s="2">
        <f t="shared" si="0"/>
        <v>0.32999999999999829</v>
      </c>
      <c r="F45" s="11">
        <v>1.5029999999999999</v>
      </c>
      <c r="G45" s="3">
        <f t="shared" si="1"/>
        <v>2.4039344262295058E-2</v>
      </c>
      <c r="R45"/>
    </row>
    <row r="46" spans="1:18">
      <c r="A46" s="1">
        <v>13</v>
      </c>
      <c r="B46" s="1" t="s">
        <v>9</v>
      </c>
      <c r="C46" s="11">
        <v>0</v>
      </c>
      <c r="D46" s="11">
        <v>0</v>
      </c>
      <c r="E46" s="2">
        <f t="shared" si="0"/>
        <v>0</v>
      </c>
      <c r="F46" s="11">
        <v>0.68100000000000005</v>
      </c>
      <c r="G46" s="3" t="e">
        <f t="shared" si="1"/>
        <v>#DIV/0!</v>
      </c>
      <c r="R46"/>
    </row>
    <row r="47" spans="1:18">
      <c r="A47" s="1">
        <v>14</v>
      </c>
      <c r="B47" s="1" t="s">
        <v>9</v>
      </c>
      <c r="C47" s="11">
        <v>53.62</v>
      </c>
      <c r="D47" s="11">
        <v>53.26</v>
      </c>
      <c r="E47" s="2">
        <f t="shared" si="0"/>
        <v>0.35999999999999943</v>
      </c>
      <c r="F47" s="11">
        <v>0.30599999999999999</v>
      </c>
      <c r="G47" s="3">
        <f t="shared" si="1"/>
        <v>1.2420738530399095E-2</v>
      </c>
      <c r="R47"/>
    </row>
    <row r="48" spans="1:18">
      <c r="A48" s="1">
        <v>15</v>
      </c>
      <c r="B48" s="1" t="s">
        <v>9</v>
      </c>
      <c r="C48" s="11">
        <v>54.91</v>
      </c>
      <c r="D48" s="11">
        <v>54.18</v>
      </c>
      <c r="E48" s="2">
        <f t="shared" si="0"/>
        <v>0.72999999999999687</v>
      </c>
      <c r="F48" s="11">
        <v>1.3080000000000001</v>
      </c>
      <c r="G48" s="3">
        <f t="shared" si="1"/>
        <v>3.7115279548351789E-2</v>
      </c>
      <c r="R48"/>
    </row>
    <row r="49" spans="1:7" customFormat="1">
      <c r="A49" s="1">
        <v>16</v>
      </c>
      <c r="B49" s="1" t="s">
        <v>9</v>
      </c>
      <c r="C49" s="11">
        <v>27.65</v>
      </c>
      <c r="D49" s="11">
        <v>27.56</v>
      </c>
      <c r="E49" s="2">
        <f t="shared" si="0"/>
        <v>8.9999999999999858E-2</v>
      </c>
      <c r="F49" s="11">
        <v>0.27</v>
      </c>
      <c r="G49" s="3">
        <f t="shared" si="1"/>
        <v>1.3019891500904155E-2</v>
      </c>
    </row>
    <row r="50" spans="1:7" customFormat="1">
      <c r="A50" s="1">
        <v>17</v>
      </c>
      <c r="B50" s="1" t="s">
        <v>9</v>
      </c>
      <c r="C50" s="11">
        <v>0</v>
      </c>
      <c r="D50" s="11">
        <v>0</v>
      </c>
      <c r="E50" s="2">
        <f t="shared" si="0"/>
        <v>0</v>
      </c>
      <c r="F50" s="11">
        <v>0</v>
      </c>
      <c r="G50" s="3" t="e">
        <f t="shared" si="1"/>
        <v>#DIV/0!</v>
      </c>
    </row>
    <row r="51" spans="1:7" customFormat="1">
      <c r="A51" s="1">
        <v>18</v>
      </c>
      <c r="B51" s="1" t="s">
        <v>9</v>
      </c>
      <c r="C51" s="11">
        <v>0</v>
      </c>
      <c r="D51" s="11">
        <v>0</v>
      </c>
      <c r="E51" s="2">
        <f t="shared" si="0"/>
        <v>0</v>
      </c>
      <c r="F51" s="11">
        <v>0</v>
      </c>
      <c r="G51" s="3" t="e">
        <f t="shared" si="1"/>
        <v>#DIV/0!</v>
      </c>
    </row>
    <row r="52" spans="1:7" customFormat="1">
      <c r="A52" s="1">
        <v>19</v>
      </c>
      <c r="B52" s="1" t="s">
        <v>9</v>
      </c>
      <c r="C52" s="11">
        <v>0</v>
      </c>
      <c r="D52" s="11">
        <v>0</v>
      </c>
      <c r="E52" s="2">
        <f t="shared" si="0"/>
        <v>0</v>
      </c>
      <c r="F52" s="11">
        <v>0</v>
      </c>
      <c r="G52" s="3" t="e">
        <f t="shared" si="1"/>
        <v>#DIV/0!</v>
      </c>
    </row>
    <row r="53" spans="1:7" customFormat="1">
      <c r="A53" s="1">
        <v>20</v>
      </c>
      <c r="B53" s="1" t="s">
        <v>9</v>
      </c>
      <c r="C53" s="11">
        <v>0</v>
      </c>
      <c r="D53" s="11">
        <v>0</v>
      </c>
      <c r="E53" s="2">
        <f t="shared" si="0"/>
        <v>0</v>
      </c>
      <c r="F53" s="11">
        <v>0</v>
      </c>
      <c r="G53" s="3" t="e">
        <f t="shared" si="1"/>
        <v>#DIV/0!</v>
      </c>
    </row>
    <row r="54" spans="1:7" customFormat="1">
      <c r="A54" s="1">
        <v>21</v>
      </c>
      <c r="B54" s="1" t="s">
        <v>9</v>
      </c>
      <c r="C54" s="11">
        <v>0</v>
      </c>
      <c r="D54" s="11">
        <v>0</v>
      </c>
      <c r="E54" s="2">
        <f t="shared" si="0"/>
        <v>0</v>
      </c>
      <c r="F54" s="11">
        <v>0</v>
      </c>
      <c r="G54" s="3" t="e">
        <f t="shared" si="1"/>
        <v>#DIV/0!</v>
      </c>
    </row>
    <row r="55" spans="1:7" customFormat="1">
      <c r="A55" s="1">
        <v>22</v>
      </c>
      <c r="B55" s="1" t="s">
        <v>9</v>
      </c>
      <c r="C55" s="11">
        <v>25</v>
      </c>
      <c r="D55" s="11">
        <v>25</v>
      </c>
      <c r="E55" s="2">
        <f t="shared" si="0"/>
        <v>0</v>
      </c>
      <c r="F55" s="11">
        <v>0.96900000000000197</v>
      </c>
      <c r="G55" s="3">
        <f t="shared" si="1"/>
        <v>3.8760000000000079E-2</v>
      </c>
    </row>
    <row r="56" spans="1:7" customFormat="1">
      <c r="A56" s="1">
        <v>23</v>
      </c>
      <c r="B56" s="1" t="s">
        <v>9</v>
      </c>
      <c r="C56" s="11">
        <v>79.17</v>
      </c>
      <c r="D56" s="11">
        <v>78.319999999999993</v>
      </c>
      <c r="E56" s="2">
        <f t="shared" si="0"/>
        <v>0.85000000000000853</v>
      </c>
      <c r="F56" s="11">
        <v>1.7110000000000001</v>
      </c>
      <c r="G56" s="3">
        <f t="shared" si="1"/>
        <v>3.2348111658456594E-2</v>
      </c>
    </row>
    <row r="57" spans="1:7" customFormat="1">
      <c r="A57" s="1">
        <v>24</v>
      </c>
      <c r="B57" s="1" t="s">
        <v>9</v>
      </c>
      <c r="C57" s="11">
        <v>74.150000000000006</v>
      </c>
      <c r="D57" s="11">
        <v>73.739999999999995</v>
      </c>
      <c r="E57" s="2">
        <f t="shared" si="0"/>
        <v>0.4100000000000108</v>
      </c>
      <c r="F57" s="11">
        <v>1.5589999999999999</v>
      </c>
      <c r="G57" s="3">
        <f t="shared" si="1"/>
        <v>2.6554281861092523E-2</v>
      </c>
    </row>
    <row r="58" spans="1:7" customFormat="1">
      <c r="A58" s="1">
        <v>25</v>
      </c>
      <c r="B58" s="1" t="s">
        <v>9</v>
      </c>
      <c r="C58" s="11">
        <v>71.790000000000006</v>
      </c>
      <c r="D58" s="11">
        <v>71.599999999999994</v>
      </c>
      <c r="E58" s="2">
        <f t="shared" si="0"/>
        <v>0.19000000000001194</v>
      </c>
      <c r="F58" s="11">
        <v>0.375</v>
      </c>
      <c r="G58" s="3">
        <f t="shared" si="1"/>
        <v>7.8701769048615672E-3</v>
      </c>
    </row>
    <row r="59" spans="1:7" customFormat="1">
      <c r="A59" s="1">
        <v>26</v>
      </c>
      <c r="B59" s="1" t="s">
        <v>9</v>
      </c>
      <c r="C59" s="11">
        <v>100.1</v>
      </c>
      <c r="D59" s="11">
        <v>99.9</v>
      </c>
      <c r="E59" s="2">
        <f t="shared" si="0"/>
        <v>0.19999999999998863</v>
      </c>
      <c r="F59" s="11">
        <v>0.36</v>
      </c>
      <c r="G59" s="3">
        <f t="shared" si="1"/>
        <v>5.5944055944054808E-3</v>
      </c>
    </row>
    <row r="60" spans="1:7" customFormat="1">
      <c r="A60" s="1">
        <v>27</v>
      </c>
      <c r="B60" s="1" t="s">
        <v>9</v>
      </c>
      <c r="C60" s="11">
        <v>19.5</v>
      </c>
      <c r="D60" s="11">
        <v>19.420000000000002</v>
      </c>
      <c r="E60" s="2">
        <f t="shared" si="0"/>
        <v>7.9999999999998295E-2</v>
      </c>
      <c r="F60" s="11">
        <v>0.29799999999999999</v>
      </c>
      <c r="G60" s="3">
        <f t="shared" si="1"/>
        <v>1.9384615384615295E-2</v>
      </c>
    </row>
    <row r="61" spans="1:7" customFormat="1">
      <c r="A61" s="1">
        <v>28</v>
      </c>
      <c r="B61" s="1" t="s">
        <v>9</v>
      </c>
      <c r="C61" s="11">
        <v>71.900000000000006</v>
      </c>
      <c r="D61" s="11">
        <v>70.739999999999995</v>
      </c>
      <c r="E61" s="2">
        <f t="shared" si="0"/>
        <v>1.1600000000000108</v>
      </c>
      <c r="F61" s="11">
        <v>2.02</v>
      </c>
      <c r="G61" s="3">
        <f t="shared" si="1"/>
        <v>4.4228094575799869E-2</v>
      </c>
    </row>
    <row r="62" spans="1:7" customFormat="1">
      <c r="A62" s="1">
        <v>29</v>
      </c>
      <c r="B62" s="1" t="s">
        <v>9</v>
      </c>
      <c r="C62" s="11">
        <v>24.68</v>
      </c>
      <c r="D62" s="11">
        <v>24.5</v>
      </c>
      <c r="E62" s="2">
        <f t="shared" si="0"/>
        <v>0.17999999999999972</v>
      </c>
      <c r="F62" s="11">
        <v>0.41299999999999998</v>
      </c>
      <c r="G62" s="3">
        <f t="shared" si="1"/>
        <v>2.4027552674230138E-2</v>
      </c>
    </row>
    <row r="63" spans="1:7" customFormat="1">
      <c r="A63" s="1">
        <v>30</v>
      </c>
      <c r="B63" s="1" t="s">
        <v>9</v>
      </c>
      <c r="C63" s="11">
        <v>47.74</v>
      </c>
      <c r="D63" s="11">
        <v>47.54</v>
      </c>
      <c r="E63" s="2">
        <f t="shared" si="0"/>
        <v>0.20000000000000284</v>
      </c>
      <c r="F63" s="11">
        <v>0.38100000000000001</v>
      </c>
      <c r="G63" s="3">
        <f t="shared" si="1"/>
        <v>1.2170087976539649E-2</v>
      </c>
    </row>
    <row r="64" spans="1:7" customFormat="1">
      <c r="A64" s="1">
        <v>31</v>
      </c>
      <c r="B64" s="1" t="s">
        <v>9</v>
      </c>
      <c r="C64" s="11">
        <v>74.03</v>
      </c>
      <c r="D64" s="11">
        <v>73.28</v>
      </c>
      <c r="E64" s="2">
        <f t="shared" si="0"/>
        <v>0.75</v>
      </c>
      <c r="F64" s="11">
        <v>1.087</v>
      </c>
      <c r="G64" s="3">
        <f t="shared" si="1"/>
        <v>2.4814264487369984E-2</v>
      </c>
    </row>
    <row r="65" spans="1:18">
      <c r="A65" s="1">
        <v>1</v>
      </c>
      <c r="B65" s="1" t="s">
        <v>10</v>
      </c>
      <c r="C65" s="11">
        <v>27.98</v>
      </c>
      <c r="D65" s="11">
        <v>27.53</v>
      </c>
      <c r="E65" s="2">
        <f t="shared" si="0"/>
        <v>0.44999999999999929</v>
      </c>
      <c r="F65" s="11">
        <v>0.33400000000000002</v>
      </c>
      <c r="G65" s="3">
        <f t="shared" si="1"/>
        <v>2.8020014295925637E-2</v>
      </c>
      <c r="R65"/>
    </row>
    <row r="66" spans="1:18">
      <c r="A66" s="1">
        <v>2</v>
      </c>
      <c r="B66" s="1" t="s">
        <v>10</v>
      </c>
      <c r="C66" s="11">
        <v>49.19</v>
      </c>
      <c r="D66" s="11">
        <v>48.58</v>
      </c>
      <c r="E66" s="2">
        <f t="shared" si="0"/>
        <v>0.60999999999999943</v>
      </c>
      <c r="F66" s="11">
        <v>0.316</v>
      </c>
      <c r="G66" s="3">
        <f t="shared" si="1"/>
        <v>1.8824964423663337E-2</v>
      </c>
      <c r="R66"/>
    </row>
    <row r="67" spans="1:18">
      <c r="A67" s="1">
        <v>3</v>
      </c>
      <c r="B67" s="1" t="s">
        <v>10</v>
      </c>
      <c r="C67" s="11">
        <v>50.79</v>
      </c>
      <c r="D67" s="11">
        <v>50.17</v>
      </c>
      <c r="E67" s="2">
        <f t="shared" si="0"/>
        <v>0.61999999999999744</v>
      </c>
      <c r="F67" s="11">
        <v>0</v>
      </c>
      <c r="G67" s="3">
        <f t="shared" si="1"/>
        <v>1.220712738728091E-2</v>
      </c>
      <c r="R67"/>
    </row>
    <row r="68" spans="1:18">
      <c r="A68" s="1">
        <v>4</v>
      </c>
      <c r="B68" s="1" t="s">
        <v>10</v>
      </c>
      <c r="C68" s="11">
        <v>78.88</v>
      </c>
      <c r="D68" s="11">
        <v>77.94</v>
      </c>
      <c r="E68" s="2">
        <f t="shared" ref="E68:E131" si="2">C68-D68</f>
        <v>0.93999999999999773</v>
      </c>
      <c r="F68" s="11">
        <v>0.35899999999999999</v>
      </c>
      <c r="G68" s="3">
        <f t="shared" ref="G68:G131" si="3">(E68+F68)/C68</f>
        <v>1.6468052738336687E-2</v>
      </c>
      <c r="R68"/>
    </row>
    <row r="69" spans="1:18">
      <c r="A69" s="1">
        <v>5</v>
      </c>
      <c r="B69" s="1" t="s">
        <v>10</v>
      </c>
      <c r="C69" s="11">
        <v>26.6</v>
      </c>
      <c r="D69" s="11">
        <v>26.26</v>
      </c>
      <c r="E69" s="2">
        <f t="shared" si="2"/>
        <v>0.33999999999999986</v>
      </c>
      <c r="F69" s="11">
        <v>0.35199999999999998</v>
      </c>
      <c r="G69" s="3">
        <f t="shared" si="3"/>
        <v>2.6015037593984956E-2</v>
      </c>
      <c r="R69"/>
    </row>
    <row r="70" spans="1:18">
      <c r="A70" s="1">
        <v>6</v>
      </c>
      <c r="B70" s="1" t="s">
        <v>10</v>
      </c>
      <c r="C70" s="11">
        <v>50.15</v>
      </c>
      <c r="D70" s="11">
        <v>49.49</v>
      </c>
      <c r="E70" s="2">
        <f t="shared" si="2"/>
        <v>0.65999999999999659</v>
      </c>
      <c r="F70" s="11">
        <v>0.36899999999999999</v>
      </c>
      <c r="G70" s="3">
        <f t="shared" si="3"/>
        <v>2.0518444666001927E-2</v>
      </c>
      <c r="R70"/>
    </row>
    <row r="71" spans="1:18">
      <c r="A71" s="1">
        <v>7</v>
      </c>
      <c r="B71" s="1" t="s">
        <v>10</v>
      </c>
      <c r="C71" s="11">
        <v>56.34</v>
      </c>
      <c r="D71" s="11">
        <v>55.54</v>
      </c>
      <c r="E71" s="2">
        <f t="shared" si="2"/>
        <v>0.80000000000000426</v>
      </c>
      <c r="F71" s="11">
        <v>0.36199999999999999</v>
      </c>
      <c r="G71" s="3">
        <f t="shared" si="3"/>
        <v>2.062477813276543E-2</v>
      </c>
      <c r="R71"/>
    </row>
    <row r="72" spans="1:18">
      <c r="A72" s="1">
        <v>10</v>
      </c>
      <c r="B72" s="1" t="s">
        <v>10</v>
      </c>
      <c r="C72" s="11">
        <v>81.069999999999993</v>
      </c>
      <c r="D72" s="11">
        <v>79.67</v>
      </c>
      <c r="E72" s="2">
        <f t="shared" si="2"/>
        <v>1.3999999999999915</v>
      </c>
      <c r="F72" s="11">
        <v>0.27400000000000002</v>
      </c>
      <c r="G72" s="3">
        <f t="shared" si="3"/>
        <v>2.0648822005674007E-2</v>
      </c>
      <c r="R72"/>
    </row>
    <row r="73" spans="1:18">
      <c r="A73" s="1">
        <v>8</v>
      </c>
      <c r="B73" s="1" t="s">
        <v>10</v>
      </c>
      <c r="C73" s="11">
        <v>18.96</v>
      </c>
      <c r="D73" s="11">
        <v>18.739999999999998</v>
      </c>
      <c r="E73" s="2">
        <f t="shared" si="2"/>
        <v>0.22000000000000242</v>
      </c>
      <c r="F73" s="11">
        <v>0</v>
      </c>
      <c r="G73" s="3">
        <f t="shared" si="3"/>
        <v>1.1603375527426288E-2</v>
      </c>
    </row>
    <row r="74" spans="1:18">
      <c r="A74" s="1">
        <v>9</v>
      </c>
      <c r="B74" s="1" t="s">
        <v>10</v>
      </c>
      <c r="C74" s="11">
        <v>54.3</v>
      </c>
      <c r="D74" s="11">
        <v>53.82</v>
      </c>
      <c r="E74" s="2">
        <f t="shared" si="2"/>
        <v>0.47999999999999687</v>
      </c>
      <c r="F74" s="11">
        <v>0.36599999999999999</v>
      </c>
      <c r="G74" s="3">
        <f t="shared" si="3"/>
        <v>1.5580110497237513E-2</v>
      </c>
      <c r="R74"/>
    </row>
    <row r="75" spans="1:18">
      <c r="A75" s="1">
        <v>11</v>
      </c>
      <c r="B75" s="1" t="s">
        <v>10</v>
      </c>
      <c r="C75" s="11">
        <v>51.96</v>
      </c>
      <c r="D75" s="11">
        <v>51.22</v>
      </c>
      <c r="E75" s="2">
        <f t="shared" si="2"/>
        <v>0.74000000000000199</v>
      </c>
      <c r="F75" s="11">
        <v>0.28799999999999998</v>
      </c>
      <c r="G75" s="3">
        <f t="shared" si="3"/>
        <v>1.9784449576597422E-2</v>
      </c>
      <c r="R75"/>
    </row>
    <row r="76" spans="1:18">
      <c r="A76" s="1">
        <v>12</v>
      </c>
      <c r="B76" s="1" t="s">
        <v>10</v>
      </c>
      <c r="C76" s="11">
        <v>54.51</v>
      </c>
      <c r="D76" s="11">
        <v>53.45</v>
      </c>
      <c r="E76" s="2">
        <f t="shared" si="2"/>
        <v>1.0599999999999952</v>
      </c>
      <c r="F76" s="11">
        <v>0.33600000000000002</v>
      </c>
      <c r="G76" s="3">
        <f t="shared" si="3"/>
        <v>2.5609979820216389E-2</v>
      </c>
      <c r="R76"/>
    </row>
    <row r="77" spans="1:18">
      <c r="A77" s="1">
        <v>13</v>
      </c>
      <c r="B77" s="1" t="s">
        <v>10</v>
      </c>
      <c r="C77" s="11">
        <v>78.16</v>
      </c>
      <c r="D77" s="11">
        <v>77.139999999999986</v>
      </c>
      <c r="E77" s="2">
        <f t="shared" si="2"/>
        <v>1.0200000000000102</v>
      </c>
      <c r="F77" s="11">
        <v>0.3360000000000003</v>
      </c>
      <c r="G77" s="3">
        <f t="shared" si="3"/>
        <v>1.734902763561938E-2</v>
      </c>
      <c r="R77"/>
    </row>
    <row r="78" spans="1:18">
      <c r="A78" s="1">
        <v>14</v>
      </c>
      <c r="B78" s="1" t="s">
        <v>10</v>
      </c>
      <c r="C78" s="11">
        <v>104.26</v>
      </c>
      <c r="D78" s="11">
        <v>102.28</v>
      </c>
      <c r="E78" s="2">
        <f t="shared" si="2"/>
        <v>1.980000000000004</v>
      </c>
      <c r="F78" s="11">
        <v>0.32600000000000001</v>
      </c>
      <c r="G78" s="3">
        <f t="shared" si="3"/>
        <v>2.2117782466909687E-2</v>
      </c>
      <c r="R78"/>
    </row>
    <row r="79" spans="1:18">
      <c r="A79" s="1">
        <v>15</v>
      </c>
      <c r="B79" s="1" t="s">
        <v>10</v>
      </c>
      <c r="C79" s="11">
        <v>26.9</v>
      </c>
      <c r="D79" s="11">
        <v>26.81</v>
      </c>
      <c r="E79" s="2">
        <f t="shared" si="2"/>
        <v>8.9999999999999858E-2</v>
      </c>
      <c r="F79" s="11">
        <v>0.311</v>
      </c>
      <c r="G79" s="3">
        <f t="shared" si="3"/>
        <v>1.4907063197026017E-2</v>
      </c>
      <c r="R79"/>
    </row>
    <row r="80" spans="1:18">
      <c r="A80" s="1">
        <v>16</v>
      </c>
      <c r="B80" s="1" t="s">
        <v>10</v>
      </c>
      <c r="C80" s="11">
        <v>83.8</v>
      </c>
      <c r="D80" s="11">
        <v>82.92</v>
      </c>
      <c r="E80" s="2">
        <f t="shared" si="2"/>
        <v>0.87999999999999545</v>
      </c>
      <c r="F80" s="11">
        <v>0.30099999999999999</v>
      </c>
      <c r="G80" s="3">
        <f t="shared" si="3"/>
        <v>1.4093078758949827E-2</v>
      </c>
      <c r="R80"/>
    </row>
    <row r="81" spans="1:7" customFormat="1">
      <c r="A81" s="1">
        <v>17</v>
      </c>
      <c r="B81" s="1" t="s">
        <v>10</v>
      </c>
      <c r="C81" s="11">
        <v>81.16</v>
      </c>
      <c r="D81" s="11">
        <v>79.75</v>
      </c>
      <c r="E81" s="2">
        <f t="shared" si="2"/>
        <v>1.4099999999999966</v>
      </c>
      <c r="F81" s="11">
        <v>0.28799999999999998</v>
      </c>
      <c r="G81" s="3">
        <f t="shared" si="3"/>
        <v>2.0921636274026573E-2</v>
      </c>
    </row>
    <row r="82" spans="1:7" customFormat="1">
      <c r="A82" s="1">
        <v>18</v>
      </c>
      <c r="B82" s="1" t="s">
        <v>10</v>
      </c>
      <c r="C82" s="11">
        <v>74.72</v>
      </c>
      <c r="D82" s="11">
        <v>73.94</v>
      </c>
      <c r="E82" s="2">
        <f t="shared" si="2"/>
        <v>0.78000000000000114</v>
      </c>
      <c r="F82" s="11">
        <v>0.36199999999999999</v>
      </c>
      <c r="G82" s="3">
        <f t="shared" si="3"/>
        <v>1.5283725910064256E-2</v>
      </c>
    </row>
    <row r="83" spans="1:7" customFormat="1">
      <c r="A83" s="1">
        <v>19</v>
      </c>
      <c r="B83" s="1" t="s">
        <v>10</v>
      </c>
      <c r="C83" s="11">
        <v>107.1</v>
      </c>
      <c r="D83" s="11">
        <v>105.81</v>
      </c>
      <c r="E83" s="2">
        <f t="shared" si="2"/>
        <v>1.289999999999992</v>
      </c>
      <c r="F83" s="11">
        <v>0.27800000000000002</v>
      </c>
      <c r="G83" s="3">
        <f t="shared" si="3"/>
        <v>1.464052287581692E-2</v>
      </c>
    </row>
    <row r="84" spans="1:7" customFormat="1">
      <c r="A84" s="1">
        <v>20</v>
      </c>
      <c r="B84" s="1" t="s">
        <v>10</v>
      </c>
      <c r="C84" s="11">
        <v>29.64</v>
      </c>
      <c r="D84" s="11">
        <v>29.14</v>
      </c>
      <c r="E84" s="2">
        <f t="shared" si="2"/>
        <v>0.5</v>
      </c>
      <c r="F84" s="11">
        <v>0.28599999999999998</v>
      </c>
      <c r="G84" s="3">
        <f t="shared" si="3"/>
        <v>2.6518218623481783E-2</v>
      </c>
    </row>
    <row r="85" spans="1:7" customFormat="1">
      <c r="A85" s="1">
        <v>21</v>
      </c>
      <c r="B85" s="1" t="s">
        <v>10</v>
      </c>
      <c r="C85" s="11">
        <v>48.9</v>
      </c>
      <c r="D85" s="11">
        <v>48.18</v>
      </c>
      <c r="E85" s="2">
        <f t="shared" si="2"/>
        <v>0.71999999999999886</v>
      </c>
      <c r="F85" s="11">
        <v>0.35399999999999998</v>
      </c>
      <c r="G85" s="3">
        <f t="shared" si="3"/>
        <v>2.1963190184049058E-2</v>
      </c>
    </row>
    <row r="86" spans="1:7" customFormat="1">
      <c r="A86" s="1">
        <v>22</v>
      </c>
      <c r="B86" s="1" t="s">
        <v>10</v>
      </c>
      <c r="C86" s="11">
        <v>53.91</v>
      </c>
      <c r="D86" s="11">
        <v>53.03</v>
      </c>
      <c r="E86" s="2">
        <f t="shared" si="2"/>
        <v>0.87999999999999545</v>
      </c>
      <c r="F86" s="11">
        <v>0.311999999999998</v>
      </c>
      <c r="G86" s="3">
        <f t="shared" si="3"/>
        <v>2.211092561676857E-2</v>
      </c>
    </row>
    <row r="87" spans="1:7" customFormat="1">
      <c r="A87" s="1">
        <v>23</v>
      </c>
      <c r="B87" s="1" t="s">
        <v>10</v>
      </c>
      <c r="C87" s="11">
        <v>56.15</v>
      </c>
      <c r="D87" s="11">
        <v>55.58</v>
      </c>
      <c r="E87" s="2">
        <f t="shared" si="2"/>
        <v>0.57000000000000028</v>
      </c>
      <c r="F87" s="11">
        <v>0.27600000000000002</v>
      </c>
      <c r="G87" s="3">
        <f t="shared" si="3"/>
        <v>1.5066785396260024E-2</v>
      </c>
    </row>
    <row r="88" spans="1:7" customFormat="1">
      <c r="A88" s="1">
        <v>24</v>
      </c>
      <c r="B88" s="1" t="s">
        <v>10</v>
      </c>
      <c r="C88" s="11">
        <v>58.11</v>
      </c>
      <c r="D88" s="11">
        <v>57.07</v>
      </c>
      <c r="E88" s="2">
        <f t="shared" si="2"/>
        <v>1.0399999999999991</v>
      </c>
      <c r="F88" s="11">
        <v>0.29099999999999998</v>
      </c>
      <c r="G88" s="3">
        <f t="shared" si="3"/>
        <v>2.2904835656513495E-2</v>
      </c>
    </row>
    <row r="89" spans="1:7" customFormat="1">
      <c r="A89" s="1">
        <v>25</v>
      </c>
      <c r="B89" s="1" t="s">
        <v>10</v>
      </c>
      <c r="C89" s="11">
        <v>76.760000000000005</v>
      </c>
      <c r="D89" s="11">
        <v>75.45</v>
      </c>
      <c r="E89" s="2">
        <f t="shared" si="2"/>
        <v>1.3100000000000023</v>
      </c>
      <c r="F89" s="11">
        <v>0.28799999999999998</v>
      </c>
      <c r="G89" s="3">
        <f t="shared" si="3"/>
        <v>2.0818134445023478E-2</v>
      </c>
    </row>
    <row r="90" spans="1:7" customFormat="1">
      <c r="A90" s="1">
        <v>26</v>
      </c>
      <c r="B90" s="1" t="s">
        <v>10</v>
      </c>
      <c r="C90" s="11">
        <v>41.12</v>
      </c>
      <c r="D90" s="11">
        <v>40.42</v>
      </c>
      <c r="E90" s="2">
        <f t="shared" si="2"/>
        <v>0.69999999999999574</v>
      </c>
      <c r="F90" s="11">
        <v>0.34599999999999997</v>
      </c>
      <c r="G90" s="3">
        <f t="shared" si="3"/>
        <v>2.5437743190661378E-2</v>
      </c>
    </row>
    <row r="91" spans="1:7" customFormat="1">
      <c r="A91" s="1">
        <v>27</v>
      </c>
      <c r="B91" s="1" t="s">
        <v>10</v>
      </c>
      <c r="C91" s="11">
        <v>77.73</v>
      </c>
      <c r="D91" s="11">
        <v>76.36</v>
      </c>
      <c r="E91" s="2">
        <f t="shared" si="2"/>
        <v>1.3700000000000045</v>
      </c>
      <c r="F91" s="11">
        <v>0.38700000000000001</v>
      </c>
      <c r="G91" s="3">
        <f t="shared" si="3"/>
        <v>2.2603885243792674E-2</v>
      </c>
    </row>
    <row r="92" spans="1:7" customFormat="1">
      <c r="A92" s="1">
        <v>28</v>
      </c>
      <c r="B92" s="1" t="s">
        <v>10</v>
      </c>
      <c r="C92" s="11">
        <v>92.43</v>
      </c>
      <c r="D92" s="11">
        <v>90.53</v>
      </c>
      <c r="E92" s="2">
        <f t="shared" si="2"/>
        <v>1.9000000000000057</v>
      </c>
      <c r="F92" s="11">
        <v>0.36199999999999999</v>
      </c>
      <c r="G92" s="3">
        <f t="shared" si="3"/>
        <v>2.4472573839662507E-2</v>
      </c>
    </row>
    <row r="93" spans="1:7" customFormat="1">
      <c r="A93" s="1">
        <v>29</v>
      </c>
      <c r="B93" s="1" t="s">
        <v>10</v>
      </c>
      <c r="C93" s="11">
        <v>40.06</v>
      </c>
      <c r="D93" s="11">
        <v>39.51</v>
      </c>
      <c r="E93" s="2">
        <f t="shared" si="2"/>
        <v>0.55000000000000426</v>
      </c>
      <c r="F93" s="11">
        <v>0.36199999999999999</v>
      </c>
      <c r="G93" s="3">
        <f t="shared" si="3"/>
        <v>2.2765851223165358E-2</v>
      </c>
    </row>
    <row r="94" spans="1:7" customFormat="1">
      <c r="A94" s="1">
        <v>30</v>
      </c>
      <c r="B94" s="1" t="s">
        <v>10</v>
      </c>
      <c r="C94" s="11">
        <v>82.41</v>
      </c>
      <c r="D94" s="11">
        <v>81.209999999999994</v>
      </c>
      <c r="E94" s="2">
        <f t="shared" si="2"/>
        <v>1.2000000000000028</v>
      </c>
      <c r="F94" s="11">
        <v>0.30199999999999999</v>
      </c>
      <c r="G94" s="3">
        <f t="shared" si="3"/>
        <v>1.822594345346442E-2</v>
      </c>
    </row>
    <row r="95" spans="1:7" customFormat="1">
      <c r="A95" s="1">
        <v>31</v>
      </c>
      <c r="B95" s="1" t="s">
        <v>10</v>
      </c>
      <c r="C95" s="11">
        <v>51.1</v>
      </c>
      <c r="D95" s="11">
        <v>50.43</v>
      </c>
      <c r="E95" s="2">
        <f t="shared" si="2"/>
        <v>0.67000000000000171</v>
      </c>
      <c r="F95" s="11">
        <v>0.254</v>
      </c>
      <c r="G95" s="3">
        <f t="shared" si="3"/>
        <v>1.808219178082195E-2</v>
      </c>
    </row>
    <row r="96" spans="1:7" customFormat="1">
      <c r="A96" s="1">
        <v>1</v>
      </c>
      <c r="B96" s="1" t="s">
        <v>11</v>
      </c>
      <c r="C96" s="11">
        <v>120</v>
      </c>
      <c r="D96" s="11">
        <v>119.48</v>
      </c>
      <c r="E96" s="2">
        <f t="shared" si="2"/>
        <v>0.51999999999999602</v>
      </c>
      <c r="F96" s="11">
        <v>0</v>
      </c>
      <c r="G96" s="3">
        <f t="shared" si="3"/>
        <v>4.3333333333333002E-3</v>
      </c>
    </row>
    <row r="97" spans="1:18">
      <c r="A97" s="1">
        <v>2</v>
      </c>
      <c r="B97" s="1" t="s">
        <v>11</v>
      </c>
      <c r="C97" s="11">
        <v>107.59</v>
      </c>
      <c r="D97" s="11">
        <v>106.7</v>
      </c>
      <c r="E97" s="2">
        <f t="shared" si="2"/>
        <v>0.89000000000000057</v>
      </c>
      <c r="F97" s="11">
        <v>0.65</v>
      </c>
      <c r="G97" s="3">
        <f t="shared" si="3"/>
        <v>1.4313597918022124E-2</v>
      </c>
      <c r="R97"/>
    </row>
    <row r="98" spans="1:18">
      <c r="A98" s="1">
        <v>3</v>
      </c>
      <c r="B98" s="1" t="s">
        <v>11</v>
      </c>
      <c r="C98" s="11">
        <v>103.30000000000001</v>
      </c>
      <c r="D98" s="11">
        <v>102.36</v>
      </c>
      <c r="E98" s="2">
        <f t="shared" si="2"/>
        <v>0.94000000000001194</v>
      </c>
      <c r="F98" s="11">
        <v>0</v>
      </c>
      <c r="G98" s="3">
        <f t="shared" si="3"/>
        <v>9.0997095837368046E-3</v>
      </c>
      <c r="R98"/>
    </row>
    <row r="99" spans="1:18">
      <c r="A99" s="1">
        <v>4</v>
      </c>
      <c r="B99" s="1" t="s">
        <v>11</v>
      </c>
      <c r="C99" s="11">
        <v>82.34</v>
      </c>
      <c r="D99" s="11">
        <v>81.12</v>
      </c>
      <c r="E99" s="2">
        <f t="shared" si="2"/>
        <v>1.2199999999999989</v>
      </c>
      <c r="F99" s="11">
        <v>0.68</v>
      </c>
      <c r="G99" s="3">
        <f t="shared" si="3"/>
        <v>2.3075054651445215E-2</v>
      </c>
      <c r="R99"/>
    </row>
    <row r="100" spans="1:18">
      <c r="A100" s="1">
        <v>5</v>
      </c>
      <c r="B100" s="1" t="s">
        <v>11</v>
      </c>
      <c r="C100" s="11">
        <v>0</v>
      </c>
      <c r="D100" s="11">
        <v>0</v>
      </c>
      <c r="E100" s="2">
        <f t="shared" si="2"/>
        <v>0</v>
      </c>
      <c r="F100" s="11">
        <v>0.56000000000000005</v>
      </c>
      <c r="G100" s="3" t="e">
        <f t="shared" si="3"/>
        <v>#DIV/0!</v>
      </c>
      <c r="R100"/>
    </row>
    <row r="101" spans="1:18">
      <c r="A101" s="1">
        <v>6</v>
      </c>
      <c r="B101" s="1" t="s">
        <v>11</v>
      </c>
      <c r="C101" s="11">
        <v>81.650000000000006</v>
      </c>
      <c r="D101" s="11">
        <v>81.16</v>
      </c>
      <c r="E101" s="2">
        <f t="shared" si="2"/>
        <v>0.49000000000000909</v>
      </c>
      <c r="F101" s="11">
        <v>0.35</v>
      </c>
      <c r="G101" s="3">
        <f t="shared" si="3"/>
        <v>1.0287813839559203E-2</v>
      </c>
      <c r="R101"/>
    </row>
    <row r="102" spans="1:18">
      <c r="A102" s="1">
        <v>7</v>
      </c>
      <c r="B102" s="1" t="s">
        <v>11</v>
      </c>
      <c r="C102" s="11">
        <v>55.47</v>
      </c>
      <c r="D102" s="11">
        <v>55.2</v>
      </c>
      <c r="E102" s="2">
        <f t="shared" si="2"/>
        <v>0.26999999999999602</v>
      </c>
      <c r="F102" s="11">
        <v>0.44400000000000001</v>
      </c>
      <c r="G102" s="3">
        <f t="shared" si="3"/>
        <v>1.2871822606814421E-2</v>
      </c>
      <c r="R102"/>
    </row>
    <row r="103" spans="1:18">
      <c r="A103" s="1">
        <v>10</v>
      </c>
      <c r="B103" s="1" t="s">
        <v>11</v>
      </c>
      <c r="C103" s="11">
        <v>24.81</v>
      </c>
      <c r="D103" s="11">
        <v>24.68</v>
      </c>
      <c r="E103" s="2">
        <f t="shared" si="2"/>
        <v>0.12999999999999901</v>
      </c>
      <c r="F103" s="11">
        <v>0.38</v>
      </c>
      <c r="G103" s="3">
        <f t="shared" si="3"/>
        <v>2.0556227327690409E-2</v>
      </c>
      <c r="R103"/>
    </row>
    <row r="104" spans="1:18">
      <c r="A104" s="1">
        <v>8</v>
      </c>
      <c r="B104" s="1" t="s">
        <v>11</v>
      </c>
      <c r="C104" s="11">
        <v>127.2</v>
      </c>
      <c r="D104" s="11">
        <v>126.68</v>
      </c>
      <c r="E104" s="2">
        <f t="shared" si="2"/>
        <v>0.51999999999999602</v>
      </c>
      <c r="F104" s="11">
        <v>0.41</v>
      </c>
      <c r="G104" s="3">
        <f t="shared" si="3"/>
        <v>7.3113207547169492E-3</v>
      </c>
    </row>
    <row r="105" spans="1:18">
      <c r="A105" s="1">
        <v>9</v>
      </c>
      <c r="B105" s="1" t="s">
        <v>11</v>
      </c>
      <c r="C105" s="11">
        <v>54.6</v>
      </c>
      <c r="D105" s="11">
        <v>53.96</v>
      </c>
      <c r="E105" s="2">
        <f t="shared" si="2"/>
        <v>0.64000000000000057</v>
      </c>
      <c r="F105" s="11">
        <v>0.21</v>
      </c>
      <c r="G105" s="3">
        <f t="shared" si="3"/>
        <v>1.5567765567765577E-2</v>
      </c>
      <c r="R105"/>
    </row>
    <row r="106" spans="1:18">
      <c r="A106" s="1">
        <v>11</v>
      </c>
      <c r="B106" s="1" t="s">
        <v>11</v>
      </c>
      <c r="C106" s="11">
        <v>55.7</v>
      </c>
      <c r="D106" s="11">
        <v>55.58</v>
      </c>
      <c r="E106" s="2">
        <f t="shared" si="2"/>
        <v>0.12000000000000455</v>
      </c>
      <c r="F106" s="11">
        <v>0.31</v>
      </c>
      <c r="G106" s="3">
        <f t="shared" si="3"/>
        <v>7.7199281867146238E-3</v>
      </c>
      <c r="R106"/>
    </row>
    <row r="107" spans="1:18">
      <c r="A107" s="1">
        <v>12</v>
      </c>
      <c r="B107" s="1" t="s">
        <v>11</v>
      </c>
      <c r="C107" s="11">
        <v>27.59</v>
      </c>
      <c r="D107" s="11">
        <v>27.36</v>
      </c>
      <c r="E107" s="2">
        <f t="shared" si="2"/>
        <v>0.23000000000000043</v>
      </c>
      <c r="F107" s="11">
        <v>0.35</v>
      </c>
      <c r="G107" s="3">
        <f t="shared" si="3"/>
        <v>2.102210945994927E-2</v>
      </c>
      <c r="R107"/>
    </row>
    <row r="108" spans="1:18">
      <c r="A108" s="1">
        <v>13</v>
      </c>
      <c r="B108" s="1" t="s">
        <v>11</v>
      </c>
      <c r="C108" s="11">
        <v>49.25</v>
      </c>
      <c r="D108" s="11">
        <v>48.46</v>
      </c>
      <c r="E108" s="2">
        <f t="shared" si="2"/>
        <v>0.78999999999999915</v>
      </c>
      <c r="F108" s="11">
        <v>0.254</v>
      </c>
      <c r="G108" s="3">
        <f t="shared" si="3"/>
        <v>2.1197969543147191E-2</v>
      </c>
      <c r="R108"/>
    </row>
    <row r="109" spans="1:18">
      <c r="A109" s="1">
        <v>14</v>
      </c>
      <c r="B109" s="1" t="s">
        <v>11</v>
      </c>
      <c r="C109" s="11">
        <v>49.72</v>
      </c>
      <c r="D109" s="11">
        <v>49.4</v>
      </c>
      <c r="E109" s="2">
        <f t="shared" si="2"/>
        <v>0.32000000000000028</v>
      </c>
      <c r="F109" s="11">
        <v>0.39</v>
      </c>
      <c r="G109" s="3">
        <f t="shared" si="3"/>
        <v>1.4279967819790835E-2</v>
      </c>
      <c r="R109"/>
    </row>
    <row r="110" spans="1:18">
      <c r="A110" s="1">
        <v>15</v>
      </c>
      <c r="B110" s="1" t="s">
        <v>11</v>
      </c>
      <c r="C110" s="11">
        <v>54.31</v>
      </c>
      <c r="D110" s="11">
        <v>53.76</v>
      </c>
      <c r="E110" s="2">
        <f t="shared" si="2"/>
        <v>0.55000000000000426</v>
      </c>
      <c r="F110" s="11">
        <v>0</v>
      </c>
      <c r="G110" s="3">
        <f t="shared" si="3"/>
        <v>1.0127048425704369E-2</v>
      </c>
      <c r="R110"/>
    </row>
    <row r="111" spans="1:18">
      <c r="A111" s="1">
        <v>16</v>
      </c>
      <c r="B111" s="1" t="s">
        <v>11</v>
      </c>
      <c r="C111" s="11">
        <v>127.28</v>
      </c>
      <c r="D111" s="11">
        <v>126.14</v>
      </c>
      <c r="E111" s="2">
        <f t="shared" si="2"/>
        <v>1.1400000000000006</v>
      </c>
      <c r="F111" s="11">
        <v>0.48</v>
      </c>
      <c r="G111" s="3">
        <f t="shared" si="3"/>
        <v>1.2727844123192965E-2</v>
      </c>
      <c r="R111"/>
    </row>
    <row r="112" spans="1:18">
      <c r="A112" s="1">
        <v>17</v>
      </c>
      <c r="B112" s="1" t="s">
        <v>11</v>
      </c>
      <c r="C112" s="11">
        <v>75.58</v>
      </c>
      <c r="D112" s="11">
        <v>75.099999999999994</v>
      </c>
      <c r="E112" s="2">
        <f t="shared" si="2"/>
        <v>0.48000000000000398</v>
      </c>
      <c r="F112" s="11">
        <v>0</v>
      </c>
      <c r="G112" s="3">
        <f t="shared" si="3"/>
        <v>6.3508864779042605E-3</v>
      </c>
      <c r="R112"/>
    </row>
    <row r="113" spans="1:7" customFormat="1">
      <c r="A113" s="1">
        <v>18</v>
      </c>
      <c r="B113" s="1" t="s">
        <v>11</v>
      </c>
      <c r="C113" s="11">
        <v>54.56</v>
      </c>
      <c r="D113" s="11">
        <v>54.24</v>
      </c>
      <c r="E113" s="2">
        <f t="shared" si="2"/>
        <v>0.32000000000000028</v>
      </c>
      <c r="F113" s="11">
        <v>0.2</v>
      </c>
      <c r="G113" s="3">
        <f t="shared" si="3"/>
        <v>9.5307917888563087E-3</v>
      </c>
    </row>
    <row r="114" spans="1:7" customFormat="1">
      <c r="A114" s="1">
        <v>19</v>
      </c>
      <c r="B114" s="1" t="s">
        <v>11</v>
      </c>
      <c r="C114" s="11">
        <v>168</v>
      </c>
      <c r="D114" s="11">
        <v>167.3</v>
      </c>
      <c r="E114" s="2">
        <f t="shared" si="2"/>
        <v>0.69999999999998863</v>
      </c>
      <c r="F114" s="11">
        <v>0.38</v>
      </c>
      <c r="G114" s="3">
        <f t="shared" si="3"/>
        <v>6.4285714285713599E-3</v>
      </c>
    </row>
    <row r="115" spans="1:7" customFormat="1">
      <c r="A115" s="1">
        <v>20</v>
      </c>
      <c r="B115" s="1" t="s">
        <v>11</v>
      </c>
      <c r="C115" s="11">
        <v>29.46</v>
      </c>
      <c r="D115" s="11">
        <v>29.42</v>
      </c>
      <c r="E115" s="2">
        <f t="shared" si="2"/>
        <v>3.9999999999999147E-2</v>
      </c>
      <c r="F115" s="11">
        <v>0.35399999999999998</v>
      </c>
      <c r="G115" s="3">
        <f t="shared" si="3"/>
        <v>1.3374066530889312E-2</v>
      </c>
    </row>
    <row r="116" spans="1:7" customFormat="1">
      <c r="A116" s="1">
        <v>21</v>
      </c>
      <c r="B116" s="1" t="s">
        <v>11</v>
      </c>
      <c r="C116" s="11">
        <v>109.21</v>
      </c>
      <c r="D116" s="11">
        <v>108.14</v>
      </c>
      <c r="E116" s="2">
        <f t="shared" si="2"/>
        <v>1.0699999999999932</v>
      </c>
      <c r="F116" s="11">
        <v>0.41</v>
      </c>
      <c r="G116" s="3">
        <f t="shared" si="3"/>
        <v>1.3551872539144704E-2</v>
      </c>
    </row>
    <row r="117" spans="1:7" customFormat="1">
      <c r="A117" s="1">
        <v>22</v>
      </c>
      <c r="B117" s="1" t="s">
        <v>11</v>
      </c>
      <c r="C117" s="11">
        <v>53.68</v>
      </c>
      <c r="D117" s="11">
        <v>53.42</v>
      </c>
      <c r="E117" s="2">
        <f t="shared" si="2"/>
        <v>0.25999999999999801</v>
      </c>
      <c r="F117" s="11">
        <v>0.30099999999999799</v>
      </c>
      <c r="G117" s="3">
        <f t="shared" si="3"/>
        <v>1.0450819672131071E-2</v>
      </c>
    </row>
    <row r="118" spans="1:7" customFormat="1">
      <c r="A118" s="1">
        <v>23</v>
      </c>
      <c r="B118" s="1" t="s">
        <v>11</v>
      </c>
      <c r="C118" s="11">
        <v>26.72</v>
      </c>
      <c r="D118" s="11">
        <v>26.5</v>
      </c>
      <c r="E118" s="2">
        <f t="shared" si="2"/>
        <v>0.21999999999999886</v>
      </c>
      <c r="F118" s="11">
        <v>0.34100000000000003</v>
      </c>
      <c r="G118" s="3">
        <f t="shared" si="3"/>
        <v>2.0995508982035886E-2</v>
      </c>
    </row>
    <row r="119" spans="1:7" customFormat="1">
      <c r="A119" s="1">
        <v>24</v>
      </c>
      <c r="B119" s="1" t="s">
        <v>11</v>
      </c>
      <c r="C119" s="11">
        <v>53.59</v>
      </c>
      <c r="D119" s="11">
        <v>53.26</v>
      </c>
      <c r="E119" s="2">
        <f t="shared" si="2"/>
        <v>0.3300000000000054</v>
      </c>
      <c r="F119" s="11">
        <v>0.35999999999999943</v>
      </c>
      <c r="G119" s="3">
        <f t="shared" si="3"/>
        <v>1.2875536480686785E-2</v>
      </c>
    </row>
    <row r="120" spans="1:7" customFormat="1">
      <c r="A120" s="1">
        <v>25</v>
      </c>
      <c r="B120" s="1" t="s">
        <v>11</v>
      </c>
      <c r="C120" s="11">
        <v>73.989999999999995</v>
      </c>
      <c r="D120" s="11">
        <v>73.430000000000007</v>
      </c>
      <c r="E120" s="2">
        <f t="shared" si="2"/>
        <v>0.55999999999998806</v>
      </c>
      <c r="F120" s="11">
        <v>0.23</v>
      </c>
      <c r="G120" s="3">
        <f t="shared" si="3"/>
        <v>1.0677118529530858E-2</v>
      </c>
    </row>
    <row r="121" spans="1:7" customFormat="1">
      <c r="A121" s="1">
        <v>26</v>
      </c>
      <c r="B121" s="1" t="s">
        <v>11</v>
      </c>
      <c r="C121" s="11">
        <v>73.989999999999995</v>
      </c>
      <c r="D121" s="11">
        <v>73.53</v>
      </c>
      <c r="E121" s="2">
        <f t="shared" si="2"/>
        <v>0.45999999999999375</v>
      </c>
      <c r="F121" s="11">
        <v>0</v>
      </c>
      <c r="G121" s="3">
        <f t="shared" si="3"/>
        <v>6.217056358967344E-3</v>
      </c>
    </row>
    <row r="122" spans="1:7" customFormat="1">
      <c r="A122" s="1">
        <v>27</v>
      </c>
      <c r="B122" s="1" t="s">
        <v>11</v>
      </c>
      <c r="C122" s="11">
        <v>0</v>
      </c>
      <c r="D122" s="11">
        <v>0</v>
      </c>
      <c r="E122" s="2">
        <f t="shared" si="2"/>
        <v>0</v>
      </c>
      <c r="F122" s="11">
        <v>0.3</v>
      </c>
      <c r="G122" s="3" t="e">
        <f t="shared" si="3"/>
        <v>#DIV/0!</v>
      </c>
    </row>
    <row r="123" spans="1:7" customFormat="1">
      <c r="A123" s="1">
        <v>28</v>
      </c>
      <c r="B123" s="1" t="s">
        <v>11</v>
      </c>
      <c r="C123" s="11">
        <v>104.09</v>
      </c>
      <c r="D123" s="11">
        <v>102.26</v>
      </c>
      <c r="E123" s="2">
        <f t="shared" si="2"/>
        <v>1.8299999999999983</v>
      </c>
      <c r="F123" s="11">
        <v>0.45</v>
      </c>
      <c r="G123" s="3">
        <f t="shared" si="3"/>
        <v>2.1904121433374949E-2</v>
      </c>
    </row>
    <row r="124" spans="1:7" customFormat="1">
      <c r="A124" s="1">
        <v>29</v>
      </c>
      <c r="B124" s="1" t="s">
        <v>11</v>
      </c>
      <c r="C124" s="11">
        <v>83.89</v>
      </c>
      <c r="D124" s="11">
        <v>83.38</v>
      </c>
      <c r="E124" s="2">
        <f t="shared" si="2"/>
        <v>0.51000000000000512</v>
      </c>
      <c r="F124" s="11">
        <v>0.35</v>
      </c>
      <c r="G124" s="3">
        <f t="shared" si="3"/>
        <v>1.02515198474193E-2</v>
      </c>
    </row>
    <row r="125" spans="1:7" customFormat="1">
      <c r="A125" s="1">
        <v>30</v>
      </c>
      <c r="B125" s="1" t="s">
        <v>11</v>
      </c>
      <c r="C125" s="11">
        <v>78.17</v>
      </c>
      <c r="D125" s="11">
        <v>77.64</v>
      </c>
      <c r="E125" s="2">
        <f t="shared" si="2"/>
        <v>0.53000000000000114</v>
      </c>
      <c r="F125" s="11">
        <v>0.3</v>
      </c>
      <c r="G125" s="3">
        <f t="shared" si="3"/>
        <v>1.061788409875913E-2</v>
      </c>
    </row>
    <row r="126" spans="1:7" customFormat="1">
      <c r="A126" s="1">
        <v>31</v>
      </c>
      <c r="B126" s="1" t="s">
        <v>11</v>
      </c>
      <c r="C126" s="11">
        <v>52.52</v>
      </c>
      <c r="D126" s="11">
        <v>51.82</v>
      </c>
      <c r="E126" s="2">
        <f t="shared" si="2"/>
        <v>0.70000000000000284</v>
      </c>
      <c r="F126" s="11">
        <v>0.32</v>
      </c>
      <c r="G126" s="3">
        <f t="shared" si="3"/>
        <v>1.9421172886519476E-2</v>
      </c>
    </row>
    <row r="127" spans="1:7" customFormat="1">
      <c r="A127" s="1">
        <v>1</v>
      </c>
      <c r="B127" s="1" t="s">
        <v>12</v>
      </c>
      <c r="C127" s="11">
        <v>153.87</v>
      </c>
      <c r="D127" s="11">
        <v>153</v>
      </c>
      <c r="E127" s="2">
        <f t="shared" si="2"/>
        <v>0.87000000000000455</v>
      </c>
      <c r="F127" s="11">
        <v>0.52400000000002933</v>
      </c>
      <c r="G127" s="3">
        <f t="shared" si="3"/>
        <v>9.0595957626570089E-3</v>
      </c>
    </row>
    <row r="128" spans="1:7" customFormat="1">
      <c r="A128" s="1">
        <v>2</v>
      </c>
      <c r="B128" s="1" t="s">
        <v>12</v>
      </c>
      <c r="C128" s="11">
        <v>153.52000000000001</v>
      </c>
      <c r="D128" s="11">
        <v>148.9</v>
      </c>
      <c r="E128" s="2">
        <f t="shared" si="2"/>
        <v>4.6200000000000045</v>
      </c>
      <c r="F128" s="11">
        <v>2.6859999999999999</v>
      </c>
      <c r="G128" s="3">
        <f t="shared" si="3"/>
        <v>4.7589890568004195E-2</v>
      </c>
    </row>
    <row r="129" spans="1:18">
      <c r="A129" s="1">
        <v>3</v>
      </c>
      <c r="B129" s="1" t="s">
        <v>12</v>
      </c>
      <c r="C129" s="11">
        <v>29.1</v>
      </c>
      <c r="D129" s="11">
        <v>28.4</v>
      </c>
      <c r="E129" s="2">
        <f t="shared" si="2"/>
        <v>0.70000000000000284</v>
      </c>
      <c r="F129" s="11">
        <v>2.6859999999999999</v>
      </c>
      <c r="G129" s="3">
        <f t="shared" si="3"/>
        <v>0.11635738831615129</v>
      </c>
      <c r="R129"/>
    </row>
    <row r="130" spans="1:18">
      <c r="A130" s="1">
        <v>4</v>
      </c>
      <c r="B130" s="1" t="s">
        <v>12</v>
      </c>
      <c r="C130" s="11">
        <v>48.32</v>
      </c>
      <c r="D130" s="11">
        <v>47.75</v>
      </c>
      <c r="E130" s="2">
        <f t="shared" si="2"/>
        <v>0.57000000000000028</v>
      </c>
      <c r="F130" s="11">
        <v>0.7120000000000104</v>
      </c>
      <c r="G130" s="3">
        <f t="shared" si="3"/>
        <v>2.6531456953642604E-2</v>
      </c>
      <c r="R130"/>
    </row>
    <row r="131" spans="1:18">
      <c r="A131" s="1">
        <v>5</v>
      </c>
      <c r="B131" s="1" t="s">
        <v>12</v>
      </c>
      <c r="C131" s="11">
        <v>25.09</v>
      </c>
      <c r="D131" s="11">
        <v>24.95</v>
      </c>
      <c r="E131" s="2">
        <f t="shared" si="2"/>
        <v>0.14000000000000057</v>
      </c>
      <c r="F131" s="11">
        <v>0.51100000000000001</v>
      </c>
      <c r="G131" s="3">
        <f t="shared" si="3"/>
        <v>2.5946592267835814E-2</v>
      </c>
      <c r="R131"/>
    </row>
    <row r="132" spans="1:18">
      <c r="A132" s="1">
        <v>6</v>
      </c>
      <c r="B132" s="1" t="s">
        <v>12</v>
      </c>
      <c r="C132" s="11">
        <v>25.21</v>
      </c>
      <c r="D132" s="11">
        <v>25.1</v>
      </c>
      <c r="E132" s="2">
        <f t="shared" ref="E132:E195" si="4">C132-D132</f>
        <v>0.10999999999999943</v>
      </c>
      <c r="F132" s="11">
        <v>0.39800000000000002</v>
      </c>
      <c r="G132" s="3">
        <f t="shared" ref="G132:G195" si="5">(E132+F132)/C132</f>
        <v>2.0150733835779429E-2</v>
      </c>
      <c r="R132"/>
    </row>
    <row r="133" spans="1:18">
      <c r="A133" s="1">
        <v>7</v>
      </c>
      <c r="B133" s="1" t="s">
        <v>12</v>
      </c>
      <c r="C133" s="11">
        <v>25.77</v>
      </c>
      <c r="D133" s="11">
        <v>24.75</v>
      </c>
      <c r="E133" s="2">
        <f t="shared" si="4"/>
        <v>1.0199999999999996</v>
      </c>
      <c r="F133" s="11">
        <v>1.6319999999999999</v>
      </c>
      <c r="G133" s="3">
        <f t="shared" si="5"/>
        <v>0.10291036088474968</v>
      </c>
      <c r="R133"/>
    </row>
    <row r="134" spans="1:18">
      <c r="A134" s="1">
        <v>10</v>
      </c>
      <c r="B134" s="1" t="s">
        <v>12</v>
      </c>
      <c r="C134" s="11">
        <v>109.35</v>
      </c>
      <c r="D134" s="11">
        <v>107.95</v>
      </c>
      <c r="E134" s="2">
        <f t="shared" si="4"/>
        <v>1.3999999999999915</v>
      </c>
      <c r="F134" s="11">
        <v>1.4539999999999971</v>
      </c>
      <c r="G134" s="3">
        <f t="shared" si="5"/>
        <v>2.6099679926840317E-2</v>
      </c>
      <c r="R134"/>
    </row>
    <row r="135" spans="1:18">
      <c r="A135" s="1">
        <v>8</v>
      </c>
      <c r="B135" s="1" t="s">
        <v>12</v>
      </c>
      <c r="C135" s="11">
        <v>25.59</v>
      </c>
      <c r="D135" s="11">
        <v>24.8</v>
      </c>
      <c r="E135" s="2">
        <f t="shared" si="4"/>
        <v>0.78999999999999915</v>
      </c>
      <c r="F135" s="11">
        <v>0.42199999999999999</v>
      </c>
      <c r="G135" s="3">
        <f t="shared" si="5"/>
        <v>4.7362250879249668E-2</v>
      </c>
    </row>
    <row r="136" spans="1:18">
      <c r="A136" s="1">
        <v>9</v>
      </c>
      <c r="B136" s="1" t="s">
        <v>12</v>
      </c>
      <c r="C136" s="11">
        <v>101.19</v>
      </c>
      <c r="D136" s="11">
        <v>100.1</v>
      </c>
      <c r="E136" s="2">
        <f t="shared" si="4"/>
        <v>1.0900000000000034</v>
      </c>
      <c r="F136" s="11">
        <v>1.1000000000000001</v>
      </c>
      <c r="G136" s="3">
        <f t="shared" si="5"/>
        <v>2.1642454788022566E-2</v>
      </c>
      <c r="R136"/>
    </row>
    <row r="137" spans="1:18">
      <c r="A137" s="1">
        <v>11</v>
      </c>
      <c r="B137" s="1" t="s">
        <v>12</v>
      </c>
      <c r="C137" s="11">
        <v>75.849999999999994</v>
      </c>
      <c r="D137" s="11">
        <v>75.400000000000006</v>
      </c>
      <c r="E137" s="2">
        <f t="shared" si="4"/>
        <v>0.44999999999998863</v>
      </c>
      <c r="F137" s="11">
        <v>1.075</v>
      </c>
      <c r="G137" s="3">
        <f t="shared" si="5"/>
        <v>2.010547132498337E-2</v>
      </c>
      <c r="R137"/>
    </row>
    <row r="138" spans="1:18">
      <c r="A138" s="1">
        <v>12</v>
      </c>
      <c r="B138" s="1" t="s">
        <v>12</v>
      </c>
      <c r="C138" s="11">
        <v>79.91</v>
      </c>
      <c r="D138" s="11">
        <v>77.8</v>
      </c>
      <c r="E138" s="2">
        <f t="shared" si="4"/>
        <v>2.1099999999999994</v>
      </c>
      <c r="F138" s="11">
        <v>0.59499999999999997</v>
      </c>
      <c r="G138" s="3">
        <f t="shared" si="5"/>
        <v>3.3850581904642713E-2</v>
      </c>
      <c r="R138"/>
    </row>
    <row r="139" spans="1:18">
      <c r="A139" s="1">
        <v>13</v>
      </c>
      <c r="B139" s="1" t="s">
        <v>12</v>
      </c>
      <c r="C139" s="11">
        <v>30.02</v>
      </c>
      <c r="D139" s="11">
        <v>29.15</v>
      </c>
      <c r="E139" s="2">
        <f t="shared" si="4"/>
        <v>0.87000000000000099</v>
      </c>
      <c r="F139" s="11">
        <v>0.65800000000000003</v>
      </c>
      <c r="G139" s="3">
        <f t="shared" si="5"/>
        <v>5.0899400399733542E-2</v>
      </c>
      <c r="R139"/>
    </row>
    <row r="140" spans="1:18">
      <c r="A140" s="1">
        <v>14</v>
      </c>
      <c r="B140" s="1" t="s">
        <v>12</v>
      </c>
      <c r="C140" s="11">
        <v>105.78</v>
      </c>
      <c r="D140" s="11">
        <v>104.7</v>
      </c>
      <c r="E140" s="2">
        <f t="shared" si="4"/>
        <v>1.0799999999999983</v>
      </c>
      <c r="F140" s="11">
        <v>0.65200000000000002</v>
      </c>
      <c r="G140" s="3">
        <f t="shared" si="5"/>
        <v>1.6373605596521068E-2</v>
      </c>
      <c r="R140"/>
    </row>
    <row r="141" spans="1:18">
      <c r="A141" s="1">
        <v>15</v>
      </c>
      <c r="B141" s="1" t="s">
        <v>12</v>
      </c>
      <c r="C141" s="11">
        <v>26.82</v>
      </c>
      <c r="D141" s="11">
        <v>26.6</v>
      </c>
      <c r="E141" s="2">
        <f t="shared" si="4"/>
        <v>0.21999999999999886</v>
      </c>
      <c r="F141" s="11">
        <v>2.0939999999999999</v>
      </c>
      <c r="G141" s="3">
        <f t="shared" si="5"/>
        <v>8.6278896346010395E-2</v>
      </c>
      <c r="R141"/>
    </row>
    <row r="142" spans="1:18">
      <c r="A142" s="1">
        <v>16</v>
      </c>
      <c r="B142" s="1" t="s">
        <v>12</v>
      </c>
      <c r="C142" s="11">
        <v>27.55</v>
      </c>
      <c r="D142" s="11">
        <v>27.15</v>
      </c>
      <c r="E142" s="2">
        <f t="shared" si="4"/>
        <v>0.40000000000000213</v>
      </c>
      <c r="F142" s="11">
        <v>0.44600000000000001</v>
      </c>
      <c r="G142" s="3">
        <f t="shared" si="5"/>
        <v>3.0707803992740548E-2</v>
      </c>
      <c r="R142"/>
    </row>
    <row r="143" spans="1:18">
      <c r="A143" s="1">
        <v>17</v>
      </c>
      <c r="B143" s="1" t="s">
        <v>12</v>
      </c>
      <c r="C143" s="11">
        <v>29.55</v>
      </c>
      <c r="D143" s="11">
        <v>29.45</v>
      </c>
      <c r="E143" s="2">
        <f t="shared" si="4"/>
        <v>0.10000000000000142</v>
      </c>
      <c r="F143" s="11">
        <v>0.42899999999999999</v>
      </c>
      <c r="G143" s="3">
        <f t="shared" si="5"/>
        <v>1.7901861252115108E-2</v>
      </c>
      <c r="R143"/>
    </row>
    <row r="144" spans="1:18">
      <c r="A144" s="1">
        <v>18</v>
      </c>
      <c r="B144" s="1" t="s">
        <v>12</v>
      </c>
      <c r="C144" s="11">
        <v>77.069999999999993</v>
      </c>
      <c r="D144" s="11">
        <v>75.650000000000006</v>
      </c>
      <c r="E144" s="2">
        <f t="shared" si="4"/>
        <v>1.4199999999999875</v>
      </c>
      <c r="F144" s="11">
        <v>0.49399999999999999</v>
      </c>
      <c r="G144" s="3">
        <f t="shared" si="5"/>
        <v>2.4834565978979987E-2</v>
      </c>
      <c r="R144"/>
    </row>
    <row r="145" spans="1:7" customFormat="1">
      <c r="A145" s="1">
        <v>19</v>
      </c>
      <c r="B145" s="1" t="s">
        <v>12</v>
      </c>
      <c r="C145" s="11">
        <v>28.94</v>
      </c>
      <c r="D145" s="11">
        <v>28.7</v>
      </c>
      <c r="E145" s="2">
        <f t="shared" si="4"/>
        <v>0.24000000000000199</v>
      </c>
      <c r="F145" s="11">
        <v>0.876</v>
      </c>
      <c r="G145" s="3">
        <f t="shared" si="5"/>
        <v>3.8562543192812777E-2</v>
      </c>
    </row>
    <row r="146" spans="1:7" customFormat="1">
      <c r="A146" s="1">
        <v>20</v>
      </c>
      <c r="B146" s="1" t="s">
        <v>12</v>
      </c>
      <c r="C146" s="11">
        <v>49.17</v>
      </c>
      <c r="D146" s="11">
        <v>48.4</v>
      </c>
      <c r="E146" s="2">
        <f t="shared" si="4"/>
        <v>0.77000000000000313</v>
      </c>
      <c r="F146" s="11">
        <v>1.3660000000000001</v>
      </c>
      <c r="G146" s="3">
        <f t="shared" si="5"/>
        <v>4.3441122635753573E-2</v>
      </c>
    </row>
    <row r="147" spans="1:7" customFormat="1">
      <c r="A147" s="1">
        <v>21</v>
      </c>
      <c r="B147" s="1" t="s">
        <v>12</v>
      </c>
      <c r="C147" s="11">
        <v>28.93</v>
      </c>
      <c r="D147" s="11">
        <v>27.55</v>
      </c>
      <c r="E147" s="2">
        <f t="shared" si="4"/>
        <v>1.379999999999999</v>
      </c>
      <c r="F147" s="11">
        <v>0.505</v>
      </c>
      <c r="G147" s="3">
        <f t="shared" si="5"/>
        <v>6.515727618389211E-2</v>
      </c>
    </row>
    <row r="148" spans="1:7" customFormat="1">
      <c r="A148" s="1">
        <v>22</v>
      </c>
      <c r="B148" s="1" t="s">
        <v>12</v>
      </c>
      <c r="C148" s="11">
        <v>54.9</v>
      </c>
      <c r="D148" s="11">
        <v>54.15</v>
      </c>
      <c r="E148" s="2">
        <f t="shared" si="4"/>
        <v>0.75</v>
      </c>
      <c r="F148" s="11">
        <v>0.42499999999999699</v>
      </c>
      <c r="G148" s="3">
        <f t="shared" si="5"/>
        <v>2.1402550091074626E-2</v>
      </c>
    </row>
    <row r="149" spans="1:7" customFormat="1">
      <c r="A149" s="1">
        <v>23</v>
      </c>
      <c r="B149" s="1" t="s">
        <v>12</v>
      </c>
      <c r="C149" s="11">
        <v>0</v>
      </c>
      <c r="D149" s="11">
        <v>0</v>
      </c>
      <c r="E149" s="2">
        <f t="shared" si="4"/>
        <v>0</v>
      </c>
      <c r="F149" s="11">
        <v>0.66700000000000004</v>
      </c>
      <c r="G149" s="3" t="e">
        <f t="shared" si="5"/>
        <v>#DIV/0!</v>
      </c>
    </row>
    <row r="150" spans="1:7" customFormat="1">
      <c r="A150" s="1">
        <v>24</v>
      </c>
      <c r="B150" s="1" t="s">
        <v>12</v>
      </c>
      <c r="C150" s="11">
        <v>49.44</v>
      </c>
      <c r="D150" s="11">
        <v>47.05</v>
      </c>
      <c r="E150" s="2">
        <f t="shared" si="4"/>
        <v>2.3900000000000006</v>
      </c>
      <c r="F150" s="11">
        <v>0.61799999999999999</v>
      </c>
      <c r="G150" s="3">
        <f t="shared" si="5"/>
        <v>6.0841423948220077E-2</v>
      </c>
    </row>
    <row r="151" spans="1:7" customFormat="1">
      <c r="A151" s="1">
        <v>25</v>
      </c>
      <c r="B151" s="1" t="s">
        <v>12</v>
      </c>
      <c r="C151" s="11">
        <v>50.87</v>
      </c>
      <c r="D151" s="11">
        <v>49.85</v>
      </c>
      <c r="E151" s="2">
        <f t="shared" si="4"/>
        <v>1.019999999999996</v>
      </c>
      <c r="F151" s="11">
        <v>0.94099999999999995</v>
      </c>
      <c r="G151" s="3">
        <f t="shared" si="5"/>
        <v>3.8549243168861727E-2</v>
      </c>
    </row>
    <row r="152" spans="1:7" customFormat="1">
      <c r="A152" s="1">
        <v>26</v>
      </c>
      <c r="B152" s="1" t="s">
        <v>12</v>
      </c>
      <c r="C152" s="11">
        <v>50</v>
      </c>
      <c r="D152" s="11">
        <v>49.65</v>
      </c>
      <c r="E152" s="2">
        <f t="shared" si="4"/>
        <v>0.35000000000000142</v>
      </c>
      <c r="F152" s="11">
        <v>0.50800000000000001</v>
      </c>
      <c r="G152" s="3">
        <f t="shared" si="5"/>
        <v>1.7160000000000029E-2</v>
      </c>
    </row>
    <row r="153" spans="1:7" customFormat="1">
      <c r="A153" s="1">
        <v>27</v>
      </c>
      <c r="B153" s="1" t="s">
        <v>12</v>
      </c>
      <c r="C153" s="11">
        <v>78.849999999999994</v>
      </c>
      <c r="D153" s="11">
        <v>78.5</v>
      </c>
      <c r="E153" s="2">
        <f t="shared" si="4"/>
        <v>0.34999999999999432</v>
      </c>
      <c r="F153" s="11">
        <v>0.91</v>
      </c>
      <c r="G153" s="3">
        <f t="shared" si="5"/>
        <v>1.597970830691179E-2</v>
      </c>
    </row>
    <row r="154" spans="1:7" customFormat="1">
      <c r="A154" s="1">
        <v>28</v>
      </c>
      <c r="B154" s="1" t="s">
        <v>12</v>
      </c>
      <c r="C154" s="11">
        <v>27.62</v>
      </c>
      <c r="D154" s="11">
        <v>26.85</v>
      </c>
      <c r="E154" s="2">
        <f t="shared" si="4"/>
        <v>0.76999999999999957</v>
      </c>
      <c r="F154" s="11">
        <v>1.01</v>
      </c>
      <c r="G154" s="3">
        <f t="shared" si="5"/>
        <v>6.4446053584359148E-2</v>
      </c>
    </row>
    <row r="155" spans="1:7" customFormat="1">
      <c r="A155" s="1">
        <v>29</v>
      </c>
      <c r="B155" s="1" t="s">
        <v>12</v>
      </c>
      <c r="C155" s="11">
        <v>75</v>
      </c>
      <c r="D155" s="11">
        <v>74.349999999999994</v>
      </c>
      <c r="E155" s="2">
        <f t="shared" si="4"/>
        <v>0.65000000000000568</v>
      </c>
      <c r="F155" s="11">
        <v>0.44800000000000001</v>
      </c>
      <c r="G155" s="3">
        <f t="shared" si="5"/>
        <v>1.4640000000000075E-2</v>
      </c>
    </row>
    <row r="156" spans="1:7" customFormat="1">
      <c r="A156" s="1">
        <v>30</v>
      </c>
      <c r="B156" s="1" t="s">
        <v>12</v>
      </c>
      <c r="C156" s="11">
        <v>80.010000000000005</v>
      </c>
      <c r="D156" s="11">
        <v>78.099999999999994</v>
      </c>
      <c r="E156" s="2">
        <f t="shared" si="4"/>
        <v>1.9100000000000108</v>
      </c>
      <c r="F156" s="11">
        <v>0.69899999999999995</v>
      </c>
      <c r="G156" s="3">
        <f t="shared" si="5"/>
        <v>3.2608423947006755E-2</v>
      </c>
    </row>
    <row r="157" spans="1:7" customFormat="1">
      <c r="A157" s="1">
        <v>31</v>
      </c>
      <c r="B157" s="1" t="s">
        <v>12</v>
      </c>
      <c r="C157" s="11">
        <v>54.17</v>
      </c>
      <c r="D157" s="11">
        <v>53.95</v>
      </c>
      <c r="E157" s="2">
        <f t="shared" si="4"/>
        <v>0.21999999999999886</v>
      </c>
      <c r="F157" s="11">
        <v>1.7789999999999999</v>
      </c>
      <c r="G157" s="3">
        <f t="shared" si="5"/>
        <v>3.6902344471109447E-2</v>
      </c>
    </row>
    <row r="158" spans="1:7" customFormat="1">
      <c r="A158" s="1">
        <v>1</v>
      </c>
      <c r="B158" s="1" t="s">
        <v>13</v>
      </c>
      <c r="C158" s="11">
        <v>72.209999999999994</v>
      </c>
      <c r="D158" s="11">
        <v>71.36</v>
      </c>
      <c r="E158" s="2">
        <f t="shared" si="4"/>
        <v>0.84999999999999432</v>
      </c>
      <c r="F158" s="11">
        <v>0.251</v>
      </c>
      <c r="G158" s="3">
        <f t="shared" si="5"/>
        <v>1.5247195679268721E-2</v>
      </c>
    </row>
    <row r="159" spans="1:7" customFormat="1">
      <c r="A159" s="1">
        <v>2</v>
      </c>
      <c r="B159" s="1" t="s">
        <v>13</v>
      </c>
      <c r="C159" s="11">
        <v>29.26</v>
      </c>
      <c r="D159" s="11">
        <v>28.34</v>
      </c>
      <c r="E159" s="2">
        <f t="shared" si="4"/>
        <v>0.92000000000000171</v>
      </c>
      <c r="F159" s="11">
        <v>0.20799999999999999</v>
      </c>
      <c r="G159" s="3">
        <f t="shared" si="5"/>
        <v>3.8550922761449134E-2</v>
      </c>
    </row>
    <row r="160" spans="1:7" customFormat="1">
      <c r="A160" s="1">
        <v>3</v>
      </c>
      <c r="B160" s="1" t="s">
        <v>13</v>
      </c>
      <c r="C160" s="11">
        <v>53.24</v>
      </c>
      <c r="D160" s="11">
        <v>52.82</v>
      </c>
      <c r="E160" s="2">
        <f t="shared" si="4"/>
        <v>0.42000000000000171</v>
      </c>
      <c r="F160" s="11">
        <v>0.254</v>
      </c>
      <c r="G160" s="3">
        <f t="shared" si="5"/>
        <v>1.2659654395191617E-2</v>
      </c>
    </row>
    <row r="161" spans="1:18">
      <c r="A161" s="1">
        <v>4</v>
      </c>
      <c r="B161" s="1" t="s">
        <v>13</v>
      </c>
      <c r="C161" s="11">
        <v>55.1</v>
      </c>
      <c r="D161" s="11">
        <v>54.56</v>
      </c>
      <c r="E161" s="2">
        <f t="shared" si="4"/>
        <v>0.53999999999999915</v>
      </c>
      <c r="F161" s="11">
        <v>0.24399999999999999</v>
      </c>
      <c r="G161" s="3">
        <f t="shared" si="5"/>
        <v>1.4228675136116137E-2</v>
      </c>
      <c r="R161"/>
    </row>
    <row r="162" spans="1:18">
      <c r="A162" s="1">
        <v>5</v>
      </c>
      <c r="B162" s="1" t="s">
        <v>13</v>
      </c>
      <c r="C162" s="11">
        <v>130.59</v>
      </c>
      <c r="D162" s="11">
        <v>129.02000000000001</v>
      </c>
      <c r="E162" s="2">
        <f t="shared" si="4"/>
        <v>1.5699999999999932</v>
      </c>
      <c r="F162" s="11">
        <v>0.16600000000000001</v>
      </c>
      <c r="G162" s="3">
        <f t="shared" si="5"/>
        <v>1.3293514051611862E-2</v>
      </c>
      <c r="R162"/>
    </row>
    <row r="163" spans="1:18">
      <c r="A163" s="1">
        <v>6</v>
      </c>
      <c r="B163" s="1" t="s">
        <v>13</v>
      </c>
      <c r="C163" s="11">
        <v>53</v>
      </c>
      <c r="D163" s="11">
        <v>52.34</v>
      </c>
      <c r="E163" s="2">
        <f t="shared" si="4"/>
        <v>0.65999999999999659</v>
      </c>
      <c r="F163" s="11">
        <v>0</v>
      </c>
      <c r="G163" s="3">
        <f t="shared" si="5"/>
        <v>1.2452830188679181E-2</v>
      </c>
      <c r="R163"/>
    </row>
    <row r="164" spans="1:18">
      <c r="A164" s="1">
        <v>7</v>
      </c>
      <c r="B164" s="1" t="s">
        <v>13</v>
      </c>
      <c r="C164" s="11">
        <v>50</v>
      </c>
      <c r="D164" s="11">
        <v>49.56</v>
      </c>
      <c r="E164" s="2">
        <f t="shared" si="4"/>
        <v>0.43999999999999773</v>
      </c>
      <c r="F164" s="11">
        <v>0.16400000000000001</v>
      </c>
      <c r="G164" s="3">
        <f t="shared" si="5"/>
        <v>1.2079999999999955E-2</v>
      </c>
      <c r="R164"/>
    </row>
    <row r="165" spans="1:18">
      <c r="A165" s="1">
        <v>10</v>
      </c>
      <c r="B165" s="1" t="s">
        <v>13</v>
      </c>
      <c r="C165" s="11">
        <v>26.04</v>
      </c>
      <c r="D165" s="11">
        <v>25.68</v>
      </c>
      <c r="E165" s="2">
        <f t="shared" si="4"/>
        <v>0.35999999999999943</v>
      </c>
      <c r="F165" s="11">
        <v>0.28499999999999998</v>
      </c>
      <c r="G165" s="3">
        <f t="shared" si="5"/>
        <v>2.4769585253456197E-2</v>
      </c>
      <c r="R165"/>
    </row>
    <row r="166" spans="1:18">
      <c r="A166" s="1">
        <v>8</v>
      </c>
      <c r="B166" s="1" t="s">
        <v>13</v>
      </c>
      <c r="C166" s="11">
        <v>49.36</v>
      </c>
      <c r="D166" s="11">
        <v>48.74</v>
      </c>
      <c r="E166" s="2">
        <f t="shared" si="4"/>
        <v>0.61999999999999744</v>
      </c>
      <c r="F166" s="11">
        <v>0.19800000000000001</v>
      </c>
      <c r="G166" s="3">
        <f t="shared" si="5"/>
        <v>1.6572123176661211E-2</v>
      </c>
    </row>
    <row r="167" spans="1:18">
      <c r="A167" s="1">
        <v>9</v>
      </c>
      <c r="B167" s="1" t="s">
        <v>13</v>
      </c>
      <c r="C167" s="11">
        <v>82.98</v>
      </c>
      <c r="D167" s="11">
        <v>81.819999999999993</v>
      </c>
      <c r="E167" s="2">
        <f t="shared" si="4"/>
        <v>1.1600000000000108</v>
      </c>
      <c r="F167" s="11">
        <v>0.16</v>
      </c>
      <c r="G167" s="3">
        <f t="shared" si="5"/>
        <v>1.5907447577729703E-2</v>
      </c>
      <c r="R167"/>
    </row>
    <row r="168" spans="1:18">
      <c r="A168" s="1">
        <v>11</v>
      </c>
      <c r="B168" s="1" t="s">
        <v>13</v>
      </c>
      <c r="C168" s="11">
        <v>107.2</v>
      </c>
      <c r="D168" s="11">
        <v>106.18</v>
      </c>
      <c r="E168" s="2">
        <f t="shared" si="4"/>
        <v>1.019999999999996</v>
      </c>
      <c r="F168" s="11">
        <v>0.20599999999999999</v>
      </c>
      <c r="G168" s="3">
        <f t="shared" si="5"/>
        <v>1.1436567164179066E-2</v>
      </c>
      <c r="R168"/>
    </row>
    <row r="169" spans="1:18">
      <c r="A169" s="1">
        <v>12</v>
      </c>
      <c r="B169" s="1" t="s">
        <v>13</v>
      </c>
      <c r="C169" s="11">
        <v>105.45</v>
      </c>
      <c r="D169" s="11">
        <v>104.38</v>
      </c>
      <c r="E169" s="2">
        <f t="shared" si="4"/>
        <v>1.0700000000000074</v>
      </c>
      <c r="F169" s="11">
        <v>0.11600000000000001</v>
      </c>
      <c r="G169" s="3">
        <f t="shared" si="5"/>
        <v>1.1247036510194475E-2</v>
      </c>
      <c r="R169"/>
    </row>
    <row r="170" spans="1:18">
      <c r="A170" s="1">
        <v>13</v>
      </c>
      <c r="B170" s="1" t="s">
        <v>13</v>
      </c>
      <c r="C170" s="11">
        <v>77.59</v>
      </c>
      <c r="D170" s="11">
        <v>76.599999999999994</v>
      </c>
      <c r="E170" s="2">
        <f t="shared" si="4"/>
        <v>0.99000000000000909</v>
      </c>
      <c r="F170" s="11">
        <v>0.26400000000000001</v>
      </c>
      <c r="G170" s="3">
        <f t="shared" si="5"/>
        <v>1.6161876530480849E-2</v>
      </c>
      <c r="R170"/>
    </row>
    <row r="171" spans="1:18">
      <c r="A171" s="1">
        <v>14</v>
      </c>
      <c r="B171" s="1" t="s">
        <v>13</v>
      </c>
      <c r="C171" s="11">
        <v>106.51</v>
      </c>
      <c r="D171" s="11">
        <v>105.34</v>
      </c>
      <c r="E171" s="2">
        <f t="shared" si="4"/>
        <v>1.1700000000000017</v>
      </c>
      <c r="F171" s="11">
        <v>0.19700000000000001</v>
      </c>
      <c r="G171" s="3">
        <f t="shared" si="5"/>
        <v>1.2834475636090524E-2</v>
      </c>
      <c r="R171"/>
    </row>
    <row r="172" spans="1:18">
      <c r="A172" s="1">
        <v>15</v>
      </c>
      <c r="B172" s="1" t="s">
        <v>13</v>
      </c>
      <c r="C172" s="11">
        <v>79.02</v>
      </c>
      <c r="D172" s="11">
        <v>78.16</v>
      </c>
      <c r="E172" s="2">
        <f t="shared" si="4"/>
        <v>0.85999999999999943</v>
      </c>
      <c r="F172" s="11">
        <v>0.14399999999999999</v>
      </c>
      <c r="G172" s="3">
        <f t="shared" si="5"/>
        <v>1.270564414072386E-2</v>
      </c>
      <c r="R172"/>
    </row>
    <row r="173" spans="1:18">
      <c r="A173" s="1">
        <v>16</v>
      </c>
      <c r="B173" s="1" t="s">
        <v>13</v>
      </c>
      <c r="C173" s="11">
        <v>78.180000000000007</v>
      </c>
      <c r="D173" s="11">
        <v>77.099999999999994</v>
      </c>
      <c r="E173" s="2">
        <f t="shared" si="4"/>
        <v>1.0800000000000125</v>
      </c>
      <c r="F173" s="11">
        <v>0.13</v>
      </c>
      <c r="G173" s="3">
        <f t="shared" si="5"/>
        <v>1.5477104118700593E-2</v>
      </c>
      <c r="R173"/>
    </row>
    <row r="174" spans="1:18">
      <c r="A174" s="1">
        <v>17</v>
      </c>
      <c r="B174" s="1" t="s">
        <v>13</v>
      </c>
      <c r="C174" s="11">
        <v>82.12</v>
      </c>
      <c r="D174" s="11">
        <v>81.06</v>
      </c>
      <c r="E174" s="2">
        <f t="shared" si="4"/>
        <v>1.0600000000000023</v>
      </c>
      <c r="F174" s="11">
        <v>0.221</v>
      </c>
      <c r="G174" s="3">
        <f t="shared" si="5"/>
        <v>1.559912323429131E-2</v>
      </c>
      <c r="R174"/>
    </row>
    <row r="175" spans="1:18">
      <c r="A175" s="1">
        <v>18</v>
      </c>
      <c r="B175" s="1" t="s">
        <v>13</v>
      </c>
      <c r="C175" s="11">
        <v>79.47</v>
      </c>
      <c r="D175" s="11">
        <v>78.540000000000006</v>
      </c>
      <c r="E175" s="2">
        <f t="shared" si="4"/>
        <v>0.92999999999999261</v>
      </c>
      <c r="F175" s="11">
        <v>0.20599999999999999</v>
      </c>
      <c r="G175" s="3">
        <f t="shared" si="5"/>
        <v>1.4294702403422581E-2</v>
      </c>
      <c r="R175"/>
    </row>
    <row r="176" spans="1:18">
      <c r="A176" s="1">
        <v>19</v>
      </c>
      <c r="B176" s="1" t="s">
        <v>13</v>
      </c>
      <c r="C176" s="11">
        <v>75</v>
      </c>
      <c r="D176" s="11">
        <v>73.64</v>
      </c>
      <c r="E176" s="2">
        <f t="shared" si="4"/>
        <v>1.3599999999999994</v>
      </c>
      <c r="F176" s="11">
        <v>0.26800000000000002</v>
      </c>
      <c r="G176" s="3">
        <f t="shared" si="5"/>
        <v>2.1706666666666659E-2</v>
      </c>
      <c r="R176"/>
    </row>
    <row r="177" spans="1:7" customFormat="1">
      <c r="A177" s="1">
        <v>20</v>
      </c>
      <c r="B177" s="1" t="s">
        <v>13</v>
      </c>
      <c r="C177" s="11">
        <v>61</v>
      </c>
      <c r="D177" s="11">
        <v>59.42</v>
      </c>
      <c r="E177" s="2">
        <f t="shared" si="4"/>
        <v>1.5799999999999983</v>
      </c>
      <c r="F177" s="11">
        <v>0.104</v>
      </c>
      <c r="G177" s="3">
        <f t="shared" si="5"/>
        <v>2.7606557377049153E-2</v>
      </c>
    </row>
    <row r="178" spans="1:7" customFormat="1">
      <c r="A178" s="1">
        <v>21</v>
      </c>
      <c r="B178" s="1" t="s">
        <v>13</v>
      </c>
      <c r="C178" s="11">
        <v>23.77</v>
      </c>
      <c r="D178" s="11">
        <v>23.45</v>
      </c>
      <c r="E178" s="2">
        <f t="shared" si="4"/>
        <v>0.32000000000000028</v>
      </c>
      <c r="F178" s="11">
        <v>0.19900000000000001</v>
      </c>
      <c r="G178" s="3">
        <f t="shared" si="5"/>
        <v>2.1834244846445115E-2</v>
      </c>
    </row>
    <row r="179" spans="1:7" customFormat="1">
      <c r="A179" s="1">
        <v>22</v>
      </c>
      <c r="B179" s="1" t="s">
        <v>13</v>
      </c>
      <c r="C179" s="11">
        <v>104.65</v>
      </c>
      <c r="D179" s="11">
        <v>103.66</v>
      </c>
      <c r="E179" s="2">
        <f t="shared" si="4"/>
        <v>0.99000000000000909</v>
      </c>
      <c r="F179" s="11">
        <v>0.28099999999999198</v>
      </c>
      <c r="G179" s="3">
        <f t="shared" si="5"/>
        <v>1.2145246058289545E-2</v>
      </c>
    </row>
    <row r="180" spans="1:7" customFormat="1">
      <c r="A180" s="1">
        <v>23</v>
      </c>
      <c r="B180" s="1" t="s">
        <v>13</v>
      </c>
      <c r="C180" s="11">
        <v>102.4</v>
      </c>
      <c r="D180" s="11">
        <v>101.18</v>
      </c>
      <c r="E180" s="2">
        <f t="shared" si="4"/>
        <v>1.2199999999999989</v>
      </c>
      <c r="F180" s="11">
        <v>0.26800000000000002</v>
      </c>
      <c r="G180" s="3">
        <f t="shared" si="5"/>
        <v>1.4531249999999989E-2</v>
      </c>
    </row>
    <row r="181" spans="1:7" customFormat="1">
      <c r="A181" s="1">
        <v>24</v>
      </c>
      <c r="B181" s="1" t="s">
        <v>13</v>
      </c>
      <c r="C181" s="11">
        <v>24.23</v>
      </c>
      <c r="D181" s="11">
        <v>23.82</v>
      </c>
      <c r="E181" s="2">
        <f t="shared" si="4"/>
        <v>0.41000000000000014</v>
      </c>
      <c r="F181" s="11">
        <v>0.159</v>
      </c>
      <c r="G181" s="3">
        <f t="shared" si="5"/>
        <v>2.3483285183656631E-2</v>
      </c>
    </row>
    <row r="182" spans="1:7" customFormat="1">
      <c r="A182" s="1">
        <v>25</v>
      </c>
      <c r="B182" s="1" t="s">
        <v>13</v>
      </c>
      <c r="C182" s="11">
        <v>58.58</v>
      </c>
      <c r="D182" s="11">
        <v>58.1</v>
      </c>
      <c r="E182" s="2">
        <f t="shared" si="4"/>
        <v>0.47999999999999687</v>
      </c>
      <c r="F182" s="11">
        <v>0.19600000000000001</v>
      </c>
      <c r="G182" s="3">
        <f t="shared" si="5"/>
        <v>1.1539774667121831E-2</v>
      </c>
    </row>
    <row r="183" spans="1:7" customFormat="1">
      <c r="A183" s="1">
        <v>26</v>
      </c>
      <c r="B183" s="1" t="s">
        <v>13</v>
      </c>
      <c r="C183" s="11">
        <v>106.28</v>
      </c>
      <c r="D183" s="11">
        <v>104.96</v>
      </c>
      <c r="E183" s="2">
        <f t="shared" si="4"/>
        <v>1.3200000000000074</v>
      </c>
      <c r="F183" s="11">
        <v>0.184</v>
      </c>
      <c r="G183" s="3">
        <f t="shared" si="5"/>
        <v>1.4151298456906354E-2</v>
      </c>
    </row>
    <row r="184" spans="1:7" customFormat="1">
      <c r="A184" s="1">
        <v>27</v>
      </c>
      <c r="B184" s="1" t="s">
        <v>13</v>
      </c>
      <c r="C184" s="11">
        <v>49.46</v>
      </c>
      <c r="D184" s="11">
        <v>48.8</v>
      </c>
      <c r="E184" s="2">
        <f t="shared" si="4"/>
        <v>0.66000000000000369</v>
      </c>
      <c r="F184" s="11">
        <v>0.114</v>
      </c>
      <c r="G184" s="3">
        <f t="shared" si="5"/>
        <v>1.5649009300444879E-2</v>
      </c>
    </row>
    <row r="185" spans="1:7" customFormat="1">
      <c r="A185" s="1">
        <v>28</v>
      </c>
      <c r="B185" s="1" t="s">
        <v>13</v>
      </c>
      <c r="C185" s="11">
        <v>93.99</v>
      </c>
      <c r="D185" s="11">
        <v>91.78</v>
      </c>
      <c r="E185" s="2">
        <f t="shared" si="4"/>
        <v>2.2099999999999937</v>
      </c>
      <c r="F185" s="11">
        <v>0.10299999999999999</v>
      </c>
      <c r="G185" s="3">
        <f t="shared" si="5"/>
        <v>2.4609000957548612E-2</v>
      </c>
    </row>
    <row r="186" spans="1:7" customFormat="1">
      <c r="A186" s="1">
        <v>29</v>
      </c>
      <c r="B186" s="1" t="s">
        <v>13</v>
      </c>
      <c r="C186" s="11">
        <v>103.43</v>
      </c>
      <c r="D186" s="11">
        <v>101.44</v>
      </c>
      <c r="E186" s="2">
        <f t="shared" si="4"/>
        <v>1.9900000000000091</v>
      </c>
      <c r="F186" s="11">
        <v>0.22700000000000001</v>
      </c>
      <c r="G186" s="3">
        <f t="shared" si="5"/>
        <v>2.1434786812336931E-2</v>
      </c>
    </row>
    <row r="187" spans="1:7" customFormat="1">
      <c r="A187" s="1">
        <v>30</v>
      </c>
      <c r="B187" s="1" t="s">
        <v>13</v>
      </c>
      <c r="C187" s="11">
        <v>81.069999999999993</v>
      </c>
      <c r="D187" s="11">
        <v>78.98</v>
      </c>
      <c r="E187" s="2">
        <f t="shared" si="4"/>
        <v>2.0899999999999892</v>
      </c>
      <c r="F187" s="11">
        <v>0.151</v>
      </c>
      <c r="G187" s="3">
        <f t="shared" si="5"/>
        <v>2.7642777846305529E-2</v>
      </c>
    </row>
    <row r="188" spans="1:7" customFormat="1">
      <c r="A188" s="1">
        <v>31</v>
      </c>
      <c r="B188" s="1" t="s">
        <v>13</v>
      </c>
      <c r="C188" s="11">
        <v>105.62</v>
      </c>
      <c r="D188" s="11">
        <v>104.22</v>
      </c>
      <c r="E188" s="2">
        <f t="shared" si="4"/>
        <v>1.4000000000000057</v>
      </c>
      <c r="F188" s="11">
        <v>0.1980000000000075</v>
      </c>
      <c r="G188" s="3">
        <f t="shared" si="5"/>
        <v>1.5129710282143658E-2</v>
      </c>
    </row>
    <row r="189" spans="1:7" customFormat="1">
      <c r="A189" s="1">
        <v>1</v>
      </c>
      <c r="B189" s="1" t="s">
        <v>14</v>
      </c>
      <c r="C189" s="11">
        <v>28.53</v>
      </c>
      <c r="D189" s="11">
        <v>28.5</v>
      </c>
      <c r="E189" s="2">
        <f t="shared" si="4"/>
        <v>3.0000000000001137E-2</v>
      </c>
      <c r="F189" s="11">
        <v>0.36</v>
      </c>
      <c r="G189" s="3">
        <f>(E189+F189)/C189</f>
        <v>1.3669821240799197E-2</v>
      </c>
    </row>
    <row r="190" spans="1:7" customFormat="1">
      <c r="A190" s="1">
        <v>2</v>
      </c>
      <c r="B190" s="1" t="s">
        <v>14</v>
      </c>
      <c r="C190" s="11">
        <v>50.45</v>
      </c>
      <c r="D190" s="11">
        <v>50.3</v>
      </c>
      <c r="E190" s="2">
        <f t="shared" si="4"/>
        <v>0.15000000000000568</v>
      </c>
      <c r="F190" s="11">
        <v>0.38500000000000001</v>
      </c>
      <c r="G190" s="3">
        <f t="shared" si="5"/>
        <v>1.0604558969276624E-2</v>
      </c>
    </row>
    <row r="191" spans="1:7" customFormat="1">
      <c r="A191" s="1">
        <v>3</v>
      </c>
      <c r="B191" s="1" t="s">
        <v>14</v>
      </c>
      <c r="C191" s="11">
        <v>26.62</v>
      </c>
      <c r="D191" s="11">
        <v>26.6</v>
      </c>
      <c r="E191" s="2">
        <f t="shared" si="4"/>
        <v>1.9999999999999574E-2</v>
      </c>
      <c r="F191" s="11">
        <v>0.10199999999999999</v>
      </c>
      <c r="G191" s="3">
        <f t="shared" si="5"/>
        <v>4.5830202854996076E-3</v>
      </c>
    </row>
    <row r="192" spans="1:7" customFormat="1">
      <c r="A192" s="1">
        <v>4</v>
      </c>
      <c r="B192" s="1" t="s">
        <v>14</v>
      </c>
      <c r="C192" s="11">
        <v>54.49</v>
      </c>
      <c r="D192" s="11">
        <v>54.3</v>
      </c>
      <c r="E192" s="2">
        <f t="shared" si="4"/>
        <v>0.19000000000000483</v>
      </c>
      <c r="F192" s="11">
        <v>0.63500000000000001</v>
      </c>
      <c r="G192" s="3">
        <f t="shared" si="5"/>
        <v>1.5140392732611576E-2</v>
      </c>
    </row>
    <row r="193" spans="1:18">
      <c r="A193" s="1">
        <v>5</v>
      </c>
      <c r="B193" s="1" t="s">
        <v>14</v>
      </c>
      <c r="C193" s="11">
        <v>25.6</v>
      </c>
      <c r="D193" s="11">
        <v>25.1</v>
      </c>
      <c r="E193" s="2">
        <f t="shared" si="4"/>
        <v>0.5</v>
      </c>
      <c r="F193" s="11">
        <v>0.16700000000000001</v>
      </c>
      <c r="G193" s="3">
        <f t="shared" si="5"/>
        <v>2.60546875E-2</v>
      </c>
      <c r="R193"/>
    </row>
    <row r="194" spans="1:18">
      <c r="A194" s="1">
        <v>6</v>
      </c>
      <c r="B194" s="1" t="s">
        <v>14</v>
      </c>
      <c r="C194" s="11">
        <v>0</v>
      </c>
      <c r="D194" s="11">
        <v>0</v>
      </c>
      <c r="E194" s="2">
        <f t="shared" si="4"/>
        <v>0</v>
      </c>
      <c r="F194" s="11">
        <v>0.30599999999999999</v>
      </c>
      <c r="G194" s="3" t="e">
        <f t="shared" si="5"/>
        <v>#DIV/0!</v>
      </c>
      <c r="R194"/>
    </row>
    <row r="195" spans="1:18">
      <c r="A195" s="1">
        <v>7</v>
      </c>
      <c r="B195" s="1" t="s">
        <v>14</v>
      </c>
      <c r="C195" s="11">
        <v>56.88</v>
      </c>
      <c r="D195" s="11">
        <v>56.8</v>
      </c>
      <c r="E195" s="2">
        <f t="shared" si="4"/>
        <v>8.00000000000054E-2</v>
      </c>
      <c r="F195" s="11">
        <v>0.74299999999999999</v>
      </c>
      <c r="G195" s="3">
        <f t="shared" si="5"/>
        <v>1.4469057665260292E-2</v>
      </c>
      <c r="R195"/>
    </row>
    <row r="196" spans="1:18">
      <c r="A196" s="1">
        <v>10</v>
      </c>
      <c r="B196" s="1" t="s">
        <v>14</v>
      </c>
      <c r="C196" s="11">
        <v>30.15</v>
      </c>
      <c r="D196" s="11">
        <v>30.1</v>
      </c>
      <c r="E196" s="2">
        <f t="shared" ref="E196:E259" si="6">C196-D196</f>
        <v>4.9999999999997158E-2</v>
      </c>
      <c r="F196" s="11">
        <v>0.23100000000000001</v>
      </c>
      <c r="G196" s="3">
        <f t="shared" ref="G196:G259" si="7">(E196+F196)/C196</f>
        <v>9.3200663349916144E-3</v>
      </c>
      <c r="R196"/>
    </row>
    <row r="197" spans="1:18">
      <c r="A197" s="1">
        <v>8</v>
      </c>
      <c r="B197" s="1" t="s">
        <v>14</v>
      </c>
      <c r="C197" s="11">
        <v>26.69</v>
      </c>
      <c r="D197" s="11">
        <v>26.6</v>
      </c>
      <c r="E197" s="2">
        <f t="shared" si="6"/>
        <v>8.9999999999999858E-2</v>
      </c>
      <c r="F197" s="11">
        <v>0.10100000000000001</v>
      </c>
      <c r="G197" s="3">
        <f t="shared" si="7"/>
        <v>7.1562382914949364E-3</v>
      </c>
    </row>
    <row r="198" spans="1:18">
      <c r="A198" s="1">
        <v>9</v>
      </c>
      <c r="B198" s="1" t="s">
        <v>14</v>
      </c>
      <c r="C198" s="11">
        <v>0</v>
      </c>
      <c r="D198" s="11">
        <v>0</v>
      </c>
      <c r="E198" s="2">
        <f t="shared" si="6"/>
        <v>0</v>
      </c>
      <c r="F198" s="11">
        <v>0.50800000000000001</v>
      </c>
      <c r="G198" s="3" t="e">
        <f t="shared" si="7"/>
        <v>#DIV/0!</v>
      </c>
      <c r="R198"/>
    </row>
    <row r="199" spans="1:18">
      <c r="A199" s="1">
        <v>11</v>
      </c>
      <c r="B199" s="1" t="s">
        <v>14</v>
      </c>
      <c r="C199" s="11">
        <v>54.62</v>
      </c>
      <c r="D199" s="11">
        <v>54.3</v>
      </c>
      <c r="E199" s="2">
        <f t="shared" si="6"/>
        <v>0.32000000000000028</v>
      </c>
      <c r="F199" s="11">
        <v>0.47699999999999998</v>
      </c>
      <c r="G199" s="3">
        <f t="shared" si="7"/>
        <v>1.4591724642987922E-2</v>
      </c>
      <c r="R199"/>
    </row>
    <row r="200" spans="1:18">
      <c r="A200" s="1">
        <v>12</v>
      </c>
      <c r="B200" s="1" t="s">
        <v>14</v>
      </c>
      <c r="C200" s="11">
        <v>0</v>
      </c>
      <c r="D200" s="11">
        <v>0</v>
      </c>
      <c r="E200" s="2">
        <f t="shared" si="6"/>
        <v>0</v>
      </c>
      <c r="F200" s="11">
        <v>0.35199999999999998</v>
      </c>
      <c r="G200" s="3" t="e">
        <f t="shared" si="7"/>
        <v>#DIV/0!</v>
      </c>
      <c r="R200"/>
    </row>
    <row r="201" spans="1:18">
      <c r="A201" s="1">
        <v>13</v>
      </c>
      <c r="B201" s="1" t="s">
        <v>14</v>
      </c>
      <c r="C201" s="11">
        <v>0</v>
      </c>
      <c r="D201" s="11">
        <v>0</v>
      </c>
      <c r="E201" s="2">
        <f t="shared" si="6"/>
        <v>0</v>
      </c>
      <c r="F201" s="11">
        <v>0.129</v>
      </c>
      <c r="G201" s="3" t="e">
        <f t="shared" si="7"/>
        <v>#DIV/0!</v>
      </c>
      <c r="R201"/>
    </row>
    <row r="202" spans="1:18">
      <c r="A202" s="1">
        <v>14</v>
      </c>
      <c r="B202" s="1" t="s">
        <v>14</v>
      </c>
      <c r="C202" s="11">
        <v>22.27</v>
      </c>
      <c r="D202" s="11">
        <v>22.4</v>
      </c>
      <c r="E202" s="2">
        <f t="shared" si="6"/>
        <v>-0.12999999999999901</v>
      </c>
      <c r="F202" s="11">
        <v>0.26800000000000002</v>
      </c>
      <c r="G202" s="3">
        <f t="shared" si="7"/>
        <v>6.1966771441401445E-3</v>
      </c>
      <c r="R202"/>
    </row>
    <row r="203" spans="1:18">
      <c r="A203" s="1">
        <v>15</v>
      </c>
      <c r="B203" s="1" t="s">
        <v>14</v>
      </c>
      <c r="C203" s="11">
        <v>25.19</v>
      </c>
      <c r="D203" s="11">
        <v>25.1</v>
      </c>
      <c r="E203" s="2">
        <f t="shared" si="6"/>
        <v>8.9999999999999858E-2</v>
      </c>
      <c r="F203" s="11">
        <v>0.313</v>
      </c>
      <c r="G203" s="3">
        <f t="shared" si="7"/>
        <v>1.5998412068281058E-2</v>
      </c>
      <c r="R203"/>
    </row>
    <row r="204" spans="1:18">
      <c r="A204" s="1">
        <v>16</v>
      </c>
      <c r="B204" s="1" t="s">
        <v>14</v>
      </c>
      <c r="C204" s="11">
        <v>31.36</v>
      </c>
      <c r="D204" s="11">
        <v>31.3</v>
      </c>
      <c r="E204" s="2">
        <f t="shared" si="6"/>
        <v>5.9999999999998721E-2</v>
      </c>
      <c r="F204" s="11">
        <v>0.24</v>
      </c>
      <c r="G204" s="3">
        <f t="shared" si="7"/>
        <v>9.5663265306122035E-3</v>
      </c>
      <c r="R204"/>
    </row>
    <row r="205" spans="1:18">
      <c r="A205" s="1">
        <v>17</v>
      </c>
      <c r="B205" s="1" t="s">
        <v>14</v>
      </c>
      <c r="C205" s="11">
        <v>58.89</v>
      </c>
      <c r="D205" s="11">
        <v>58.4</v>
      </c>
      <c r="E205" s="2">
        <f t="shared" si="6"/>
        <v>0.49000000000000199</v>
      </c>
      <c r="F205" s="11">
        <v>0.22</v>
      </c>
      <c r="G205" s="3">
        <f t="shared" si="7"/>
        <v>1.2056376294786925E-2</v>
      </c>
      <c r="R205"/>
    </row>
    <row r="206" spans="1:18">
      <c r="A206" s="1">
        <v>18</v>
      </c>
      <c r="B206" s="1" t="s">
        <v>14</v>
      </c>
      <c r="C206" s="11">
        <v>0</v>
      </c>
      <c r="D206" s="11">
        <v>0</v>
      </c>
      <c r="E206" s="2">
        <f t="shared" si="6"/>
        <v>0</v>
      </c>
      <c r="F206" s="11">
        <v>0.28000000000000003</v>
      </c>
      <c r="G206" s="3" t="e">
        <f t="shared" si="7"/>
        <v>#DIV/0!</v>
      </c>
      <c r="R206"/>
    </row>
    <row r="207" spans="1:18">
      <c r="A207" s="1">
        <v>19</v>
      </c>
      <c r="B207" s="1" t="s">
        <v>14</v>
      </c>
      <c r="C207" s="11">
        <v>29.56</v>
      </c>
      <c r="D207" s="11">
        <v>29.4</v>
      </c>
      <c r="E207" s="2">
        <f t="shared" si="6"/>
        <v>0.16000000000000014</v>
      </c>
      <c r="F207" s="11">
        <v>0.62</v>
      </c>
      <c r="G207" s="3">
        <f t="shared" si="7"/>
        <v>2.6387009472259818E-2</v>
      </c>
      <c r="R207"/>
    </row>
    <row r="208" spans="1:18">
      <c r="A208" s="1">
        <v>20</v>
      </c>
      <c r="B208" s="1" t="s">
        <v>14</v>
      </c>
      <c r="C208" s="11">
        <v>27.87</v>
      </c>
      <c r="D208" s="11">
        <v>27.8</v>
      </c>
      <c r="E208" s="2">
        <f t="shared" si="6"/>
        <v>7.0000000000000284E-2</v>
      </c>
      <c r="F208" s="11">
        <v>0.54500000000000004</v>
      </c>
      <c r="G208" s="3">
        <f t="shared" si="7"/>
        <v>2.2066738428417665E-2</v>
      </c>
      <c r="R208"/>
    </row>
    <row r="209" spans="1:7" customFormat="1">
      <c r="A209" s="1">
        <v>21</v>
      </c>
      <c r="B209" s="1" t="s">
        <v>14</v>
      </c>
      <c r="C209" s="11">
        <v>26.91</v>
      </c>
      <c r="D209" s="11">
        <v>26.9</v>
      </c>
      <c r="E209" s="2">
        <f t="shared" si="6"/>
        <v>1.0000000000001563E-2</v>
      </c>
      <c r="F209" s="11">
        <v>0.32100000000000001</v>
      </c>
      <c r="G209" s="3">
        <f t="shared" si="7"/>
        <v>1.2300260126347141E-2</v>
      </c>
    </row>
    <row r="210" spans="1:7" customFormat="1">
      <c r="A210" s="1">
        <v>22</v>
      </c>
      <c r="B210" s="1" t="s">
        <v>14</v>
      </c>
      <c r="C210" s="11">
        <v>0</v>
      </c>
      <c r="D210" s="11">
        <v>0</v>
      </c>
      <c r="E210" s="2">
        <f t="shared" si="6"/>
        <v>0</v>
      </c>
      <c r="F210" s="11">
        <v>0.57450000000000001</v>
      </c>
      <c r="G210" s="3" t="e">
        <f t="shared" si="7"/>
        <v>#DIV/0!</v>
      </c>
    </row>
    <row r="211" spans="1:7" customFormat="1">
      <c r="A211" s="1">
        <v>23</v>
      </c>
      <c r="B211" s="1" t="s">
        <v>14</v>
      </c>
      <c r="C211" s="11">
        <v>106.63</v>
      </c>
      <c r="D211" s="11">
        <v>106.3</v>
      </c>
      <c r="E211" s="2">
        <f t="shared" si="6"/>
        <v>0.32999999999999829</v>
      </c>
      <c r="F211" s="11">
        <v>1.1319999999999999</v>
      </c>
      <c r="G211" s="3">
        <f t="shared" si="7"/>
        <v>1.371096314358059E-2</v>
      </c>
    </row>
    <row r="212" spans="1:7" customFormat="1">
      <c r="A212" s="1">
        <v>24</v>
      </c>
      <c r="B212" s="1" t="s">
        <v>14</v>
      </c>
      <c r="C212" s="11">
        <v>0</v>
      </c>
      <c r="D212" s="11">
        <v>0</v>
      </c>
      <c r="E212" s="2">
        <f t="shared" si="6"/>
        <v>0</v>
      </c>
      <c r="F212" s="11">
        <v>0.623</v>
      </c>
      <c r="G212" s="3" t="e">
        <f t="shared" si="7"/>
        <v>#DIV/0!</v>
      </c>
    </row>
    <row r="213" spans="1:7" customFormat="1">
      <c r="A213" s="1">
        <v>25</v>
      </c>
      <c r="B213" s="1" t="s">
        <v>14</v>
      </c>
      <c r="C213" s="11">
        <v>46.11</v>
      </c>
      <c r="D213" s="11">
        <v>45.7</v>
      </c>
      <c r="E213" s="2">
        <f t="shared" si="6"/>
        <v>0.40999999999999659</v>
      </c>
      <c r="F213" s="11">
        <v>0.52600000000000002</v>
      </c>
      <c r="G213" s="3">
        <f t="shared" si="7"/>
        <v>2.0299284320104027E-2</v>
      </c>
    </row>
    <row r="214" spans="1:7" customFormat="1">
      <c r="A214" s="1">
        <v>26</v>
      </c>
      <c r="B214" s="1" t="s">
        <v>14</v>
      </c>
      <c r="C214" s="11">
        <v>0</v>
      </c>
      <c r="D214" s="11">
        <v>0</v>
      </c>
      <c r="E214" s="2">
        <f t="shared" si="6"/>
        <v>0</v>
      </c>
      <c r="F214" s="11">
        <v>0</v>
      </c>
      <c r="G214" s="3" t="e">
        <f t="shared" si="7"/>
        <v>#DIV/0!</v>
      </c>
    </row>
    <row r="215" spans="1:7" customFormat="1">
      <c r="A215" s="1">
        <v>27</v>
      </c>
      <c r="B215" s="1" t="s">
        <v>14</v>
      </c>
      <c r="C215" s="11">
        <v>29.42</v>
      </c>
      <c r="D215" s="11">
        <v>29.3</v>
      </c>
      <c r="E215" s="2">
        <f t="shared" si="6"/>
        <v>0.12000000000000099</v>
      </c>
      <c r="F215" s="11">
        <v>0.92</v>
      </c>
      <c r="G215" s="3">
        <f t="shared" si="7"/>
        <v>3.5350101971448021E-2</v>
      </c>
    </row>
    <row r="216" spans="1:7" customFormat="1">
      <c r="A216" s="1">
        <v>28</v>
      </c>
      <c r="B216" s="1" t="s">
        <v>14</v>
      </c>
      <c r="C216" s="11">
        <v>25.81</v>
      </c>
      <c r="D216" s="11">
        <v>25.7</v>
      </c>
      <c r="E216" s="2">
        <f t="shared" si="6"/>
        <v>0.10999999999999943</v>
      </c>
      <c r="F216" s="11">
        <v>0.40100000000000002</v>
      </c>
      <c r="G216" s="3">
        <f t="shared" si="7"/>
        <v>1.9798527702440893E-2</v>
      </c>
    </row>
    <row r="217" spans="1:7" customFormat="1" ht="14.4" customHeight="1">
      <c r="A217" s="1">
        <v>29</v>
      </c>
      <c r="B217" s="1" t="s">
        <v>14</v>
      </c>
      <c r="C217" s="11">
        <v>110.66</v>
      </c>
      <c r="D217" s="11">
        <v>110.2</v>
      </c>
      <c r="E217" s="2">
        <f t="shared" si="6"/>
        <v>0.45999999999999375</v>
      </c>
      <c r="F217" s="11">
        <v>0.96799999999999997</v>
      </c>
      <c r="G217" s="3">
        <f t="shared" si="7"/>
        <v>1.2904391830833126E-2</v>
      </c>
    </row>
    <row r="218" spans="1:7" customFormat="1">
      <c r="A218" s="1">
        <v>30</v>
      </c>
      <c r="B218" s="1" t="s">
        <v>14</v>
      </c>
      <c r="C218" s="11">
        <v>78.010000000000005</v>
      </c>
      <c r="D218" s="11">
        <v>77.2</v>
      </c>
      <c r="E218" s="2">
        <f t="shared" si="6"/>
        <v>0.81000000000000227</v>
      </c>
      <c r="F218" s="11">
        <v>0.35999999999999943</v>
      </c>
      <c r="G218" s="3">
        <f t="shared" si="7"/>
        <v>1.4998077169593662E-2</v>
      </c>
    </row>
    <row r="219" spans="1:7" customFormat="1">
      <c r="A219" s="1">
        <v>31</v>
      </c>
      <c r="B219" s="1" t="s">
        <v>14</v>
      </c>
      <c r="C219" s="11">
        <v>28</v>
      </c>
      <c r="D219" s="11">
        <v>27.8</v>
      </c>
      <c r="E219" s="2">
        <f t="shared" si="6"/>
        <v>0.19999999999999929</v>
      </c>
      <c r="F219" s="11">
        <v>0.18</v>
      </c>
      <c r="G219" s="3">
        <f t="shared" si="7"/>
        <v>1.3571428571428545E-2</v>
      </c>
    </row>
    <row r="220" spans="1:7" customFormat="1">
      <c r="A220" s="1">
        <v>1</v>
      </c>
      <c r="B220" s="1" t="s">
        <v>15</v>
      </c>
      <c r="C220" s="11">
        <v>24.52</v>
      </c>
      <c r="D220" s="11">
        <v>24.27</v>
      </c>
      <c r="E220" s="2">
        <f t="shared" si="6"/>
        <v>0.25</v>
      </c>
      <c r="F220" s="11">
        <v>0.1277399999999993</v>
      </c>
      <c r="G220" s="3">
        <f t="shared" si="7"/>
        <v>1.5405383360521994E-2</v>
      </c>
    </row>
    <row r="221" spans="1:7" customFormat="1">
      <c r="A221" s="1">
        <v>2</v>
      </c>
      <c r="B221" s="1" t="s">
        <v>15</v>
      </c>
      <c r="C221" s="11">
        <v>24.52</v>
      </c>
      <c r="D221" s="11">
        <v>24.27</v>
      </c>
      <c r="E221" s="2">
        <f t="shared" si="6"/>
        <v>0.25</v>
      </c>
      <c r="F221" s="11">
        <v>6.2E-2</v>
      </c>
      <c r="G221" s="3">
        <f t="shared" si="7"/>
        <v>1.2724306688417619E-2</v>
      </c>
    </row>
    <row r="222" spans="1:7" customFormat="1">
      <c r="A222" s="1">
        <v>3</v>
      </c>
      <c r="B222" s="1" t="s">
        <v>15</v>
      </c>
      <c r="C222" s="11">
        <v>0</v>
      </c>
      <c r="D222" s="11">
        <v>0</v>
      </c>
      <c r="E222" s="2">
        <f t="shared" si="6"/>
        <v>0</v>
      </c>
      <c r="F222" s="11">
        <v>2.1000000000000001E-2</v>
      </c>
      <c r="G222" s="3" t="e">
        <f t="shared" si="7"/>
        <v>#DIV/0!</v>
      </c>
    </row>
    <row r="223" spans="1:7" customFormat="1">
      <c r="A223" s="1">
        <v>4</v>
      </c>
      <c r="B223" s="1" t="s">
        <v>15</v>
      </c>
      <c r="C223" s="11">
        <v>0</v>
      </c>
      <c r="D223" s="11">
        <v>0</v>
      </c>
      <c r="E223" s="2">
        <f t="shared" si="6"/>
        <v>0</v>
      </c>
      <c r="F223" s="11">
        <v>5.2999999999999999E-2</v>
      </c>
      <c r="G223" s="3" t="e">
        <f t="shared" si="7"/>
        <v>#DIV/0!</v>
      </c>
    </row>
    <row r="224" spans="1:7" customFormat="1">
      <c r="A224" s="1">
        <v>5</v>
      </c>
      <c r="B224" s="1" t="s">
        <v>15</v>
      </c>
      <c r="C224" s="11">
        <v>25.56</v>
      </c>
      <c r="D224" s="11">
        <v>25.39</v>
      </c>
      <c r="E224" s="2">
        <f t="shared" si="6"/>
        <v>0.16999999999999815</v>
      </c>
      <c r="F224" s="11">
        <v>5.8000000000000003E-2</v>
      </c>
      <c r="G224" s="3">
        <f t="shared" si="7"/>
        <v>8.9201877934271586E-3</v>
      </c>
    </row>
    <row r="225" spans="1:18">
      <c r="A225" s="1">
        <v>6</v>
      </c>
      <c r="B225" s="1" t="s">
        <v>15</v>
      </c>
      <c r="C225" s="11">
        <v>0</v>
      </c>
      <c r="D225" s="11">
        <v>0</v>
      </c>
      <c r="E225" s="2">
        <f t="shared" si="6"/>
        <v>0</v>
      </c>
      <c r="F225" s="11">
        <v>0.19500000000000001</v>
      </c>
      <c r="G225" s="3" t="e">
        <f t="shared" si="7"/>
        <v>#DIV/0!</v>
      </c>
      <c r="R225"/>
    </row>
    <row r="226" spans="1:18">
      <c r="A226" s="1">
        <v>7</v>
      </c>
      <c r="B226" s="1" t="s">
        <v>15</v>
      </c>
      <c r="C226" s="11">
        <v>26.81</v>
      </c>
      <c r="D226" s="11">
        <v>26.63</v>
      </c>
      <c r="E226" s="2">
        <f t="shared" si="6"/>
        <v>0.17999999999999972</v>
      </c>
      <c r="F226" s="11">
        <v>0.34200000000000003</v>
      </c>
      <c r="G226" s="3">
        <f t="shared" si="7"/>
        <v>1.9470346885490483E-2</v>
      </c>
      <c r="R226"/>
    </row>
    <row r="227" spans="1:18">
      <c r="A227" s="1">
        <v>10</v>
      </c>
      <c r="B227" s="1" t="s">
        <v>15</v>
      </c>
      <c r="C227" s="11">
        <v>24.45</v>
      </c>
      <c r="D227" s="11">
        <v>24.27</v>
      </c>
      <c r="E227" s="2">
        <f t="shared" si="6"/>
        <v>0.17999999999999972</v>
      </c>
      <c r="F227" s="11">
        <v>8.2000000000000003E-2</v>
      </c>
      <c r="G227" s="3">
        <f t="shared" si="7"/>
        <v>1.0715746421267883E-2</v>
      </c>
      <c r="R227"/>
    </row>
    <row r="228" spans="1:18">
      <c r="A228" s="1">
        <v>8</v>
      </c>
      <c r="B228" s="1" t="s">
        <v>15</v>
      </c>
      <c r="C228" s="11">
        <v>0</v>
      </c>
      <c r="D228" s="11">
        <v>0</v>
      </c>
      <c r="E228" s="2">
        <f t="shared" si="6"/>
        <v>0</v>
      </c>
      <c r="F228" s="11">
        <v>9.0999999999999998E-2</v>
      </c>
      <c r="G228" s="3" t="e">
        <f t="shared" si="7"/>
        <v>#DIV/0!</v>
      </c>
    </row>
    <row r="229" spans="1:18">
      <c r="A229" s="1">
        <v>9</v>
      </c>
      <c r="B229" s="1" t="s">
        <v>15</v>
      </c>
      <c r="C229" s="11">
        <v>26.12</v>
      </c>
      <c r="D229" s="11">
        <v>25.91</v>
      </c>
      <c r="E229" s="2">
        <f t="shared" si="6"/>
        <v>0.21000000000000085</v>
      </c>
      <c r="F229" s="11">
        <v>0.109</v>
      </c>
      <c r="G229" s="3">
        <f t="shared" si="7"/>
        <v>1.2212863705972467E-2</v>
      </c>
      <c r="R229"/>
    </row>
    <row r="230" spans="1:18">
      <c r="A230" s="1">
        <v>11</v>
      </c>
      <c r="B230" s="1" t="s">
        <v>15</v>
      </c>
      <c r="C230" s="11">
        <v>0</v>
      </c>
      <c r="D230" s="11">
        <v>0</v>
      </c>
      <c r="E230" s="2">
        <f t="shared" si="6"/>
        <v>0</v>
      </c>
      <c r="F230" s="11">
        <v>0.502</v>
      </c>
      <c r="G230" s="3" t="e">
        <f t="shared" si="7"/>
        <v>#DIV/0!</v>
      </c>
      <c r="R230"/>
    </row>
    <row r="231" spans="1:18">
      <c r="A231" s="1">
        <v>12</v>
      </c>
      <c r="B231" s="1" t="s">
        <v>15</v>
      </c>
      <c r="C231" s="11">
        <v>27.02</v>
      </c>
      <c r="D231" s="11">
        <v>26.89</v>
      </c>
      <c r="E231" s="2">
        <f t="shared" si="6"/>
        <v>0.12999999999999901</v>
      </c>
      <c r="F231" s="11">
        <v>0.16500000000000001</v>
      </c>
      <c r="G231" s="3">
        <f t="shared" si="7"/>
        <v>1.0917838638045857E-2</v>
      </c>
      <c r="R231"/>
    </row>
    <row r="232" spans="1:18">
      <c r="A232" s="1">
        <v>13</v>
      </c>
      <c r="B232" s="1" t="s">
        <v>15</v>
      </c>
      <c r="C232" s="11">
        <v>0</v>
      </c>
      <c r="D232" s="11">
        <v>0</v>
      </c>
      <c r="E232" s="2">
        <f t="shared" si="6"/>
        <v>0</v>
      </c>
      <c r="F232" s="11">
        <v>0.23200000000000001</v>
      </c>
      <c r="G232" s="3" t="e">
        <f t="shared" si="7"/>
        <v>#DIV/0!</v>
      </c>
      <c r="R232"/>
    </row>
    <row r="233" spans="1:18">
      <c r="A233" s="1">
        <v>14</v>
      </c>
      <c r="B233" s="1" t="s">
        <v>15</v>
      </c>
      <c r="C233" s="11">
        <v>24.09</v>
      </c>
      <c r="D233" s="11">
        <v>23.89</v>
      </c>
      <c r="E233" s="2">
        <f t="shared" si="6"/>
        <v>0.19999999999999929</v>
      </c>
      <c r="F233" s="11">
        <v>6.0999999999999999E-2</v>
      </c>
      <c r="G233" s="3">
        <f t="shared" si="7"/>
        <v>1.0834371108343682E-2</v>
      </c>
      <c r="R233"/>
    </row>
    <row r="234" spans="1:18">
      <c r="A234" s="1">
        <v>15</v>
      </c>
      <c r="B234" s="1" t="s">
        <v>15</v>
      </c>
      <c r="C234" s="11">
        <v>0</v>
      </c>
      <c r="D234" s="11">
        <v>0</v>
      </c>
      <c r="E234" s="2">
        <f t="shared" si="6"/>
        <v>0</v>
      </c>
      <c r="F234" s="11">
        <v>0.155</v>
      </c>
      <c r="G234" s="3" t="e">
        <f t="shared" si="7"/>
        <v>#DIV/0!</v>
      </c>
      <c r="R234"/>
    </row>
    <row r="235" spans="1:18">
      <c r="A235" s="1">
        <v>16</v>
      </c>
      <c r="B235" s="1" t="s">
        <v>15</v>
      </c>
      <c r="C235" s="11">
        <v>24.47</v>
      </c>
      <c r="D235" s="11">
        <v>24.32</v>
      </c>
      <c r="E235" s="2">
        <f t="shared" si="6"/>
        <v>0.14999999999999858</v>
      </c>
      <c r="F235" s="11">
        <v>0.11600000000000001</v>
      </c>
      <c r="G235" s="3">
        <f t="shared" si="7"/>
        <v>1.0870453616673419E-2</v>
      </c>
      <c r="R235"/>
    </row>
    <row r="236" spans="1:18">
      <c r="A236" s="1">
        <v>17</v>
      </c>
      <c r="B236" s="1" t="s">
        <v>15</v>
      </c>
      <c r="C236" s="11">
        <v>0</v>
      </c>
      <c r="D236" s="11">
        <v>0</v>
      </c>
      <c r="E236" s="2">
        <f t="shared" si="6"/>
        <v>0</v>
      </c>
      <c r="F236" s="11">
        <v>3.7999999999999999E-2</v>
      </c>
      <c r="G236" s="3" t="e">
        <f t="shared" si="7"/>
        <v>#DIV/0!</v>
      </c>
      <c r="R236"/>
    </row>
    <row r="237" spans="1:18">
      <c r="A237" s="1">
        <v>18</v>
      </c>
      <c r="B237" s="1" t="s">
        <v>15</v>
      </c>
      <c r="C237" s="11">
        <v>22.16</v>
      </c>
      <c r="D237" s="11">
        <v>21.99</v>
      </c>
      <c r="E237" s="2">
        <f t="shared" si="6"/>
        <v>0.17000000000000171</v>
      </c>
      <c r="F237" s="11">
        <v>0.40100000000000002</v>
      </c>
      <c r="G237" s="3">
        <f t="shared" si="7"/>
        <v>2.5767148014440511E-2</v>
      </c>
      <c r="R237"/>
    </row>
    <row r="238" spans="1:18">
      <c r="A238" s="1">
        <v>19</v>
      </c>
      <c r="B238" s="1" t="s">
        <v>15</v>
      </c>
      <c r="C238" s="11">
        <v>26.59</v>
      </c>
      <c r="D238" s="11">
        <v>26.35</v>
      </c>
      <c r="E238" s="2">
        <f t="shared" si="6"/>
        <v>0.23999999999999844</v>
      </c>
      <c r="F238" s="11">
        <v>0.17299999999999999</v>
      </c>
      <c r="G238" s="3">
        <f t="shared" si="7"/>
        <v>1.5532154945468161E-2</v>
      </c>
      <c r="R238"/>
    </row>
    <row r="239" spans="1:18">
      <c r="A239" s="1">
        <v>20</v>
      </c>
      <c r="B239" s="1" t="s">
        <v>15</v>
      </c>
      <c r="C239" s="11">
        <v>29.61</v>
      </c>
      <c r="D239" s="11">
        <v>29.48</v>
      </c>
      <c r="E239" s="2">
        <f t="shared" si="6"/>
        <v>0.12999999999999901</v>
      </c>
      <c r="F239" s="11">
        <v>1.246</v>
      </c>
      <c r="G239" s="3">
        <f t="shared" si="7"/>
        <v>4.6470786896318776E-2</v>
      </c>
      <c r="R239"/>
    </row>
    <row r="240" spans="1:18">
      <c r="A240" s="1">
        <v>21</v>
      </c>
      <c r="B240" s="1" t="s">
        <v>15</v>
      </c>
      <c r="C240" s="11">
        <v>23.77</v>
      </c>
      <c r="D240" s="11">
        <v>23.45</v>
      </c>
      <c r="E240" s="2">
        <f t="shared" si="6"/>
        <v>0.32000000000000028</v>
      </c>
      <c r="F240" s="11">
        <v>0.19900000000000001</v>
      </c>
      <c r="G240" s="3">
        <f t="shared" si="7"/>
        <v>2.1834244846445115E-2</v>
      </c>
      <c r="R240"/>
    </row>
    <row r="241" spans="1:7" customFormat="1">
      <c r="A241" s="1">
        <v>22</v>
      </c>
      <c r="B241" s="1" t="s">
        <v>15</v>
      </c>
      <c r="C241" s="11">
        <v>0</v>
      </c>
      <c r="D241" s="11">
        <v>0</v>
      </c>
      <c r="E241" s="2">
        <f t="shared" si="6"/>
        <v>0</v>
      </c>
      <c r="F241" s="11">
        <v>0.30723</v>
      </c>
      <c r="G241" s="3" t="e">
        <f t="shared" si="7"/>
        <v>#DIV/0!</v>
      </c>
    </row>
    <row r="242" spans="1:7" customFormat="1">
      <c r="A242" s="1">
        <v>23</v>
      </c>
      <c r="B242" s="1" t="s">
        <v>15</v>
      </c>
      <c r="C242" s="11">
        <v>24.47</v>
      </c>
      <c r="D242" s="11">
        <v>24.24</v>
      </c>
      <c r="E242" s="2">
        <f t="shared" si="6"/>
        <v>0.23000000000000043</v>
      </c>
      <c r="F242" s="11">
        <v>5.6000000000000001E-2</v>
      </c>
      <c r="G242" s="3">
        <f t="shared" si="7"/>
        <v>1.1687780956273005E-2</v>
      </c>
    </row>
    <row r="243" spans="1:7" customFormat="1">
      <c r="A243" s="1">
        <v>24</v>
      </c>
      <c r="B243" s="1" t="s">
        <v>15</v>
      </c>
      <c r="C243" s="11">
        <v>26.29</v>
      </c>
      <c r="D243" s="11">
        <v>26.09</v>
      </c>
      <c r="E243" s="2">
        <f t="shared" si="6"/>
        <v>0.19999999999999929</v>
      </c>
      <c r="F243" s="11">
        <v>0.186</v>
      </c>
      <c r="G243" s="3">
        <f t="shared" si="7"/>
        <v>1.4682388740966119E-2</v>
      </c>
    </row>
    <row r="244" spans="1:7" customFormat="1">
      <c r="A244" s="1">
        <v>25</v>
      </c>
      <c r="B244" s="1" t="s">
        <v>15</v>
      </c>
      <c r="C244" s="11">
        <v>0</v>
      </c>
      <c r="D244" s="11">
        <v>0</v>
      </c>
      <c r="E244" s="2">
        <f t="shared" si="6"/>
        <v>0</v>
      </c>
      <c r="F244" s="11">
        <v>0.16200000000000001</v>
      </c>
      <c r="G244" s="3" t="e">
        <f t="shared" si="7"/>
        <v>#DIV/0!</v>
      </c>
    </row>
    <row r="245" spans="1:7" customFormat="1">
      <c r="A245" s="1">
        <v>26</v>
      </c>
      <c r="B245" s="1" t="s">
        <v>15</v>
      </c>
      <c r="C245" s="11">
        <v>76.260000000000005</v>
      </c>
      <c r="D245" s="11">
        <v>75.61</v>
      </c>
      <c r="E245" s="2">
        <f t="shared" si="6"/>
        <v>0.65000000000000568</v>
      </c>
      <c r="F245" s="11">
        <v>0.19600000000000001</v>
      </c>
      <c r="G245" s="3">
        <f t="shared" si="7"/>
        <v>1.1093627065302984E-2</v>
      </c>
    </row>
    <row r="246" spans="1:7" customFormat="1">
      <c r="A246" s="1">
        <v>27</v>
      </c>
      <c r="B246" s="1" t="s">
        <v>15</v>
      </c>
      <c r="C246" s="11">
        <v>0</v>
      </c>
      <c r="D246" s="11">
        <v>0</v>
      </c>
      <c r="E246" s="2">
        <f t="shared" si="6"/>
        <v>0</v>
      </c>
      <c r="F246" s="11">
        <v>0.29199999999999998</v>
      </c>
      <c r="G246" s="3" t="e">
        <f t="shared" si="7"/>
        <v>#DIV/0!</v>
      </c>
    </row>
    <row r="247" spans="1:7" customFormat="1">
      <c r="A247" s="1">
        <v>28</v>
      </c>
      <c r="B247" s="1" t="s">
        <v>15</v>
      </c>
      <c r="C247" s="11">
        <v>99.36</v>
      </c>
      <c r="D247" s="11">
        <v>98.71</v>
      </c>
      <c r="E247" s="2">
        <f t="shared" si="6"/>
        <v>0.65000000000000568</v>
      </c>
      <c r="F247" s="11">
        <v>0.41799999999999998</v>
      </c>
      <c r="G247" s="3">
        <f t="shared" si="7"/>
        <v>1.0748792270531457E-2</v>
      </c>
    </row>
    <row r="248" spans="1:7" customFormat="1">
      <c r="A248" s="1">
        <v>29</v>
      </c>
      <c r="B248" s="1" t="s">
        <v>15</v>
      </c>
      <c r="C248" s="11">
        <v>84.65</v>
      </c>
      <c r="D248" s="11">
        <v>84.08</v>
      </c>
      <c r="E248" s="2">
        <f t="shared" si="6"/>
        <v>0.57000000000000739</v>
      </c>
      <c r="F248" s="11">
        <v>2.3570000000000002</v>
      </c>
      <c r="G248" s="3">
        <f t="shared" si="7"/>
        <v>3.4577672770230446E-2</v>
      </c>
    </row>
    <row r="249" spans="1:7" customFormat="1">
      <c r="A249" s="1">
        <v>30</v>
      </c>
      <c r="B249" s="1" t="s">
        <v>15</v>
      </c>
      <c r="C249" s="11">
        <v>26.98</v>
      </c>
      <c r="D249" s="11">
        <v>26.81</v>
      </c>
      <c r="E249" s="2">
        <f t="shared" si="6"/>
        <v>0.17000000000000171</v>
      </c>
      <c r="F249" s="11">
        <v>0.21199999999999999</v>
      </c>
      <c r="G249" s="3">
        <f t="shared" si="7"/>
        <v>1.4158636026686496E-2</v>
      </c>
    </row>
    <row r="250" spans="1:7" customFormat="1">
      <c r="A250" s="1">
        <v>31</v>
      </c>
      <c r="B250" s="1" t="s">
        <v>15</v>
      </c>
      <c r="C250" s="11">
        <v>0</v>
      </c>
      <c r="D250" s="11">
        <v>0</v>
      </c>
      <c r="E250" s="2">
        <f t="shared" si="6"/>
        <v>0</v>
      </c>
      <c r="F250" s="11">
        <v>0.35</v>
      </c>
      <c r="G250" s="3" t="e">
        <f t="shared" si="7"/>
        <v>#DIV/0!</v>
      </c>
    </row>
    <row r="251" spans="1:7" customFormat="1">
      <c r="A251" s="1">
        <v>1</v>
      </c>
      <c r="B251" s="1" t="s">
        <v>16</v>
      </c>
      <c r="C251" s="11">
        <v>0</v>
      </c>
      <c r="D251" s="11">
        <v>0</v>
      </c>
      <c r="E251" s="2">
        <f t="shared" si="6"/>
        <v>0</v>
      </c>
      <c r="F251" s="11">
        <v>0</v>
      </c>
      <c r="G251" s="3" t="e">
        <f t="shared" si="7"/>
        <v>#DIV/0!</v>
      </c>
    </row>
    <row r="252" spans="1:7" customFormat="1">
      <c r="A252" s="1">
        <v>2</v>
      </c>
      <c r="B252" s="1" t="s">
        <v>16</v>
      </c>
      <c r="C252" s="11">
        <v>71.8</v>
      </c>
      <c r="D252" s="11">
        <v>70.58</v>
      </c>
      <c r="E252" s="2">
        <f t="shared" si="6"/>
        <v>1.2199999999999989</v>
      </c>
      <c r="F252" s="11">
        <v>0.222</v>
      </c>
      <c r="G252" s="3">
        <f t="shared" si="7"/>
        <v>2.0083565459610011E-2</v>
      </c>
    </row>
    <row r="253" spans="1:7" customFormat="1">
      <c r="A253" s="1">
        <v>3</v>
      </c>
      <c r="B253" s="1" t="s">
        <v>16</v>
      </c>
      <c r="C253" s="11">
        <v>57.76</v>
      </c>
      <c r="D253" s="11">
        <v>57.07</v>
      </c>
      <c r="E253" s="2">
        <f t="shared" si="6"/>
        <v>0.68999999999999773</v>
      </c>
      <c r="F253" s="11">
        <v>0.26800000000000002</v>
      </c>
      <c r="G253" s="3">
        <f t="shared" si="7"/>
        <v>1.6585872576177246E-2</v>
      </c>
    </row>
    <row r="254" spans="1:7" customFormat="1">
      <c r="A254" s="1">
        <v>4</v>
      </c>
      <c r="B254" s="1" t="s">
        <v>16</v>
      </c>
      <c r="C254" s="11">
        <v>54.35</v>
      </c>
      <c r="D254" s="11">
        <v>53.63</v>
      </c>
      <c r="E254" s="2">
        <f t="shared" si="6"/>
        <v>0.71999999999999886</v>
      </c>
      <c r="F254" s="11">
        <v>0.32</v>
      </c>
      <c r="G254" s="3">
        <f t="shared" si="7"/>
        <v>1.9135234590616355E-2</v>
      </c>
    </row>
    <row r="255" spans="1:7" customFormat="1">
      <c r="A255" s="1">
        <v>5</v>
      </c>
      <c r="B255" s="1" t="s">
        <v>16</v>
      </c>
      <c r="C255" s="11">
        <v>23.71</v>
      </c>
      <c r="D255" s="11">
        <v>23.46</v>
      </c>
      <c r="E255" s="2">
        <f t="shared" si="6"/>
        <v>0.25</v>
      </c>
      <c r="F255" s="11">
        <v>0.13</v>
      </c>
      <c r="G255" s="3">
        <f t="shared" si="7"/>
        <v>1.6026992830029525E-2</v>
      </c>
    </row>
    <row r="256" spans="1:7" customFormat="1">
      <c r="A256" s="1">
        <v>6</v>
      </c>
      <c r="B256" s="1" t="s">
        <v>16</v>
      </c>
      <c r="C256" s="11">
        <v>27.88</v>
      </c>
      <c r="D256" s="11">
        <v>27.49</v>
      </c>
      <c r="E256" s="2">
        <f t="shared" si="6"/>
        <v>0.39000000000000057</v>
      </c>
      <c r="F256" s="11">
        <v>0.27600000000000002</v>
      </c>
      <c r="G256" s="3">
        <f t="shared" si="7"/>
        <v>2.3888091822094712E-2</v>
      </c>
    </row>
    <row r="257" spans="1:18">
      <c r="A257" s="1">
        <v>7</v>
      </c>
      <c r="B257" s="1" t="s">
        <v>16</v>
      </c>
      <c r="C257" s="11">
        <v>25.2</v>
      </c>
      <c r="D257" s="11">
        <v>25.17</v>
      </c>
      <c r="E257" s="2">
        <f t="shared" si="6"/>
        <v>2.9999999999997584E-2</v>
      </c>
      <c r="F257" s="11">
        <v>0.24700000000000166</v>
      </c>
      <c r="G257" s="3">
        <f t="shared" si="7"/>
        <v>1.0992063492063463E-2</v>
      </c>
      <c r="R257"/>
    </row>
    <row r="258" spans="1:18">
      <c r="A258" s="1">
        <v>10</v>
      </c>
      <c r="B258" s="1" t="s">
        <v>16</v>
      </c>
      <c r="C258" s="11">
        <v>49.49</v>
      </c>
      <c r="D258" s="11">
        <v>48.88</v>
      </c>
      <c r="E258" s="2">
        <f t="shared" si="6"/>
        <v>0.60999999999999943</v>
      </c>
      <c r="F258" s="11">
        <v>0.24099999999999999</v>
      </c>
      <c r="G258" s="3">
        <f t="shared" si="7"/>
        <v>1.7195393008688612E-2</v>
      </c>
      <c r="R258"/>
    </row>
    <row r="259" spans="1:18">
      <c r="A259" s="1">
        <v>8</v>
      </c>
      <c r="B259" s="1" t="s">
        <v>16</v>
      </c>
      <c r="C259" s="11">
        <v>26.69</v>
      </c>
      <c r="D259" s="11">
        <v>26.28</v>
      </c>
      <c r="E259" s="2">
        <f t="shared" si="6"/>
        <v>0.41000000000000014</v>
      </c>
      <c r="F259" s="11">
        <v>0.23</v>
      </c>
      <c r="G259" s="3">
        <f t="shared" si="7"/>
        <v>2.3979018358935934E-2</v>
      </c>
    </row>
    <row r="260" spans="1:18">
      <c r="A260" s="1">
        <v>9</v>
      </c>
      <c r="B260" s="1" t="s">
        <v>16</v>
      </c>
      <c r="C260" s="11">
        <v>25.02</v>
      </c>
      <c r="D260" s="11">
        <v>24.78</v>
      </c>
      <c r="E260" s="2">
        <f t="shared" ref="E260:E323" si="8">C260-D260</f>
        <v>0.23999999999999844</v>
      </c>
      <c r="F260" s="11">
        <v>0.21</v>
      </c>
      <c r="G260" s="3">
        <f t="shared" ref="G260:G312" si="9">(E260+F260)/C260</f>
        <v>1.7985611510791304E-2</v>
      </c>
      <c r="R260"/>
    </row>
    <row r="261" spans="1:18">
      <c r="A261" s="1">
        <v>11</v>
      </c>
      <c r="B261" s="1" t="s">
        <v>16</v>
      </c>
      <c r="C261" s="11">
        <v>24.22</v>
      </c>
      <c r="D261" s="11">
        <v>23.85</v>
      </c>
      <c r="E261" s="2">
        <f t="shared" si="8"/>
        <v>0.36999999999999744</v>
      </c>
      <c r="F261" s="11">
        <v>0.249</v>
      </c>
      <c r="G261" s="3">
        <f t="shared" si="9"/>
        <v>2.5557390586292215E-2</v>
      </c>
      <c r="R261"/>
    </row>
    <row r="262" spans="1:18">
      <c r="A262" s="1">
        <v>12</v>
      </c>
      <c r="B262" s="1" t="s">
        <v>16</v>
      </c>
      <c r="C262" s="11">
        <v>49.77</v>
      </c>
      <c r="D262" s="11">
        <v>49.17</v>
      </c>
      <c r="E262" s="2">
        <f t="shared" si="8"/>
        <v>0.60000000000000142</v>
      </c>
      <c r="F262" s="11">
        <v>0.23</v>
      </c>
      <c r="G262" s="3">
        <f t="shared" si="9"/>
        <v>1.6676712879244552E-2</v>
      </c>
      <c r="R262"/>
    </row>
    <row r="263" spans="1:18">
      <c r="A263" s="1">
        <v>13</v>
      </c>
      <c r="B263" s="1" t="s">
        <v>16</v>
      </c>
      <c r="C263" s="11">
        <v>0</v>
      </c>
      <c r="D263" s="11">
        <v>0</v>
      </c>
      <c r="E263" s="2">
        <f t="shared" si="8"/>
        <v>0</v>
      </c>
      <c r="F263" s="11">
        <v>0.22700000000000001</v>
      </c>
      <c r="G263" s="3" t="e">
        <f t="shared" si="9"/>
        <v>#DIV/0!</v>
      </c>
      <c r="R263"/>
    </row>
    <row r="264" spans="1:18">
      <c r="A264" s="1">
        <v>14</v>
      </c>
      <c r="B264" s="1" t="s">
        <v>16</v>
      </c>
      <c r="C264" s="11">
        <v>52.24</v>
      </c>
      <c r="D264" s="11">
        <v>51.66</v>
      </c>
      <c r="E264" s="2">
        <f t="shared" si="8"/>
        <v>0.5800000000000054</v>
      </c>
      <c r="F264" s="11">
        <v>0.23599999999999999</v>
      </c>
      <c r="G264" s="3">
        <f t="shared" si="9"/>
        <v>1.5620214395099643E-2</v>
      </c>
      <c r="R264"/>
    </row>
    <row r="265" spans="1:18">
      <c r="A265" s="1">
        <v>15</v>
      </c>
      <c r="B265" s="1" t="s">
        <v>16</v>
      </c>
      <c r="C265" s="11">
        <v>0</v>
      </c>
      <c r="D265" s="11">
        <v>0</v>
      </c>
      <c r="E265" s="2">
        <f t="shared" si="8"/>
        <v>0</v>
      </c>
      <c r="F265" s="11">
        <v>0.23200000000000001</v>
      </c>
      <c r="G265" s="3" t="e">
        <f t="shared" si="9"/>
        <v>#DIV/0!</v>
      </c>
      <c r="R265"/>
    </row>
    <row r="266" spans="1:18">
      <c r="A266" s="1">
        <v>16</v>
      </c>
      <c r="B266" s="1" t="s">
        <v>16</v>
      </c>
      <c r="C266" s="11">
        <v>0</v>
      </c>
      <c r="D266" s="11">
        <v>0</v>
      </c>
      <c r="E266" s="2">
        <f t="shared" si="8"/>
        <v>0</v>
      </c>
      <c r="F266" s="11">
        <v>0.218</v>
      </c>
      <c r="G266" s="3" t="e">
        <f t="shared" si="9"/>
        <v>#DIV/0!</v>
      </c>
      <c r="R266"/>
    </row>
    <row r="267" spans="1:18">
      <c r="A267" s="1">
        <v>17</v>
      </c>
      <c r="B267" s="1" t="s">
        <v>16</v>
      </c>
      <c r="C267" s="11">
        <v>81.31</v>
      </c>
      <c r="D267" s="11">
        <v>80.209999999999994</v>
      </c>
      <c r="E267" s="2">
        <f t="shared" si="8"/>
        <v>1.1000000000000085</v>
      </c>
      <c r="F267" s="11">
        <v>0.24</v>
      </c>
      <c r="G267" s="3">
        <f t="shared" si="9"/>
        <v>1.6480137744434985E-2</v>
      </c>
      <c r="R267"/>
    </row>
    <row r="268" spans="1:18">
      <c r="A268" s="1">
        <v>18</v>
      </c>
      <c r="B268" s="1" t="s">
        <v>16</v>
      </c>
      <c r="C268" s="11">
        <v>29.26</v>
      </c>
      <c r="D268" s="11">
        <v>29.03</v>
      </c>
      <c r="E268" s="2">
        <f t="shared" si="8"/>
        <v>0.23000000000000043</v>
      </c>
      <c r="F268" s="11">
        <v>0.3</v>
      </c>
      <c r="G268" s="3">
        <f t="shared" si="9"/>
        <v>1.811346548188655E-2</v>
      </c>
      <c r="R268"/>
    </row>
    <row r="269" spans="1:18">
      <c r="A269" s="1">
        <v>19</v>
      </c>
      <c r="B269" s="1" t="s">
        <v>16</v>
      </c>
      <c r="C269" s="11">
        <v>25.35</v>
      </c>
      <c r="D269" s="11">
        <v>25.15</v>
      </c>
      <c r="E269" s="2">
        <f t="shared" si="8"/>
        <v>0.20000000000000284</v>
      </c>
      <c r="F269" s="11">
        <v>0.23</v>
      </c>
      <c r="G269" s="3">
        <f t="shared" si="9"/>
        <v>1.6962524654832459E-2</v>
      </c>
      <c r="R269"/>
    </row>
    <row r="270" spans="1:18">
      <c r="A270" s="1">
        <v>20</v>
      </c>
      <c r="B270" s="1" t="s">
        <v>16</v>
      </c>
      <c r="C270" s="11">
        <v>0</v>
      </c>
      <c r="D270" s="11">
        <v>0</v>
      </c>
      <c r="E270" s="2">
        <f t="shared" si="8"/>
        <v>0</v>
      </c>
      <c r="F270" s="11">
        <v>0.26400000000000001</v>
      </c>
      <c r="G270" s="3" t="e">
        <f t="shared" si="9"/>
        <v>#DIV/0!</v>
      </c>
      <c r="R270"/>
    </row>
    <row r="271" spans="1:18">
      <c r="A271" s="1">
        <v>21</v>
      </c>
      <c r="B271" s="1" t="s">
        <v>16</v>
      </c>
      <c r="C271" s="11">
        <v>79.8</v>
      </c>
      <c r="D271" s="11">
        <v>79.14</v>
      </c>
      <c r="E271" s="2">
        <f t="shared" si="8"/>
        <v>0.65999999999999659</v>
      </c>
      <c r="F271" s="11">
        <v>0.23</v>
      </c>
      <c r="G271" s="3">
        <f t="shared" si="9"/>
        <v>1.1152882205513743E-2</v>
      </c>
      <c r="R271"/>
    </row>
    <row r="272" spans="1:18">
      <c r="A272" s="1">
        <v>22</v>
      </c>
      <c r="B272" s="1" t="s">
        <v>16</v>
      </c>
      <c r="C272" s="11">
        <v>20</v>
      </c>
      <c r="D272" s="11">
        <v>19.829999999999998</v>
      </c>
      <c r="E272" s="2">
        <f t="shared" si="8"/>
        <v>0.17000000000000171</v>
      </c>
      <c r="F272" s="11">
        <v>0.23700000000000199</v>
      </c>
      <c r="G272" s="3">
        <f t="shared" si="9"/>
        <v>2.0350000000000184E-2</v>
      </c>
      <c r="R272"/>
    </row>
    <row r="273" spans="1:7" customFormat="1">
      <c r="A273" s="1">
        <v>23</v>
      </c>
      <c r="B273" s="1" t="s">
        <v>16</v>
      </c>
      <c r="C273" s="11">
        <v>0</v>
      </c>
      <c r="D273" s="11">
        <v>0</v>
      </c>
      <c r="E273" s="2">
        <f t="shared" si="8"/>
        <v>0</v>
      </c>
      <c r="F273" s="11">
        <v>0</v>
      </c>
      <c r="G273" s="3" t="e">
        <f t="shared" si="9"/>
        <v>#DIV/0!</v>
      </c>
    </row>
    <row r="274" spans="1:7" customFormat="1">
      <c r="A274" s="1">
        <v>24</v>
      </c>
      <c r="B274" s="1" t="s">
        <v>16</v>
      </c>
      <c r="C274" s="11">
        <v>22.41</v>
      </c>
      <c r="D274" s="11">
        <v>22.25</v>
      </c>
      <c r="E274" s="2">
        <f t="shared" si="8"/>
        <v>0.16000000000000014</v>
      </c>
      <c r="F274" s="11">
        <v>0.252</v>
      </c>
      <c r="G274" s="3">
        <f t="shared" si="9"/>
        <v>1.838464970995092E-2</v>
      </c>
    </row>
    <row r="275" spans="1:7" customFormat="1">
      <c r="A275" s="1">
        <v>25</v>
      </c>
      <c r="B275" s="1" t="s">
        <v>16</v>
      </c>
      <c r="C275" s="11">
        <v>58.1</v>
      </c>
      <c r="D275" s="11">
        <v>57.48</v>
      </c>
      <c r="E275" s="2">
        <f t="shared" si="8"/>
        <v>0.62000000000000455</v>
      </c>
      <c r="F275" s="11">
        <v>0.33200000000000002</v>
      </c>
      <c r="G275" s="3">
        <f t="shared" si="9"/>
        <v>1.6385542168674778E-2</v>
      </c>
    </row>
    <row r="276" spans="1:7" customFormat="1">
      <c r="A276" s="1">
        <v>26</v>
      </c>
      <c r="B276" s="1" t="s">
        <v>16</v>
      </c>
      <c r="C276" s="11">
        <v>47.62</v>
      </c>
      <c r="D276" s="11">
        <v>47</v>
      </c>
      <c r="E276" s="2">
        <f t="shared" si="8"/>
        <v>0.61999999999999744</v>
      </c>
      <c r="F276" s="11">
        <v>0.25800000000000001</v>
      </c>
      <c r="G276" s="3">
        <f t="shared" si="9"/>
        <v>1.8437631247374998E-2</v>
      </c>
    </row>
    <row r="277" spans="1:7" customFormat="1">
      <c r="A277" s="1">
        <v>27</v>
      </c>
      <c r="B277" s="1" t="s">
        <v>16</v>
      </c>
      <c r="C277" s="11">
        <v>51.72</v>
      </c>
      <c r="D277" s="11">
        <v>51.08</v>
      </c>
      <c r="E277" s="2">
        <f t="shared" si="8"/>
        <v>0.64000000000000057</v>
      </c>
      <c r="F277" s="11">
        <v>0.30599999999999999</v>
      </c>
      <c r="G277" s="3">
        <f t="shared" si="9"/>
        <v>1.829079659706111E-2</v>
      </c>
    </row>
    <row r="278" spans="1:7" customFormat="1">
      <c r="A278" s="1">
        <v>28</v>
      </c>
      <c r="B278" s="1" t="s">
        <v>16</v>
      </c>
      <c r="C278" s="11">
        <v>57.57</v>
      </c>
      <c r="D278" s="11">
        <v>56.79</v>
      </c>
      <c r="E278" s="2">
        <f t="shared" si="8"/>
        <v>0.78000000000000114</v>
      </c>
      <c r="F278" s="11">
        <v>0.23100000000000001</v>
      </c>
      <c r="G278" s="3">
        <f t="shared" si="9"/>
        <v>1.7561229807191266E-2</v>
      </c>
    </row>
    <row r="279" spans="1:7" customFormat="1">
      <c r="A279" s="1">
        <v>29</v>
      </c>
      <c r="B279" s="1" t="s">
        <v>16</v>
      </c>
      <c r="C279" s="11">
        <v>25.9</v>
      </c>
      <c r="D279" s="11">
        <v>25.6</v>
      </c>
      <c r="E279" s="2">
        <f t="shared" si="8"/>
        <v>0.29999999999999716</v>
      </c>
      <c r="F279" s="11">
        <v>0.23</v>
      </c>
      <c r="G279" s="3">
        <f t="shared" si="9"/>
        <v>2.0463320463320354E-2</v>
      </c>
    </row>
    <row r="280" spans="1:7" customFormat="1">
      <c r="A280" s="1">
        <v>30</v>
      </c>
      <c r="B280" s="1" t="s">
        <v>16</v>
      </c>
      <c r="C280" s="11">
        <v>75.36</v>
      </c>
      <c r="D280" s="11">
        <v>74.319999999999993</v>
      </c>
      <c r="E280" s="2">
        <f t="shared" si="8"/>
        <v>1.0400000000000063</v>
      </c>
      <c r="F280" s="11">
        <v>0.23599999999999999</v>
      </c>
      <c r="G280" s="3">
        <f t="shared" si="9"/>
        <v>1.6932059447983098E-2</v>
      </c>
    </row>
    <row r="281" spans="1:7" customFormat="1">
      <c r="A281" s="1">
        <v>31</v>
      </c>
      <c r="B281" s="1" t="s">
        <v>16</v>
      </c>
      <c r="C281" s="11">
        <v>79.260000000000005</v>
      </c>
      <c r="D281" s="11">
        <v>78.45</v>
      </c>
      <c r="E281" s="2">
        <f t="shared" si="8"/>
        <v>0.81000000000000227</v>
      </c>
      <c r="F281" s="11">
        <v>0.224</v>
      </c>
      <c r="G281" s="3">
        <f t="shared" si="9"/>
        <v>1.3045672470350772E-2</v>
      </c>
    </row>
    <row r="282" spans="1:7" customFormat="1">
      <c r="A282" s="1">
        <v>1</v>
      </c>
      <c r="B282" s="1" t="s">
        <v>17</v>
      </c>
      <c r="C282" s="11">
        <v>49.97</v>
      </c>
      <c r="D282" s="11">
        <v>49.62</v>
      </c>
      <c r="E282" s="2">
        <f t="shared" si="8"/>
        <v>0.35000000000000142</v>
      </c>
      <c r="F282" s="11">
        <v>0.15</v>
      </c>
      <c r="G282" s="3">
        <f t="shared" si="9"/>
        <v>1.0006003602161325E-2</v>
      </c>
    </row>
    <row r="283" spans="1:7" customFormat="1">
      <c r="A283" s="1">
        <v>2</v>
      </c>
      <c r="B283" s="1" t="s">
        <v>17</v>
      </c>
      <c r="C283" s="11">
        <v>51.34</v>
      </c>
      <c r="D283" s="11">
        <v>50.98</v>
      </c>
      <c r="E283" s="2">
        <f t="shared" si="8"/>
        <v>0.36000000000000654</v>
      </c>
      <c r="F283" s="11">
        <v>0.16400000000000001</v>
      </c>
      <c r="G283" s="3">
        <f t="shared" si="9"/>
        <v>1.0206466692637447E-2</v>
      </c>
    </row>
    <row r="284" spans="1:7" customFormat="1">
      <c r="A284" s="1">
        <v>3</v>
      </c>
      <c r="B284" s="1" t="s">
        <v>17</v>
      </c>
      <c r="C284" s="11">
        <v>47.44</v>
      </c>
      <c r="D284" s="11">
        <v>47.12</v>
      </c>
      <c r="E284" s="2">
        <f t="shared" si="8"/>
        <v>0.32000000000000028</v>
      </c>
      <c r="F284" s="11">
        <v>0.13900000000000001</v>
      </c>
      <c r="G284" s="3">
        <f t="shared" si="9"/>
        <v>9.6753794266441883E-3</v>
      </c>
    </row>
    <row r="285" spans="1:7" customFormat="1">
      <c r="A285" s="1">
        <v>4</v>
      </c>
      <c r="B285" s="1" t="s">
        <v>17</v>
      </c>
      <c r="C285" s="11">
        <v>24.36</v>
      </c>
      <c r="D285" s="11">
        <v>24.23</v>
      </c>
      <c r="E285" s="2">
        <f t="shared" si="8"/>
        <v>0.12999999999999901</v>
      </c>
      <c r="F285" s="11">
        <v>0.11899999999999999</v>
      </c>
      <c r="G285" s="3">
        <f t="shared" si="9"/>
        <v>1.0221674876847249E-2</v>
      </c>
    </row>
    <row r="286" spans="1:7" customFormat="1">
      <c r="A286" s="1">
        <v>5</v>
      </c>
      <c r="B286" s="1" t="s">
        <v>17</v>
      </c>
      <c r="C286" s="11">
        <v>55.17</v>
      </c>
      <c r="D286" s="11">
        <v>54.96</v>
      </c>
      <c r="E286" s="2">
        <f t="shared" si="8"/>
        <v>0.21000000000000085</v>
      </c>
      <c r="F286" s="11">
        <v>0.161</v>
      </c>
      <c r="G286" s="3">
        <f t="shared" si="9"/>
        <v>6.7246692042777032E-3</v>
      </c>
    </row>
    <row r="287" spans="1:7" customFormat="1">
      <c r="A287" s="1">
        <v>6</v>
      </c>
      <c r="B287" s="1" t="s">
        <v>17</v>
      </c>
      <c r="C287" s="11">
        <v>29.56</v>
      </c>
      <c r="D287" s="11">
        <v>29.42</v>
      </c>
      <c r="E287" s="2">
        <f t="shared" si="8"/>
        <v>0.13999999999999702</v>
      </c>
      <c r="F287" s="11">
        <v>0.11600000000000001</v>
      </c>
      <c r="G287" s="3">
        <f t="shared" si="9"/>
        <v>8.6603518267928618E-3</v>
      </c>
    </row>
    <row r="288" spans="1:7" customFormat="1">
      <c r="A288" s="1">
        <v>7</v>
      </c>
      <c r="B288" s="1" t="s">
        <v>17</v>
      </c>
      <c r="C288" s="11">
        <v>52.55</v>
      </c>
      <c r="D288" s="11">
        <v>52.27</v>
      </c>
      <c r="E288" s="2">
        <f t="shared" si="8"/>
        <v>0.27999999999999403</v>
      </c>
      <c r="F288" s="11">
        <v>0.152</v>
      </c>
      <c r="G288" s="3">
        <f t="shared" si="9"/>
        <v>8.2207421503329037E-3</v>
      </c>
    </row>
    <row r="289" spans="1:18">
      <c r="A289" s="1">
        <v>10</v>
      </c>
      <c r="B289" s="1" t="s">
        <v>17</v>
      </c>
      <c r="C289" s="11">
        <v>24.18</v>
      </c>
      <c r="D289" s="11">
        <v>24.07</v>
      </c>
      <c r="E289" s="2">
        <f t="shared" si="8"/>
        <v>0.10999999999999943</v>
      </c>
      <c r="F289" s="11">
        <v>9.5000000000000001E-2</v>
      </c>
      <c r="G289" s="3">
        <f t="shared" si="9"/>
        <v>8.4780810587261959E-3</v>
      </c>
      <c r="R289"/>
    </row>
    <row r="290" spans="1:18">
      <c r="A290" s="1">
        <v>8</v>
      </c>
      <c r="B290" s="1" t="s">
        <v>17</v>
      </c>
      <c r="C290" s="11">
        <v>55.2</v>
      </c>
      <c r="D290" s="11">
        <v>54.92</v>
      </c>
      <c r="E290" s="2">
        <f t="shared" si="8"/>
        <v>0.28000000000000114</v>
      </c>
      <c r="F290" s="11">
        <v>0.08</v>
      </c>
      <c r="G290" s="3">
        <f t="shared" si="9"/>
        <v>6.5217391304348031E-3</v>
      </c>
    </row>
    <row r="291" spans="1:18">
      <c r="A291" s="1">
        <v>9</v>
      </c>
      <c r="B291" s="1" t="s">
        <v>17</v>
      </c>
      <c r="C291" s="11">
        <v>27.43</v>
      </c>
      <c r="D291" s="11">
        <v>27.27</v>
      </c>
      <c r="E291" s="2">
        <f t="shared" si="8"/>
        <v>0.16000000000000014</v>
      </c>
      <c r="F291" s="11">
        <v>9.1999999999999998E-2</v>
      </c>
      <c r="G291" s="3">
        <f t="shared" si="9"/>
        <v>9.1870215092963951E-3</v>
      </c>
      <c r="R291"/>
    </row>
    <row r="292" spans="1:18">
      <c r="A292" s="1">
        <v>11</v>
      </c>
      <c r="B292" s="1" t="s">
        <v>17</v>
      </c>
      <c r="C292" s="11">
        <v>55.69</v>
      </c>
      <c r="D292" s="11">
        <v>55.38</v>
      </c>
      <c r="E292" s="2">
        <f t="shared" si="8"/>
        <v>0.30999999999999517</v>
      </c>
      <c r="F292" s="11">
        <v>0.151</v>
      </c>
      <c r="G292" s="3">
        <f t="shared" si="9"/>
        <v>8.2779673190877222E-3</v>
      </c>
      <c r="R292"/>
    </row>
    <row r="293" spans="1:18">
      <c r="A293" s="1">
        <v>12</v>
      </c>
      <c r="B293" s="1" t="s">
        <v>17</v>
      </c>
      <c r="C293" s="11">
        <v>25.55</v>
      </c>
      <c r="D293" s="11">
        <v>25.47</v>
      </c>
      <c r="E293" s="2">
        <f t="shared" si="8"/>
        <v>8.0000000000001847E-2</v>
      </c>
      <c r="F293" s="11">
        <v>0.16700000000000001</v>
      </c>
      <c r="G293" s="3">
        <f t="shared" si="9"/>
        <v>9.6673189823875474E-3</v>
      </c>
      <c r="R293"/>
    </row>
    <row r="294" spans="1:18">
      <c r="A294" s="1">
        <v>13</v>
      </c>
      <c r="B294" s="1" t="s">
        <v>17</v>
      </c>
      <c r="C294" s="11">
        <v>24.37</v>
      </c>
      <c r="D294" s="11">
        <v>24.26</v>
      </c>
      <c r="E294" s="2">
        <f t="shared" si="8"/>
        <v>0.10999999999999943</v>
      </c>
      <c r="F294" s="11">
        <v>0.114</v>
      </c>
      <c r="G294" s="3">
        <f t="shared" si="9"/>
        <v>9.1916290521132302E-3</v>
      </c>
      <c r="R294"/>
    </row>
    <row r="295" spans="1:18">
      <c r="A295" s="1">
        <v>14</v>
      </c>
      <c r="B295" s="1" t="s">
        <v>17</v>
      </c>
      <c r="C295" s="11">
        <v>52.42</v>
      </c>
      <c r="D295" s="11">
        <v>52.14</v>
      </c>
      <c r="E295" s="2">
        <f t="shared" si="8"/>
        <v>0.28000000000000114</v>
      </c>
      <c r="F295" s="11">
        <v>0.10299999999999999</v>
      </c>
      <c r="G295" s="3">
        <f t="shared" si="9"/>
        <v>7.3063716138878501E-3</v>
      </c>
      <c r="R295"/>
    </row>
    <row r="296" spans="1:18">
      <c r="A296" s="1">
        <v>15</v>
      </c>
      <c r="B296" s="1" t="s">
        <v>17</v>
      </c>
      <c r="C296" s="11">
        <v>49.94</v>
      </c>
      <c r="D296" s="11">
        <v>49.66</v>
      </c>
      <c r="E296" s="2">
        <f t="shared" si="8"/>
        <v>0.28000000000000114</v>
      </c>
      <c r="F296" s="11">
        <v>0.13</v>
      </c>
      <c r="G296" s="3">
        <f t="shared" si="9"/>
        <v>8.2098518221866475E-3</v>
      </c>
      <c r="R296"/>
    </row>
    <row r="297" spans="1:18">
      <c r="A297" s="1">
        <v>16</v>
      </c>
      <c r="B297" s="1" t="s">
        <v>17</v>
      </c>
      <c r="C297" s="11">
        <v>56.26</v>
      </c>
      <c r="D297" s="11">
        <v>55.83</v>
      </c>
      <c r="E297" s="2">
        <f t="shared" si="8"/>
        <v>0.42999999999999972</v>
      </c>
      <c r="F297" s="11">
        <v>0.16800000000000001</v>
      </c>
      <c r="G297" s="3">
        <f t="shared" si="9"/>
        <v>1.0629221471738354E-2</v>
      </c>
      <c r="R297"/>
    </row>
    <row r="298" spans="1:18">
      <c r="A298" s="1">
        <v>17</v>
      </c>
      <c r="B298" s="1" t="s">
        <v>17</v>
      </c>
      <c r="C298" s="11">
        <v>48.14</v>
      </c>
      <c r="D298" s="11">
        <v>47.93</v>
      </c>
      <c r="E298" s="2">
        <f t="shared" si="8"/>
        <v>0.21000000000000085</v>
      </c>
      <c r="F298" s="11">
        <v>0.14699999999999999</v>
      </c>
      <c r="G298" s="3">
        <f t="shared" si="9"/>
        <v>7.4158703780639983E-3</v>
      </c>
      <c r="R298"/>
    </row>
    <row r="299" spans="1:18">
      <c r="A299" s="1">
        <v>18</v>
      </c>
      <c r="B299" s="1" t="s">
        <v>17</v>
      </c>
      <c r="C299" s="11">
        <v>48.14</v>
      </c>
      <c r="D299" s="11">
        <v>47.93</v>
      </c>
      <c r="E299" s="2">
        <f t="shared" si="8"/>
        <v>0.21000000000000085</v>
      </c>
      <c r="F299" s="11">
        <v>0.14699999999999999</v>
      </c>
      <c r="G299" s="3">
        <f t="shared" si="9"/>
        <v>7.4158703780639983E-3</v>
      </c>
      <c r="R299"/>
    </row>
    <row r="300" spans="1:18">
      <c r="A300" s="1">
        <v>19</v>
      </c>
      <c r="B300" s="1" t="s">
        <v>17</v>
      </c>
      <c r="C300" s="11">
        <v>51.16</v>
      </c>
      <c r="D300" s="11">
        <v>50.95</v>
      </c>
      <c r="E300" s="2">
        <f t="shared" si="8"/>
        <v>0.20999999999999375</v>
      </c>
      <c r="F300" s="11">
        <v>0.123</v>
      </c>
      <c r="G300" s="3">
        <f t="shared" si="9"/>
        <v>6.5089913995307613E-3</v>
      </c>
      <c r="R300"/>
    </row>
    <row r="301" spans="1:18">
      <c r="A301" s="1">
        <v>20</v>
      </c>
      <c r="B301" s="1" t="s">
        <v>17</v>
      </c>
      <c r="C301" s="11">
        <v>24.36</v>
      </c>
      <c r="D301" s="11">
        <v>24.26</v>
      </c>
      <c r="E301" s="2">
        <f t="shared" si="8"/>
        <v>9.9999999999997868E-2</v>
      </c>
      <c r="F301" s="11">
        <v>9.5000000000000001E-2</v>
      </c>
      <c r="G301" s="3">
        <f t="shared" si="9"/>
        <v>8.0049261083742964E-3</v>
      </c>
      <c r="R301"/>
    </row>
    <row r="302" spans="1:18">
      <c r="A302" s="1">
        <v>21</v>
      </c>
      <c r="B302" s="1" t="s">
        <v>17</v>
      </c>
      <c r="C302" s="11">
        <v>78.62</v>
      </c>
      <c r="D302" s="11">
        <v>78.05</v>
      </c>
      <c r="E302" s="2">
        <f t="shared" si="8"/>
        <v>0.57000000000000739</v>
      </c>
      <c r="F302" s="11">
        <v>0.154</v>
      </c>
      <c r="G302" s="3">
        <f t="shared" si="9"/>
        <v>9.2088527092343848E-3</v>
      </c>
      <c r="R302"/>
    </row>
    <row r="303" spans="1:18">
      <c r="A303" s="1">
        <v>22</v>
      </c>
      <c r="B303" s="1" t="s">
        <v>17</v>
      </c>
      <c r="C303" s="11">
        <v>26.77</v>
      </c>
      <c r="D303" s="11">
        <v>26.65</v>
      </c>
      <c r="E303" s="2">
        <f t="shared" si="8"/>
        <v>0.12000000000000099</v>
      </c>
      <c r="F303" s="11">
        <v>0</v>
      </c>
      <c r="G303" s="3">
        <f t="shared" si="9"/>
        <v>4.4826298094882699E-3</v>
      </c>
      <c r="R303"/>
    </row>
    <row r="304" spans="1:18">
      <c r="A304" s="1">
        <v>23</v>
      </c>
      <c r="B304" s="1" t="s">
        <v>17</v>
      </c>
      <c r="C304" s="11">
        <v>28.41</v>
      </c>
      <c r="D304" s="11">
        <v>28.36</v>
      </c>
      <c r="E304" s="2">
        <f t="shared" si="8"/>
        <v>5.0000000000000711E-2</v>
      </c>
      <c r="F304" s="11">
        <v>0.09</v>
      </c>
      <c r="G304" s="3">
        <f t="shared" si="9"/>
        <v>4.927842309046135E-3</v>
      </c>
      <c r="R304"/>
    </row>
    <row r="305" spans="1:7" customFormat="1">
      <c r="A305" s="1">
        <v>24</v>
      </c>
      <c r="B305" s="1" t="s">
        <v>17</v>
      </c>
      <c r="C305" s="11">
        <v>51.03</v>
      </c>
      <c r="D305" s="11">
        <v>50.82</v>
      </c>
      <c r="E305" s="2">
        <f t="shared" si="8"/>
        <v>0.21000000000000085</v>
      </c>
      <c r="F305" s="11">
        <v>0.13</v>
      </c>
      <c r="G305" s="3">
        <f t="shared" si="9"/>
        <v>6.6627474034881605E-3</v>
      </c>
    </row>
    <row r="306" spans="1:7" customFormat="1">
      <c r="A306" s="1">
        <v>25</v>
      </c>
      <c r="B306" s="1" t="s">
        <v>17</v>
      </c>
      <c r="C306" s="11">
        <v>78.44</v>
      </c>
      <c r="D306" s="11">
        <v>77.92</v>
      </c>
      <c r="E306" s="2">
        <f t="shared" si="8"/>
        <v>0.51999999999999602</v>
      </c>
      <c r="F306" s="11">
        <v>0.14399999999999999</v>
      </c>
      <c r="G306" s="3">
        <f t="shared" si="9"/>
        <v>8.4650688424272834E-3</v>
      </c>
    </row>
    <row r="307" spans="1:7" customFormat="1">
      <c r="A307" s="1">
        <v>26</v>
      </c>
      <c r="B307" s="1" t="s">
        <v>17</v>
      </c>
      <c r="C307" s="11">
        <v>47.23</v>
      </c>
      <c r="D307" s="11">
        <v>46.86</v>
      </c>
      <c r="E307" s="2">
        <f t="shared" si="8"/>
        <v>0.36999999999999744</v>
      </c>
      <c r="F307" s="11">
        <v>0.11</v>
      </c>
      <c r="G307" s="3">
        <f t="shared" si="9"/>
        <v>1.0163031971204689E-2</v>
      </c>
    </row>
    <row r="308" spans="1:7" customFormat="1">
      <c r="A308" s="1">
        <v>27</v>
      </c>
      <c r="B308" s="1" t="s">
        <v>17</v>
      </c>
      <c r="C308" s="11">
        <v>25</v>
      </c>
      <c r="D308" s="11">
        <v>24.9</v>
      </c>
      <c r="E308" s="2">
        <f t="shared" si="8"/>
        <v>0.10000000000000142</v>
      </c>
      <c r="F308" s="11">
        <v>8.1000000000000003E-2</v>
      </c>
      <c r="G308" s="3">
        <f t="shared" si="9"/>
        <v>7.2400000000000572E-3</v>
      </c>
    </row>
    <row r="309" spans="1:7" customFormat="1">
      <c r="A309" s="1">
        <v>28</v>
      </c>
      <c r="B309" s="1" t="s">
        <v>17</v>
      </c>
      <c r="C309" s="11">
        <v>107.42</v>
      </c>
      <c r="D309" s="11">
        <v>106.59</v>
      </c>
      <c r="E309" s="2">
        <f t="shared" si="8"/>
        <v>0.82999999999999829</v>
      </c>
      <c r="F309" s="11">
        <v>0.11</v>
      </c>
      <c r="G309" s="3">
        <f t="shared" si="9"/>
        <v>8.7506981940048238E-3</v>
      </c>
    </row>
    <row r="310" spans="1:7" customFormat="1" ht="14.4" customHeight="1">
      <c r="A310" s="1">
        <v>29</v>
      </c>
      <c r="B310" s="1" t="s">
        <v>17</v>
      </c>
      <c r="C310" s="11">
        <v>55.8</v>
      </c>
      <c r="D310" s="11">
        <v>55.47</v>
      </c>
      <c r="E310" s="2">
        <f t="shared" si="8"/>
        <v>0.32999999999999829</v>
      </c>
      <c r="F310" s="11">
        <v>0.14399999999999999</v>
      </c>
      <c r="G310" s="3">
        <f t="shared" si="9"/>
        <v>8.4946236559139479E-3</v>
      </c>
    </row>
    <row r="311" spans="1:7" customFormat="1" ht="14.4" customHeight="1">
      <c r="A311" s="1">
        <v>30</v>
      </c>
      <c r="B311" s="1" t="s">
        <v>17</v>
      </c>
      <c r="C311" s="11">
        <v>78.72</v>
      </c>
      <c r="D311" s="11">
        <v>78.38</v>
      </c>
      <c r="E311" s="2">
        <f t="shared" si="8"/>
        <v>0.34000000000000341</v>
      </c>
      <c r="F311" s="11">
        <v>0.23699999999999999</v>
      </c>
      <c r="G311" s="3">
        <f t="shared" si="9"/>
        <v>7.3297764227642712E-3</v>
      </c>
    </row>
    <row r="312" spans="1:7" customFormat="1" ht="14.4" customHeight="1">
      <c r="A312" s="1">
        <v>31</v>
      </c>
      <c r="B312" s="1" t="s">
        <v>17</v>
      </c>
      <c r="C312" s="11">
        <v>25</v>
      </c>
      <c r="D312" s="11">
        <v>24.9</v>
      </c>
      <c r="E312" s="2">
        <f t="shared" si="8"/>
        <v>0.10000000000000142</v>
      </c>
      <c r="F312" s="11">
        <v>7.1999999999999995E-2</v>
      </c>
      <c r="G312" s="3">
        <f t="shared" si="9"/>
        <v>6.8800000000000571E-3</v>
      </c>
    </row>
    <row r="313" spans="1:7" customFormat="1">
      <c r="A313" s="1">
        <v>1</v>
      </c>
      <c r="B313" s="1" t="s">
        <v>18</v>
      </c>
      <c r="C313" s="11">
        <v>56.22</v>
      </c>
      <c r="D313" s="11">
        <v>55.78</v>
      </c>
      <c r="E313" s="2">
        <f t="shared" si="8"/>
        <v>0.43999999999999773</v>
      </c>
      <c r="F313" s="11">
        <v>0.29599999999999999</v>
      </c>
      <c r="G313" s="3">
        <f t="shared" ref="G313:G356" si="10">(E313+F313)/C313</f>
        <v>1.3091426538598324E-2</v>
      </c>
    </row>
    <row r="314" spans="1:7" customFormat="1">
      <c r="A314" s="1">
        <v>2</v>
      </c>
      <c r="B314" s="1" t="s">
        <v>18</v>
      </c>
      <c r="C314" s="11">
        <v>51.11</v>
      </c>
      <c r="D314" s="11">
        <v>50.79</v>
      </c>
      <c r="E314" s="2">
        <f t="shared" si="8"/>
        <v>0.32000000000000028</v>
      </c>
      <c r="F314" s="11">
        <v>0.28499999999999998</v>
      </c>
      <c r="G314" s="3">
        <f t="shared" si="10"/>
        <v>1.1837213852475059E-2</v>
      </c>
    </row>
    <row r="315" spans="1:7" customFormat="1">
      <c r="A315" s="1">
        <v>3</v>
      </c>
      <c r="B315" s="1" t="s">
        <v>18</v>
      </c>
      <c r="C315" s="11">
        <v>53.84</v>
      </c>
      <c r="D315" s="11">
        <v>53.43</v>
      </c>
      <c r="E315" s="2">
        <f t="shared" si="8"/>
        <v>0.41000000000000369</v>
      </c>
      <c r="F315" s="11">
        <v>0.33300000000000002</v>
      </c>
      <c r="G315" s="3">
        <f t="shared" si="10"/>
        <v>1.3800148588410171E-2</v>
      </c>
    </row>
    <row r="316" spans="1:7" customFormat="1">
      <c r="A316" s="1">
        <v>4</v>
      </c>
      <c r="B316" s="1" t="s">
        <v>18</v>
      </c>
      <c r="C316" s="11">
        <v>79.64</v>
      </c>
      <c r="D316" s="11">
        <v>79.02</v>
      </c>
      <c r="E316" s="2">
        <f t="shared" si="8"/>
        <v>0.62000000000000455</v>
      </c>
      <c r="F316" s="11">
        <v>0.372</v>
      </c>
      <c r="G316" s="3">
        <f t="shared" si="10"/>
        <v>1.2456052235057817E-2</v>
      </c>
    </row>
    <row r="317" spans="1:7" customFormat="1">
      <c r="A317" s="1">
        <v>5</v>
      </c>
      <c r="B317" s="1" t="s">
        <v>18</v>
      </c>
      <c r="C317" s="11">
        <v>74.290000000000006</v>
      </c>
      <c r="D317" s="11">
        <v>73.62</v>
      </c>
      <c r="E317" s="2">
        <f t="shared" si="8"/>
        <v>0.67000000000000171</v>
      </c>
      <c r="F317" s="11">
        <v>0.49</v>
      </c>
      <c r="G317" s="3">
        <f t="shared" si="10"/>
        <v>1.5614483779781958E-2</v>
      </c>
    </row>
    <row r="318" spans="1:7" customFormat="1">
      <c r="A318" s="1">
        <v>6</v>
      </c>
      <c r="B318" s="1" t="s">
        <v>18</v>
      </c>
      <c r="C318" s="11">
        <v>72.650000000000006</v>
      </c>
      <c r="D318" s="11">
        <v>72.05</v>
      </c>
      <c r="E318" s="2">
        <f t="shared" si="8"/>
        <v>0.60000000000000853</v>
      </c>
      <c r="F318" s="11">
        <v>0.32300000000000001</v>
      </c>
      <c r="G318" s="3">
        <f t="shared" si="10"/>
        <v>1.2704748795595435E-2</v>
      </c>
    </row>
    <row r="319" spans="1:7" customFormat="1">
      <c r="A319" s="1">
        <v>7</v>
      </c>
      <c r="B319" s="1" t="s">
        <v>18</v>
      </c>
      <c r="C319" s="11">
        <v>53.15</v>
      </c>
      <c r="D319" s="11">
        <v>52.86</v>
      </c>
      <c r="E319" s="2">
        <f t="shared" si="8"/>
        <v>0.28999999999999915</v>
      </c>
      <c r="F319" s="11">
        <v>0.49600000000000932</v>
      </c>
      <c r="G319" s="3">
        <f t="shared" si="10"/>
        <v>1.4788334901223114E-2</v>
      </c>
    </row>
    <row r="320" spans="1:7" customFormat="1">
      <c r="A320" s="1">
        <v>10</v>
      </c>
      <c r="B320" s="1" t="s">
        <v>18</v>
      </c>
      <c r="C320" s="11">
        <v>49.16</v>
      </c>
      <c r="D320" s="11">
        <v>48.14</v>
      </c>
      <c r="E320" s="2">
        <f t="shared" si="8"/>
        <v>1.019999999999996</v>
      </c>
      <c r="F320" s="11">
        <v>8.99999999999892E-2</v>
      </c>
      <c r="G320" s="3">
        <f t="shared" si="10"/>
        <v>2.25793327908866E-2</v>
      </c>
    </row>
    <row r="321" spans="1:18">
      <c r="A321" s="1">
        <v>8</v>
      </c>
      <c r="B321" s="1" t="s">
        <v>18</v>
      </c>
      <c r="C321" s="11">
        <v>76.180000000000007</v>
      </c>
      <c r="D321" s="11">
        <v>74.78</v>
      </c>
      <c r="E321" s="2">
        <f t="shared" si="8"/>
        <v>1.4000000000000057</v>
      </c>
      <c r="F321" s="11">
        <v>0.80100000000000005</v>
      </c>
      <c r="G321" s="3">
        <f t="shared" si="10"/>
        <v>2.8892097663428797E-2</v>
      </c>
    </row>
    <row r="322" spans="1:18">
      <c r="A322" s="1">
        <v>9</v>
      </c>
      <c r="B322" s="1" t="s">
        <v>18</v>
      </c>
      <c r="C322" s="11">
        <v>0</v>
      </c>
      <c r="D322" s="11">
        <v>0</v>
      </c>
      <c r="E322" s="2">
        <f t="shared" si="8"/>
        <v>0</v>
      </c>
      <c r="F322" s="11">
        <v>0.57399999999999995</v>
      </c>
      <c r="G322" s="3" t="e">
        <f t="shared" si="10"/>
        <v>#DIV/0!</v>
      </c>
      <c r="R322"/>
    </row>
    <row r="323" spans="1:18">
      <c r="A323" s="1">
        <v>11</v>
      </c>
      <c r="B323" s="1" t="s">
        <v>18</v>
      </c>
      <c r="C323" s="11">
        <v>51.78</v>
      </c>
      <c r="D323" s="11">
        <v>51.43</v>
      </c>
      <c r="E323" s="2">
        <f t="shared" si="8"/>
        <v>0.35000000000000142</v>
      </c>
      <c r="F323" s="11">
        <v>0.15999999999999659</v>
      </c>
      <c r="G323" s="3">
        <f t="shared" si="10"/>
        <v>9.8493626882966007E-3</v>
      </c>
      <c r="R323"/>
    </row>
    <row r="324" spans="1:18">
      <c r="A324" s="1">
        <v>12</v>
      </c>
      <c r="B324" s="1" t="s">
        <v>18</v>
      </c>
      <c r="C324" s="11">
        <v>52.629999999999995</v>
      </c>
      <c r="D324" s="11">
        <v>52.230000000000004</v>
      </c>
      <c r="E324" s="2">
        <f t="shared" ref="E324:E387" si="11">C324-D324</f>
        <v>0.39999999999999147</v>
      </c>
      <c r="F324" s="11">
        <v>0.12199999999999278</v>
      </c>
      <c r="G324" s="3">
        <f t="shared" si="10"/>
        <v>9.9182975489261697E-3</v>
      </c>
      <c r="R324"/>
    </row>
    <row r="325" spans="1:18">
      <c r="A325" s="1">
        <v>13</v>
      </c>
      <c r="B325" s="1" t="s">
        <v>18</v>
      </c>
      <c r="C325" s="11">
        <v>76.14</v>
      </c>
      <c r="D325" s="11">
        <v>75.600000000000009</v>
      </c>
      <c r="E325" s="2">
        <f t="shared" si="11"/>
        <v>0.53999999999999204</v>
      </c>
      <c r="F325" s="11">
        <v>0.22400000000001796</v>
      </c>
      <c r="G325" s="3">
        <f t="shared" si="10"/>
        <v>1.0034147622800237E-2</v>
      </c>
      <c r="R325"/>
    </row>
    <row r="326" spans="1:18">
      <c r="A326" s="1">
        <v>14</v>
      </c>
      <c r="B326" s="1" t="s">
        <v>18</v>
      </c>
      <c r="C326" s="11">
        <v>74.350000000000009</v>
      </c>
      <c r="D326" s="11">
        <v>73.97</v>
      </c>
      <c r="E326" s="2">
        <f t="shared" si="11"/>
        <v>0.38000000000000966</v>
      </c>
      <c r="F326" s="11">
        <v>0.3539999999999992</v>
      </c>
      <c r="G326" s="3">
        <f t="shared" si="10"/>
        <v>9.8722259583054316E-3</v>
      </c>
      <c r="R326"/>
    </row>
    <row r="327" spans="1:18">
      <c r="A327" s="1">
        <v>15</v>
      </c>
      <c r="B327" s="1" t="s">
        <v>18</v>
      </c>
      <c r="C327" s="11">
        <v>73.12</v>
      </c>
      <c r="D327" s="11">
        <v>72.67</v>
      </c>
      <c r="E327" s="2">
        <f t="shared" si="11"/>
        <v>0.45000000000000284</v>
      </c>
      <c r="F327" s="11">
        <v>0.27400000000001512</v>
      </c>
      <c r="G327" s="3">
        <f t="shared" si="10"/>
        <v>9.9015317286654525E-3</v>
      </c>
      <c r="R327"/>
    </row>
    <row r="328" spans="1:18">
      <c r="A328" s="1">
        <v>16</v>
      </c>
      <c r="B328" s="1" t="s">
        <v>18</v>
      </c>
      <c r="C328" s="11">
        <v>45.74</v>
      </c>
      <c r="D328" s="11">
        <v>45.46</v>
      </c>
      <c r="E328" s="2">
        <f t="shared" si="11"/>
        <v>0.28000000000000114</v>
      </c>
      <c r="F328" s="11">
        <v>0.23</v>
      </c>
      <c r="G328" s="3">
        <f t="shared" si="10"/>
        <v>1.1149978137297794E-2</v>
      </c>
      <c r="R328"/>
    </row>
    <row r="329" spans="1:18">
      <c r="A329" s="1">
        <v>17</v>
      </c>
      <c r="B329" s="1" t="s">
        <v>18</v>
      </c>
      <c r="C329" s="11">
        <v>76.81</v>
      </c>
      <c r="D329" s="11">
        <v>76.3</v>
      </c>
      <c r="E329" s="2">
        <f t="shared" si="11"/>
        <v>0.51000000000000512</v>
      </c>
      <c r="F329" s="11">
        <v>0.23499999999999999</v>
      </c>
      <c r="G329" s="3">
        <f t="shared" si="10"/>
        <v>9.6992579091264818E-3</v>
      </c>
      <c r="R329"/>
    </row>
    <row r="330" spans="1:18">
      <c r="A330" s="1">
        <v>18</v>
      </c>
      <c r="B330" s="1" t="s">
        <v>18</v>
      </c>
      <c r="C330" s="11">
        <v>205.31</v>
      </c>
      <c r="D330" s="11">
        <v>204.22</v>
      </c>
      <c r="E330" s="2">
        <f t="shared" si="11"/>
        <v>1.0900000000000034</v>
      </c>
      <c r="F330" s="11">
        <v>0.67099999999999227</v>
      </c>
      <c r="G330" s="3">
        <f t="shared" si="10"/>
        <v>8.5772733914568008E-3</v>
      </c>
      <c r="R330"/>
    </row>
    <row r="331" spans="1:18">
      <c r="A331" s="1">
        <v>19</v>
      </c>
      <c r="B331" s="1" t="s">
        <v>18</v>
      </c>
      <c r="C331" s="11">
        <v>101.76</v>
      </c>
      <c r="D331" s="11">
        <v>101.38999999999999</v>
      </c>
      <c r="E331" s="2">
        <f t="shared" si="11"/>
        <v>0.37000000000001876</v>
      </c>
      <c r="F331" s="11">
        <v>0.62599999999997635</v>
      </c>
      <c r="G331" s="3">
        <f t="shared" si="10"/>
        <v>9.7877358490565548E-3</v>
      </c>
      <c r="R331"/>
    </row>
    <row r="332" spans="1:18">
      <c r="A332" s="1">
        <v>20</v>
      </c>
      <c r="B332" s="1" t="s">
        <v>18</v>
      </c>
      <c r="C332" s="11">
        <v>25</v>
      </c>
      <c r="D332" s="11">
        <v>24.81</v>
      </c>
      <c r="E332" s="2">
        <f t="shared" si="11"/>
        <v>0.19000000000000128</v>
      </c>
      <c r="F332" s="11">
        <v>2.5000000000000001E-2</v>
      </c>
      <c r="G332" s="3">
        <f t="shared" si="10"/>
        <v>8.6000000000000503E-3</v>
      </c>
      <c r="R332"/>
    </row>
    <row r="333" spans="1:18">
      <c r="A333" s="1">
        <v>21</v>
      </c>
      <c r="B333" s="1" t="s">
        <v>18</v>
      </c>
      <c r="C333" s="11">
        <v>25</v>
      </c>
      <c r="D333" s="11">
        <v>24.74</v>
      </c>
      <c r="E333" s="2">
        <f t="shared" si="11"/>
        <v>0.26000000000000156</v>
      </c>
      <c r="F333" s="11">
        <v>2.3E-2</v>
      </c>
      <c r="G333" s="3">
        <f t="shared" si="10"/>
        <v>1.1320000000000063E-2</v>
      </c>
      <c r="R333"/>
    </row>
    <row r="334" spans="1:18">
      <c r="A334" s="1">
        <v>22</v>
      </c>
      <c r="B334" s="1" t="s">
        <v>18</v>
      </c>
      <c r="C334" s="11">
        <v>50</v>
      </c>
      <c r="D334" s="11">
        <v>49.9</v>
      </c>
      <c r="E334" s="2">
        <f t="shared" si="11"/>
        <v>0.10000000000000142</v>
      </c>
      <c r="F334" s="11">
        <v>0.39300000000000002</v>
      </c>
      <c r="G334" s="3">
        <f t="shared" si="10"/>
        <v>9.8600000000000285E-3</v>
      </c>
      <c r="R334"/>
    </row>
    <row r="335" spans="1:18">
      <c r="A335" s="1">
        <v>23</v>
      </c>
      <c r="B335" s="1" t="s">
        <v>18</v>
      </c>
      <c r="C335" s="11">
        <v>79.31</v>
      </c>
      <c r="D335" s="11">
        <v>78.69</v>
      </c>
      <c r="E335" s="2">
        <f t="shared" si="11"/>
        <v>0.62000000000000455</v>
      </c>
      <c r="F335" s="11">
        <v>0.124</v>
      </c>
      <c r="G335" s="3">
        <f t="shared" si="10"/>
        <v>9.3809103517841948E-3</v>
      </c>
      <c r="R335"/>
    </row>
    <row r="336" spans="1:18">
      <c r="A336" s="1">
        <v>24</v>
      </c>
      <c r="B336" s="1" t="s">
        <v>18</v>
      </c>
      <c r="C336" s="11">
        <v>72.89</v>
      </c>
      <c r="D336" s="11">
        <v>72.44</v>
      </c>
      <c r="E336" s="2">
        <f t="shared" si="11"/>
        <v>0.45000000000000284</v>
      </c>
      <c r="F336" s="11">
        <v>0.27400000000000002</v>
      </c>
      <c r="G336" s="3">
        <f t="shared" si="10"/>
        <v>9.9327754150089573E-3</v>
      </c>
      <c r="R336"/>
    </row>
    <row r="337" spans="1:18">
      <c r="A337" s="1">
        <v>25</v>
      </c>
      <c r="B337" s="1" t="s">
        <v>18</v>
      </c>
      <c r="C337" s="11">
        <v>214.98</v>
      </c>
      <c r="D337" s="11">
        <v>212.59</v>
      </c>
      <c r="E337" s="2">
        <f t="shared" si="11"/>
        <v>2.3899999999999864</v>
      </c>
      <c r="F337" s="11">
        <v>0.107</v>
      </c>
      <c r="G337" s="3">
        <f t="shared" si="10"/>
        <v>1.1615033956647067E-2</v>
      </c>
      <c r="R337"/>
    </row>
    <row r="338" spans="1:18">
      <c r="A338" s="1">
        <v>26</v>
      </c>
      <c r="B338" s="1" t="s">
        <v>18</v>
      </c>
      <c r="C338" s="11">
        <v>80.83</v>
      </c>
      <c r="D338" s="11">
        <v>79.92</v>
      </c>
      <c r="E338" s="2">
        <f t="shared" si="11"/>
        <v>0.90999999999999659</v>
      </c>
      <c r="F338" s="11">
        <v>0.185</v>
      </c>
      <c r="G338" s="3">
        <f t="shared" si="10"/>
        <v>1.3546950389706752E-2</v>
      </c>
      <c r="R338"/>
    </row>
    <row r="339" spans="1:18">
      <c r="A339" s="1">
        <v>27</v>
      </c>
      <c r="B339" s="1" t="s">
        <v>18</v>
      </c>
      <c r="C339" s="11">
        <v>51.79</v>
      </c>
      <c r="D339" s="11">
        <v>51.27</v>
      </c>
      <c r="E339" s="2">
        <f t="shared" si="11"/>
        <v>0.51999999999999602</v>
      </c>
      <c r="F339" s="11">
        <v>0.01</v>
      </c>
      <c r="G339" s="3">
        <f t="shared" si="10"/>
        <v>1.02336358370341E-2</v>
      </c>
      <c r="R339"/>
    </row>
    <row r="340" spans="1:18">
      <c r="A340" s="1">
        <v>28</v>
      </c>
      <c r="B340" s="1" t="s">
        <v>18</v>
      </c>
      <c r="C340" s="11">
        <v>106.98</v>
      </c>
      <c r="D340" s="11">
        <v>105.17</v>
      </c>
      <c r="E340" s="2">
        <f t="shared" si="11"/>
        <v>1.8100000000000023</v>
      </c>
      <c r="F340" s="11">
        <v>0.99199999999999999</v>
      </c>
      <c r="G340" s="3">
        <f t="shared" si="10"/>
        <v>2.6191811553561435E-2</v>
      </c>
      <c r="R340"/>
    </row>
    <row r="341" spans="1:18">
      <c r="A341" s="1">
        <v>29</v>
      </c>
      <c r="B341" s="1" t="s">
        <v>18</v>
      </c>
      <c r="C341" s="11">
        <v>81.430000000000007</v>
      </c>
      <c r="D341" s="11">
        <v>80.760000000000005</v>
      </c>
      <c r="E341" s="2">
        <f t="shared" si="11"/>
        <v>0.67000000000000171</v>
      </c>
      <c r="F341" s="11">
        <v>0.11</v>
      </c>
      <c r="G341" s="3">
        <f t="shared" si="10"/>
        <v>9.5787793196610779E-3</v>
      </c>
      <c r="R341"/>
    </row>
    <row r="342" spans="1:18">
      <c r="A342" s="1">
        <v>30</v>
      </c>
      <c r="B342" s="1" t="s">
        <v>18</v>
      </c>
      <c r="C342" s="11">
        <v>50.49</v>
      </c>
      <c r="D342" s="11">
        <v>50.25</v>
      </c>
      <c r="E342" s="2">
        <f t="shared" si="11"/>
        <v>0.24000000000000199</v>
      </c>
      <c r="F342" s="11">
        <v>0.248</v>
      </c>
      <c r="G342" s="3">
        <f t="shared" si="10"/>
        <v>9.665280253515587E-3</v>
      </c>
      <c r="R342"/>
    </row>
    <row r="343" spans="1:18">
      <c r="A343" s="1">
        <v>31</v>
      </c>
      <c r="B343" s="1" t="s">
        <v>18</v>
      </c>
      <c r="C343" s="11">
        <v>226.84</v>
      </c>
      <c r="D343" s="11">
        <v>224.93</v>
      </c>
      <c r="E343" s="2">
        <f t="shared" si="11"/>
        <v>1.9099999999999966</v>
      </c>
      <c r="F343" s="11">
        <v>0.20100000000000001</v>
      </c>
      <c r="G343" s="3">
        <f t="shared" si="10"/>
        <v>9.3061188502909387E-3</v>
      </c>
      <c r="R343"/>
    </row>
    <row r="344" spans="1:18">
      <c r="A344" s="1">
        <v>1</v>
      </c>
      <c r="B344" s="1" t="s">
        <v>19</v>
      </c>
      <c r="C344" s="11">
        <v>108.01</v>
      </c>
      <c r="D344" s="11">
        <v>106.1</v>
      </c>
      <c r="E344" s="2">
        <f t="shared" si="11"/>
        <v>1.9100000000000108</v>
      </c>
      <c r="F344" s="11">
        <v>0.222</v>
      </c>
      <c r="G344" s="3">
        <f t="shared" si="10"/>
        <v>1.9738913063605319E-2</v>
      </c>
      <c r="R344"/>
    </row>
    <row r="345" spans="1:18">
      <c r="A345" s="1">
        <v>2</v>
      </c>
      <c r="B345" s="1" t="s">
        <v>19</v>
      </c>
      <c r="C345" s="11">
        <v>57.01</v>
      </c>
      <c r="D345" s="11">
        <v>56.52</v>
      </c>
      <c r="E345" s="2">
        <f t="shared" si="11"/>
        <v>0.48999999999999488</v>
      </c>
      <c r="F345" s="11">
        <v>0.11799999999999999</v>
      </c>
      <c r="G345" s="3">
        <f t="shared" si="10"/>
        <v>1.0664795649885895E-2</v>
      </c>
      <c r="R345"/>
    </row>
    <row r="346" spans="1:18">
      <c r="A346" s="1">
        <v>3</v>
      </c>
      <c r="B346" s="1" t="s">
        <v>19</v>
      </c>
      <c r="C346" s="11">
        <v>95</v>
      </c>
      <c r="D346" s="11">
        <v>93.25</v>
      </c>
      <c r="E346" s="2">
        <f t="shared" si="11"/>
        <v>1.75</v>
      </c>
      <c r="F346" s="11">
        <v>0.11799999999999999</v>
      </c>
      <c r="G346" s="3">
        <f t="shared" si="10"/>
        <v>1.9663157894736841E-2</v>
      </c>
      <c r="R346"/>
    </row>
    <row r="347" spans="1:18">
      <c r="A347" s="1">
        <v>4</v>
      </c>
      <c r="B347" s="1" t="s">
        <v>19</v>
      </c>
      <c r="C347" s="11">
        <v>53.36</v>
      </c>
      <c r="D347" s="11">
        <v>52.68</v>
      </c>
      <c r="E347" s="2">
        <f t="shared" si="11"/>
        <v>0.67999999999999972</v>
      </c>
      <c r="F347" s="11">
        <v>0.222</v>
      </c>
      <c r="G347" s="3">
        <f t="shared" si="10"/>
        <v>1.6904047976011988E-2</v>
      </c>
      <c r="R347"/>
    </row>
    <row r="348" spans="1:18">
      <c r="A348" s="1">
        <v>5</v>
      </c>
      <c r="B348" s="1" t="s">
        <v>19</v>
      </c>
      <c r="C348" s="11">
        <v>28.8</v>
      </c>
      <c r="D348" s="11">
        <v>28.44</v>
      </c>
      <c r="E348" s="2">
        <f t="shared" si="11"/>
        <v>0.35999999999999943</v>
      </c>
      <c r="F348" s="11">
        <v>0.188</v>
      </c>
      <c r="G348" s="3">
        <f t="shared" si="10"/>
        <v>1.9027777777777755E-2</v>
      </c>
      <c r="R348"/>
    </row>
    <row r="349" spans="1:18">
      <c r="A349" s="1">
        <v>6</v>
      </c>
      <c r="B349" s="1" t="s">
        <v>19</v>
      </c>
      <c r="C349" s="11">
        <v>78.78</v>
      </c>
      <c r="D349" s="11">
        <v>77.37</v>
      </c>
      <c r="E349" s="2">
        <f t="shared" si="11"/>
        <v>1.4099999999999966</v>
      </c>
      <c r="F349" s="11">
        <v>0.12</v>
      </c>
      <c r="G349" s="3">
        <f t="shared" si="10"/>
        <v>1.9421172886519379E-2</v>
      </c>
      <c r="R349"/>
    </row>
    <row r="350" spans="1:18">
      <c r="A350" s="1">
        <v>7</v>
      </c>
      <c r="B350" s="1" t="s">
        <v>19</v>
      </c>
      <c r="C350" s="11">
        <v>52.8</v>
      </c>
      <c r="D350" s="11">
        <v>52.34</v>
      </c>
      <c r="E350" s="2">
        <f t="shared" si="11"/>
        <v>0.45999999999999375</v>
      </c>
      <c r="F350" s="11">
        <v>0.12</v>
      </c>
      <c r="G350" s="3">
        <f t="shared" si="10"/>
        <v>1.0984848484848366E-2</v>
      </c>
      <c r="R350"/>
    </row>
    <row r="351" spans="1:18">
      <c r="A351" s="1">
        <v>10</v>
      </c>
      <c r="B351" s="1" t="s">
        <v>19</v>
      </c>
      <c r="C351" s="11">
        <v>56.08</v>
      </c>
      <c r="D351" s="11">
        <v>55.5</v>
      </c>
      <c r="E351" s="2">
        <f t="shared" si="11"/>
        <v>0.57999999999999829</v>
      </c>
      <c r="F351" s="11">
        <v>0.125</v>
      </c>
      <c r="G351" s="3">
        <f t="shared" si="10"/>
        <v>1.257132667617686E-2</v>
      </c>
      <c r="R351"/>
    </row>
    <row r="352" spans="1:18">
      <c r="A352" s="1">
        <v>8</v>
      </c>
      <c r="B352" s="1" t="s">
        <v>19</v>
      </c>
      <c r="C352" s="11">
        <v>81.900000000000006</v>
      </c>
      <c r="D352" s="11">
        <v>80.98</v>
      </c>
      <c r="E352" s="2">
        <f t="shared" si="11"/>
        <v>0.92000000000000171</v>
      </c>
      <c r="F352" s="11">
        <v>0.222</v>
      </c>
      <c r="G352" s="3">
        <f t="shared" si="10"/>
        <v>1.3943833943833963E-2</v>
      </c>
    </row>
    <row r="353" spans="1:7" customFormat="1">
      <c r="A353" s="1">
        <v>9</v>
      </c>
      <c r="B353" s="1" t="s">
        <v>19</v>
      </c>
      <c r="C353" s="11">
        <v>50</v>
      </c>
      <c r="D353" s="11">
        <v>49.73</v>
      </c>
      <c r="E353" s="2">
        <f t="shared" si="11"/>
        <v>0.27000000000000313</v>
      </c>
      <c r="F353" s="11">
        <v>0.152</v>
      </c>
      <c r="G353" s="3">
        <f t="shared" si="10"/>
        <v>8.4400000000000638E-3</v>
      </c>
    </row>
    <row r="354" spans="1:7" customFormat="1">
      <c r="A354" s="1">
        <v>11</v>
      </c>
      <c r="B354" s="1" t="s">
        <v>19</v>
      </c>
      <c r="C354" s="11">
        <v>54.83</v>
      </c>
      <c r="D354" s="11">
        <v>54.2</v>
      </c>
      <c r="E354" s="2">
        <f t="shared" si="11"/>
        <v>0.62999999999999545</v>
      </c>
      <c r="F354" s="11">
        <v>0.124</v>
      </c>
      <c r="G354" s="3">
        <f t="shared" si="10"/>
        <v>1.3751595841692421E-2</v>
      </c>
    </row>
    <row r="355" spans="1:7" customFormat="1">
      <c r="A355" s="1">
        <v>12</v>
      </c>
      <c r="B355" s="1" t="s">
        <v>19</v>
      </c>
      <c r="C355" s="11">
        <v>129.91</v>
      </c>
      <c r="D355" s="11">
        <v>127.42</v>
      </c>
      <c r="E355" s="2">
        <f t="shared" si="11"/>
        <v>2.4899999999999949</v>
      </c>
      <c r="F355" s="11">
        <v>0.13500000000000001</v>
      </c>
      <c r="G355" s="3">
        <f t="shared" si="10"/>
        <v>2.0206296666923213E-2</v>
      </c>
    </row>
    <row r="356" spans="1:7" customFormat="1">
      <c r="A356" s="1">
        <v>13</v>
      </c>
      <c r="B356" s="1" t="s">
        <v>19</v>
      </c>
      <c r="C356" s="11">
        <v>52.17</v>
      </c>
      <c r="D356" s="11">
        <v>51.23</v>
      </c>
      <c r="E356" s="2">
        <f t="shared" si="11"/>
        <v>0.94000000000000483</v>
      </c>
      <c r="F356" s="11">
        <v>0.13500000000000001</v>
      </c>
      <c r="G356" s="3">
        <f t="shared" si="10"/>
        <v>2.0605712095073888E-2</v>
      </c>
    </row>
    <row r="357" spans="1:7" customFormat="1">
      <c r="A357" s="1">
        <v>14</v>
      </c>
      <c r="B357" s="1" t="s">
        <v>19</v>
      </c>
      <c r="C357" s="11">
        <v>105.34</v>
      </c>
      <c r="D357" s="11">
        <v>103.94</v>
      </c>
      <c r="E357" s="2">
        <f t="shared" si="11"/>
        <v>1.4000000000000057</v>
      </c>
      <c r="F357" s="11">
        <v>0.13500000000000001</v>
      </c>
      <c r="G357" s="3">
        <f t="shared" ref="G357:G420" si="12">(E357+F357)/C357</f>
        <v>1.4571862540345601E-2</v>
      </c>
    </row>
    <row r="358" spans="1:7" customFormat="1">
      <c r="A358" s="1">
        <v>15</v>
      </c>
      <c r="B358" s="1" t="s">
        <v>19</v>
      </c>
      <c r="C358" s="11">
        <v>134.97</v>
      </c>
      <c r="D358" s="11">
        <v>133.05000000000001</v>
      </c>
      <c r="E358" s="2">
        <f t="shared" si="11"/>
        <v>1.9199999999999875</v>
      </c>
      <c r="F358" s="11">
        <v>0.222</v>
      </c>
      <c r="G358" s="3">
        <f t="shared" si="12"/>
        <v>1.5870193376305752E-2</v>
      </c>
    </row>
    <row r="359" spans="1:7" customFormat="1">
      <c r="A359" s="1">
        <v>16</v>
      </c>
      <c r="B359" s="1" t="s">
        <v>19</v>
      </c>
      <c r="C359" s="11">
        <v>77.7</v>
      </c>
      <c r="D359" s="11">
        <v>76.430000000000007</v>
      </c>
      <c r="E359" s="2">
        <f t="shared" si="11"/>
        <v>1.269999999999996</v>
      </c>
      <c r="F359" s="11">
        <v>0.13500000000000001</v>
      </c>
      <c r="G359" s="3">
        <f t="shared" si="12"/>
        <v>1.8082368082368031E-2</v>
      </c>
    </row>
    <row r="360" spans="1:7" customFormat="1">
      <c r="A360" s="1">
        <v>17</v>
      </c>
      <c r="B360" s="1" t="s">
        <v>19</v>
      </c>
      <c r="C360" s="11">
        <v>78.47</v>
      </c>
      <c r="D360" s="11">
        <v>77.2</v>
      </c>
      <c r="E360" s="2">
        <f t="shared" si="11"/>
        <v>1.269999999999996</v>
      </c>
      <c r="F360" s="11">
        <v>0.222</v>
      </c>
      <c r="G360" s="3">
        <f t="shared" si="12"/>
        <v>1.9013635784376145E-2</v>
      </c>
    </row>
    <row r="361" spans="1:7" customFormat="1">
      <c r="A361" s="1">
        <v>18</v>
      </c>
      <c r="B361" s="1" t="s">
        <v>19</v>
      </c>
      <c r="C361" s="11">
        <v>80.2</v>
      </c>
      <c r="D361" s="11">
        <v>78.86</v>
      </c>
      <c r="E361" s="2">
        <f t="shared" si="11"/>
        <v>1.3400000000000034</v>
      </c>
      <c r="F361" s="11">
        <v>0.222</v>
      </c>
      <c r="G361" s="3">
        <f t="shared" si="12"/>
        <v>1.9476309226932709E-2</v>
      </c>
    </row>
    <row r="362" spans="1:7" customFormat="1">
      <c r="A362" s="1">
        <v>19</v>
      </c>
      <c r="B362" s="1" t="s">
        <v>19</v>
      </c>
      <c r="C362" s="11">
        <v>98.79</v>
      </c>
      <c r="D362" s="11">
        <v>97.23</v>
      </c>
      <c r="E362" s="2">
        <f t="shared" si="11"/>
        <v>1.5600000000000023</v>
      </c>
      <c r="F362" s="11">
        <v>0.21199999999999999</v>
      </c>
      <c r="G362" s="3">
        <f t="shared" si="12"/>
        <v>1.7937038161757284E-2</v>
      </c>
    </row>
    <row r="363" spans="1:7" customFormat="1">
      <c r="A363" s="1">
        <v>20</v>
      </c>
      <c r="B363" s="1" t="s">
        <v>19</v>
      </c>
      <c r="C363" s="11">
        <v>23.55</v>
      </c>
      <c r="D363" s="11">
        <v>23.11</v>
      </c>
      <c r="E363" s="2">
        <f t="shared" si="11"/>
        <v>0.44000000000000128</v>
      </c>
      <c r="F363" s="11">
        <v>0.252</v>
      </c>
      <c r="G363" s="3">
        <f t="shared" si="12"/>
        <v>2.9384288747346127E-2</v>
      </c>
    </row>
    <row r="364" spans="1:7" customFormat="1">
      <c r="A364" s="1">
        <v>21</v>
      </c>
      <c r="B364" s="1" t="s">
        <v>19</v>
      </c>
      <c r="C364" s="11">
        <v>50</v>
      </c>
      <c r="D364" s="11">
        <v>49.52</v>
      </c>
      <c r="E364" s="2">
        <f t="shared" si="11"/>
        <v>0.47999999999999687</v>
      </c>
      <c r="F364" s="11">
        <v>0.13500000000000001</v>
      </c>
      <c r="G364" s="3">
        <f t="shared" si="12"/>
        <v>1.2299999999999938E-2</v>
      </c>
    </row>
    <row r="365" spans="1:7" customFormat="1">
      <c r="A365" s="1">
        <v>22</v>
      </c>
      <c r="B365" s="1" t="s">
        <v>19</v>
      </c>
      <c r="C365" s="11">
        <v>50</v>
      </c>
      <c r="D365" s="11">
        <v>48.72</v>
      </c>
      <c r="E365" s="2">
        <f t="shared" si="11"/>
        <v>1.2800000000000011</v>
      </c>
      <c r="F365" s="11">
        <v>0.152</v>
      </c>
      <c r="G365" s="3">
        <f t="shared" si="12"/>
        <v>2.864000000000002E-2</v>
      </c>
    </row>
    <row r="366" spans="1:7" customFormat="1">
      <c r="A366" s="1">
        <v>23</v>
      </c>
      <c r="B366" s="1" t="s">
        <v>19</v>
      </c>
      <c r="C366" s="11">
        <v>99.7</v>
      </c>
      <c r="D366" s="11">
        <v>97.83</v>
      </c>
      <c r="E366" s="2">
        <f t="shared" si="11"/>
        <v>1.8700000000000045</v>
      </c>
      <c r="F366" s="11">
        <v>0.122</v>
      </c>
      <c r="G366" s="3">
        <f t="shared" si="12"/>
        <v>1.997993981945842E-2</v>
      </c>
    </row>
    <row r="367" spans="1:7" customFormat="1">
      <c r="A367" s="1">
        <v>24</v>
      </c>
      <c r="B367" s="1" t="s">
        <v>19</v>
      </c>
      <c r="C367" s="11">
        <v>23.88</v>
      </c>
      <c r="D367" s="11">
        <v>23.43</v>
      </c>
      <c r="E367" s="2">
        <f t="shared" si="11"/>
        <v>0.44999999999999929</v>
      </c>
      <c r="F367" s="11">
        <v>0.12</v>
      </c>
      <c r="G367" s="3">
        <f t="shared" si="12"/>
        <v>2.3869346733668313E-2</v>
      </c>
    </row>
    <row r="368" spans="1:7" customFormat="1">
      <c r="A368" s="1">
        <v>25</v>
      </c>
      <c r="B368" s="1" t="s">
        <v>19</v>
      </c>
      <c r="C368" s="11">
        <v>175.73</v>
      </c>
      <c r="D368" s="11">
        <v>172.66</v>
      </c>
      <c r="E368" s="2">
        <f t="shared" si="11"/>
        <v>3.0699999999999932</v>
      </c>
      <c r="F368" s="11">
        <v>0.25800000000000001</v>
      </c>
      <c r="G368" s="3">
        <f t="shared" si="12"/>
        <v>1.8938143743242437E-2</v>
      </c>
    </row>
    <row r="369" spans="1:18">
      <c r="A369" s="1">
        <v>26</v>
      </c>
      <c r="B369" s="1" t="s">
        <v>19</v>
      </c>
      <c r="C369" s="11">
        <v>135.85</v>
      </c>
      <c r="D369" s="11">
        <v>133.91</v>
      </c>
      <c r="E369" s="2">
        <f t="shared" si="11"/>
        <v>1.9399999999999977</v>
      </c>
      <c r="F369" s="11">
        <v>0.215</v>
      </c>
      <c r="G369" s="3">
        <f t="shared" si="12"/>
        <v>1.5863084284136898E-2</v>
      </c>
      <c r="R369"/>
    </row>
    <row r="370" spans="1:18">
      <c r="A370" s="1">
        <v>27</v>
      </c>
      <c r="B370" s="1" t="s">
        <v>19</v>
      </c>
      <c r="C370" s="11">
        <v>68.37</v>
      </c>
      <c r="D370" s="11">
        <v>67.14</v>
      </c>
      <c r="E370" s="2">
        <f t="shared" si="11"/>
        <v>1.230000000000004</v>
      </c>
      <c r="F370" s="11">
        <v>0.123</v>
      </c>
      <c r="G370" s="3">
        <f t="shared" si="12"/>
        <v>1.9789381307591107E-2</v>
      </c>
      <c r="R370"/>
    </row>
    <row r="371" spans="1:18">
      <c r="A371" s="1">
        <v>28</v>
      </c>
      <c r="B371" s="1" t="s">
        <v>19</v>
      </c>
      <c r="C371" s="11">
        <v>103.64</v>
      </c>
      <c r="D371" s="11">
        <v>102.26</v>
      </c>
      <c r="E371" s="2">
        <f t="shared" si="11"/>
        <v>1.3799999999999955</v>
      </c>
      <c r="F371" s="11">
        <v>0.252</v>
      </c>
      <c r="G371" s="3">
        <f t="shared" si="12"/>
        <v>1.5746815901196407E-2</v>
      </c>
      <c r="R371"/>
    </row>
    <row r="372" spans="1:18">
      <c r="A372" s="1">
        <v>29</v>
      </c>
      <c r="B372" s="1" t="s">
        <v>19</v>
      </c>
      <c r="C372" s="11">
        <v>101.46</v>
      </c>
      <c r="D372" s="11">
        <v>99.93</v>
      </c>
      <c r="E372" s="2">
        <f t="shared" si="11"/>
        <v>1.5299999999999869</v>
      </c>
      <c r="F372" s="11">
        <v>0.245</v>
      </c>
      <c r="G372" s="3">
        <f t="shared" si="12"/>
        <v>1.7494579144490312E-2</v>
      </c>
      <c r="R372"/>
    </row>
    <row r="373" spans="1:18">
      <c r="A373" s="1">
        <v>30</v>
      </c>
      <c r="B373" s="1" t="s">
        <v>19</v>
      </c>
      <c r="C373" s="11">
        <v>150.68</v>
      </c>
      <c r="D373" s="11">
        <v>149.38</v>
      </c>
      <c r="E373" s="2">
        <f t="shared" si="11"/>
        <v>1.3000000000000114</v>
      </c>
      <c r="F373" s="11">
        <v>0.22</v>
      </c>
      <c r="G373" s="3">
        <f t="shared" si="12"/>
        <v>1.0087602867002995E-2</v>
      </c>
      <c r="R373"/>
    </row>
    <row r="374" spans="1:18">
      <c r="A374" s="1">
        <v>31</v>
      </c>
      <c r="B374" s="1" t="s">
        <v>19</v>
      </c>
      <c r="C374" s="11">
        <v>121.41</v>
      </c>
      <c r="D374" s="11">
        <v>120.49</v>
      </c>
      <c r="E374" s="2">
        <f t="shared" si="11"/>
        <v>0.92000000000000171</v>
      </c>
      <c r="F374" s="11">
        <v>0.22800000000000001</v>
      </c>
      <c r="G374" s="3">
        <f t="shared" si="12"/>
        <v>9.4555637921093956E-3</v>
      </c>
      <c r="R374"/>
    </row>
    <row r="375" spans="1:18">
      <c r="A375" s="1">
        <v>1</v>
      </c>
      <c r="B375" s="1" t="s">
        <v>20</v>
      </c>
      <c r="C375" s="11">
        <v>25.5</v>
      </c>
      <c r="D375" s="11">
        <v>24.98</v>
      </c>
      <c r="E375" s="2">
        <f t="shared" si="11"/>
        <v>0.51999999999999957</v>
      </c>
      <c r="F375" s="11">
        <v>1.0999999999999999E-2</v>
      </c>
      <c r="G375" s="3">
        <f t="shared" si="12"/>
        <v>2.0823529411764689E-2</v>
      </c>
      <c r="R375"/>
    </row>
    <row r="376" spans="1:18">
      <c r="A376" s="1">
        <v>2</v>
      </c>
      <c r="B376" s="1" t="s">
        <v>20</v>
      </c>
      <c r="C376" s="11">
        <v>25.73</v>
      </c>
      <c r="D376" s="11">
        <v>25.28</v>
      </c>
      <c r="E376" s="2">
        <f t="shared" si="11"/>
        <v>0.44999999999999929</v>
      </c>
      <c r="F376" s="11">
        <v>0.498</v>
      </c>
      <c r="G376" s="3">
        <f t="shared" si="12"/>
        <v>3.6844150796735302E-2</v>
      </c>
      <c r="R376"/>
    </row>
    <row r="377" spans="1:18">
      <c r="A377" s="1">
        <v>3</v>
      </c>
      <c r="B377" s="1" t="s">
        <v>20</v>
      </c>
      <c r="C377" s="11">
        <v>49.56</v>
      </c>
      <c r="D377" s="11">
        <v>49.06</v>
      </c>
      <c r="E377" s="2">
        <f t="shared" si="11"/>
        <v>0.5</v>
      </c>
      <c r="F377" s="11">
        <v>0.254</v>
      </c>
      <c r="G377" s="3">
        <f t="shared" si="12"/>
        <v>1.5213882163034705E-2</v>
      </c>
      <c r="R377"/>
    </row>
    <row r="378" spans="1:18">
      <c r="A378" s="1">
        <v>4</v>
      </c>
      <c r="B378" s="1" t="s">
        <v>20</v>
      </c>
      <c r="C378" s="11">
        <v>80.069999999999993</v>
      </c>
      <c r="D378" s="11">
        <v>79.34</v>
      </c>
      <c r="E378" s="2">
        <f t="shared" si="11"/>
        <v>0.72999999999998977</v>
      </c>
      <c r="F378" s="11">
        <v>0.54800000000000004</v>
      </c>
      <c r="G378" s="3">
        <f t="shared" si="12"/>
        <v>1.5961034095166603E-2</v>
      </c>
      <c r="R378"/>
    </row>
    <row r="379" spans="1:18">
      <c r="A379" s="1">
        <v>5</v>
      </c>
      <c r="B379" s="1" t="s">
        <v>20</v>
      </c>
      <c r="C379" s="11">
        <v>27.97</v>
      </c>
      <c r="D379" s="11">
        <v>27.66</v>
      </c>
      <c r="E379" s="2">
        <f t="shared" si="11"/>
        <v>0.30999999999999872</v>
      </c>
      <c r="F379" s="11">
        <v>0.23200000000000001</v>
      </c>
      <c r="G379" s="3">
        <f t="shared" si="12"/>
        <v>1.9377904898105067E-2</v>
      </c>
      <c r="R379"/>
    </row>
    <row r="380" spans="1:18">
      <c r="A380" s="1">
        <v>6</v>
      </c>
      <c r="B380" s="1" t="s">
        <v>20</v>
      </c>
      <c r="C380" s="11">
        <v>0</v>
      </c>
      <c r="D380" s="11">
        <v>0</v>
      </c>
      <c r="E380" s="2">
        <f t="shared" si="11"/>
        <v>0</v>
      </c>
      <c r="F380" s="11">
        <v>0.22600000000000001</v>
      </c>
      <c r="G380" s="3" t="e">
        <f t="shared" si="12"/>
        <v>#DIV/0!</v>
      </c>
      <c r="R380"/>
    </row>
    <row r="381" spans="1:18">
      <c r="A381" s="1">
        <v>7</v>
      </c>
      <c r="B381" s="1" t="s">
        <v>20</v>
      </c>
      <c r="C381" s="11">
        <v>0</v>
      </c>
      <c r="D381" s="11">
        <v>0</v>
      </c>
      <c r="E381" s="2">
        <f t="shared" si="11"/>
        <v>0</v>
      </c>
      <c r="F381" s="11">
        <v>0.11</v>
      </c>
      <c r="G381" s="3" t="e">
        <f t="shared" si="12"/>
        <v>#DIV/0!</v>
      </c>
      <c r="R381"/>
    </row>
    <row r="382" spans="1:18">
      <c r="A382" s="1">
        <v>10</v>
      </c>
      <c r="B382" s="1" t="s">
        <v>20</v>
      </c>
      <c r="C382" s="11">
        <v>23.93</v>
      </c>
      <c r="D382" s="11">
        <v>23.7</v>
      </c>
      <c r="E382" s="2">
        <f t="shared" si="11"/>
        <v>0.23000000000000043</v>
      </c>
      <c r="F382" s="11">
        <v>0.40400000000000003</v>
      </c>
      <c r="G382" s="3">
        <f t="shared" si="12"/>
        <v>2.6493940660259108E-2</v>
      </c>
      <c r="R382"/>
    </row>
    <row r="383" spans="1:18">
      <c r="A383" s="1">
        <v>8</v>
      </c>
      <c r="B383" s="1" t="s">
        <v>20</v>
      </c>
      <c r="C383" s="11">
        <v>50.05</v>
      </c>
      <c r="D383" s="11">
        <v>49.92</v>
      </c>
      <c r="E383" s="2">
        <f t="shared" si="11"/>
        <v>0.12999999999999545</v>
      </c>
      <c r="F383" s="11">
        <v>0.26800000000000002</v>
      </c>
      <c r="G383" s="3">
        <f t="shared" si="12"/>
        <v>7.9520479520478627E-3</v>
      </c>
    </row>
    <row r="384" spans="1:18">
      <c r="A384" s="1">
        <v>9</v>
      </c>
      <c r="B384" s="1" t="s">
        <v>20</v>
      </c>
      <c r="C384" s="11">
        <v>25.23</v>
      </c>
      <c r="D384" s="11">
        <v>24.98</v>
      </c>
      <c r="E384" s="2">
        <f t="shared" si="11"/>
        <v>0.25</v>
      </c>
      <c r="F384" s="11">
        <v>0.55000000000000004</v>
      </c>
      <c r="G384" s="3">
        <f t="shared" si="12"/>
        <v>3.1708283789139917E-2</v>
      </c>
      <c r="R384"/>
    </row>
    <row r="385" spans="1:7" customFormat="1">
      <c r="A385" s="1">
        <v>11</v>
      </c>
      <c r="B385" s="1" t="s">
        <v>20</v>
      </c>
      <c r="C385" s="11">
        <v>0</v>
      </c>
      <c r="D385" s="11">
        <v>0</v>
      </c>
      <c r="E385" s="2">
        <f t="shared" si="11"/>
        <v>0</v>
      </c>
      <c r="F385" s="11">
        <v>0</v>
      </c>
      <c r="G385" s="3" t="e">
        <f t="shared" si="12"/>
        <v>#DIV/0!</v>
      </c>
    </row>
    <row r="386" spans="1:7" customFormat="1">
      <c r="A386" s="1">
        <v>12</v>
      </c>
      <c r="B386" s="1" t="s">
        <v>20</v>
      </c>
      <c r="C386" s="11">
        <v>107.11</v>
      </c>
      <c r="D386" s="11">
        <v>105.78</v>
      </c>
      <c r="E386" s="2">
        <f t="shared" si="11"/>
        <v>1.3299999999999983</v>
      </c>
      <c r="F386" s="11">
        <v>0.94799999999999995</v>
      </c>
      <c r="G386" s="3">
        <f t="shared" si="12"/>
        <v>2.1267855475679193E-2</v>
      </c>
    </row>
    <row r="387" spans="1:7" customFormat="1">
      <c r="A387" s="1">
        <v>13</v>
      </c>
      <c r="B387" s="1" t="s">
        <v>20</v>
      </c>
      <c r="C387" s="11">
        <v>72.099999999999994</v>
      </c>
      <c r="D387" s="11">
        <v>71.12</v>
      </c>
      <c r="E387" s="2">
        <f t="shared" si="11"/>
        <v>0.97999999999998977</v>
      </c>
      <c r="F387" s="11">
        <v>6.6000000000000003E-2</v>
      </c>
      <c r="G387" s="3">
        <f t="shared" si="12"/>
        <v>1.450762829403592E-2</v>
      </c>
    </row>
    <row r="388" spans="1:7" customFormat="1">
      <c r="A388" s="1">
        <v>14</v>
      </c>
      <c r="B388" s="1" t="s">
        <v>20</v>
      </c>
      <c r="C388" s="11">
        <v>25.55</v>
      </c>
      <c r="D388" s="11">
        <v>25.24</v>
      </c>
      <c r="E388" s="2">
        <f t="shared" ref="E388:E451" si="13">C388-D388</f>
        <v>0.31000000000000227</v>
      </c>
      <c r="F388" s="11">
        <v>0.878</v>
      </c>
      <c r="G388" s="3">
        <f t="shared" si="12"/>
        <v>4.6497064579256453E-2</v>
      </c>
    </row>
    <row r="389" spans="1:7" customFormat="1">
      <c r="A389" s="1">
        <v>15</v>
      </c>
      <c r="B389" s="1" t="s">
        <v>20</v>
      </c>
      <c r="C389" s="11">
        <v>58.29</v>
      </c>
      <c r="D389" s="11">
        <v>57.64</v>
      </c>
      <c r="E389" s="2">
        <f t="shared" si="13"/>
        <v>0.64999999999999858</v>
      </c>
      <c r="F389" s="11">
        <v>0.1</v>
      </c>
      <c r="G389" s="3">
        <f t="shared" si="12"/>
        <v>1.2866700977869249E-2</v>
      </c>
    </row>
    <row r="390" spans="1:7" customFormat="1">
      <c r="A390" s="1">
        <v>16</v>
      </c>
      <c r="B390" s="1" t="s">
        <v>20</v>
      </c>
      <c r="C390" s="11">
        <v>24</v>
      </c>
      <c r="D390" s="11">
        <v>23.72</v>
      </c>
      <c r="E390" s="2">
        <f t="shared" si="13"/>
        <v>0.28000000000000114</v>
      </c>
      <c r="F390" s="11">
        <v>0.11</v>
      </c>
      <c r="G390" s="3">
        <f t="shared" si="12"/>
        <v>1.6250000000000046E-2</v>
      </c>
    </row>
    <row r="391" spans="1:7" customFormat="1">
      <c r="A391" s="1">
        <v>17</v>
      </c>
      <c r="B391" s="1" t="s">
        <v>20</v>
      </c>
      <c r="C391" s="11">
        <v>26.77</v>
      </c>
      <c r="D391" s="11">
        <v>26.48</v>
      </c>
      <c r="E391" s="2">
        <f t="shared" si="13"/>
        <v>0.28999999999999915</v>
      </c>
      <c r="F391" s="11">
        <v>0.35799999999999998</v>
      </c>
      <c r="G391" s="3">
        <f t="shared" si="12"/>
        <v>2.4206200971236425E-2</v>
      </c>
    </row>
    <row r="392" spans="1:7" customFormat="1">
      <c r="A392" s="1">
        <v>18</v>
      </c>
      <c r="B392" s="1" t="s">
        <v>20</v>
      </c>
      <c r="C392" s="11">
        <v>25.75</v>
      </c>
      <c r="D392" s="11">
        <v>25.48</v>
      </c>
      <c r="E392" s="2">
        <f t="shared" si="13"/>
        <v>0.26999999999999957</v>
      </c>
      <c r="F392" s="11">
        <v>0.35799999999999998</v>
      </c>
      <c r="G392" s="3">
        <f t="shared" si="12"/>
        <v>2.438834951456309E-2</v>
      </c>
    </row>
    <row r="393" spans="1:7" customFormat="1">
      <c r="A393" s="1">
        <v>19</v>
      </c>
      <c r="B393" s="1" t="s">
        <v>20</v>
      </c>
      <c r="C393" s="11">
        <v>100.63</v>
      </c>
      <c r="D393" s="11">
        <v>99.399999999999991</v>
      </c>
      <c r="E393" s="2">
        <f t="shared" si="13"/>
        <v>1.230000000000004</v>
      </c>
      <c r="F393" s="11">
        <v>5.66</v>
      </c>
      <c r="G393" s="3">
        <f t="shared" si="12"/>
        <v>6.8468647520620138E-2</v>
      </c>
    </row>
    <row r="394" spans="1:7" customFormat="1">
      <c r="A394" s="1">
        <v>20</v>
      </c>
      <c r="B394" s="1" t="s">
        <v>20</v>
      </c>
      <c r="C394" s="11">
        <v>26.03</v>
      </c>
      <c r="D394" s="11">
        <v>25.74</v>
      </c>
      <c r="E394" s="2">
        <f t="shared" si="13"/>
        <v>0.2900000000000027</v>
      </c>
      <c r="F394" s="11">
        <v>9.1999999999998749E-2</v>
      </c>
      <c r="G394" s="3">
        <f t="shared" si="12"/>
        <v>1.4675374567806432E-2</v>
      </c>
    </row>
    <row r="395" spans="1:7" customFormat="1">
      <c r="A395" s="1">
        <v>21</v>
      </c>
      <c r="B395" s="1" t="s">
        <v>20</v>
      </c>
      <c r="C395" s="11">
        <v>54.19</v>
      </c>
      <c r="D395" s="11">
        <v>53.46</v>
      </c>
      <c r="E395" s="2">
        <f t="shared" si="13"/>
        <v>0.72999999999999687</v>
      </c>
      <c r="F395" s="11">
        <v>1.0999999999999999E-2</v>
      </c>
      <c r="G395" s="3">
        <f t="shared" si="12"/>
        <v>1.3674109614319929E-2</v>
      </c>
    </row>
    <row r="396" spans="1:7" customFormat="1">
      <c r="A396" s="1">
        <v>22</v>
      </c>
      <c r="B396" s="1" t="s">
        <v>20</v>
      </c>
      <c r="C396" s="11">
        <v>0</v>
      </c>
      <c r="D396" s="11">
        <v>0</v>
      </c>
      <c r="E396" s="2">
        <f t="shared" si="13"/>
        <v>0</v>
      </c>
      <c r="F396" s="11">
        <v>0.88700000000000001</v>
      </c>
      <c r="G396" s="3" t="e">
        <f t="shared" si="12"/>
        <v>#DIV/0!</v>
      </c>
    </row>
    <row r="397" spans="1:7" customFormat="1">
      <c r="A397" s="1">
        <v>23</v>
      </c>
      <c r="B397" s="1" t="s">
        <v>20</v>
      </c>
      <c r="C397" s="11">
        <v>84.64</v>
      </c>
      <c r="D397" s="11">
        <v>83.7</v>
      </c>
      <c r="E397" s="2">
        <f t="shared" si="13"/>
        <v>0.93999999999999773</v>
      </c>
      <c r="F397" s="11">
        <v>0.40400000000000003</v>
      </c>
      <c r="G397" s="3">
        <f t="shared" si="12"/>
        <v>1.5879017013232487E-2</v>
      </c>
    </row>
    <row r="398" spans="1:7" customFormat="1">
      <c r="A398" s="1">
        <v>24</v>
      </c>
      <c r="B398" s="1" t="s">
        <v>20</v>
      </c>
      <c r="C398" s="11">
        <v>28.03</v>
      </c>
      <c r="D398" s="11">
        <v>27.72</v>
      </c>
      <c r="E398" s="2">
        <f t="shared" si="13"/>
        <v>0.31000000000000227</v>
      </c>
      <c r="F398" s="11">
        <v>0.36</v>
      </c>
      <c r="G398" s="3">
        <f t="shared" si="12"/>
        <v>2.3902961113093195E-2</v>
      </c>
    </row>
    <row r="399" spans="1:7" customFormat="1">
      <c r="A399" s="1">
        <v>25</v>
      </c>
      <c r="B399" s="1" t="s">
        <v>20</v>
      </c>
      <c r="C399" s="11">
        <v>26.41</v>
      </c>
      <c r="D399" s="11">
        <v>26</v>
      </c>
      <c r="E399" s="2">
        <f t="shared" si="13"/>
        <v>0.41000000000000014</v>
      </c>
      <c r="F399" s="11">
        <v>0.54400000000000004</v>
      </c>
      <c r="G399" s="3">
        <f t="shared" si="12"/>
        <v>3.6122680802726244E-2</v>
      </c>
    </row>
    <row r="400" spans="1:7" customFormat="1">
      <c r="A400" s="1">
        <v>26</v>
      </c>
      <c r="B400" s="1" t="s">
        <v>20</v>
      </c>
      <c r="C400" s="11">
        <v>164.6</v>
      </c>
      <c r="D400" s="11">
        <v>162.68</v>
      </c>
      <c r="E400" s="2">
        <f t="shared" si="13"/>
        <v>1.9199999999999875</v>
      </c>
      <c r="F400" s="11">
        <v>7.76</v>
      </c>
      <c r="G400" s="3">
        <f t="shared" si="12"/>
        <v>5.8809234507897858E-2</v>
      </c>
    </row>
    <row r="401" spans="1:18">
      <c r="A401" s="1">
        <v>27</v>
      </c>
      <c r="B401" s="1" t="s">
        <v>20</v>
      </c>
      <c r="C401" s="11">
        <v>26.51</v>
      </c>
      <c r="D401" s="11">
        <v>26.18</v>
      </c>
      <c r="E401" s="2">
        <f t="shared" si="13"/>
        <v>0.33000000000000185</v>
      </c>
      <c r="F401" s="11">
        <v>0.36</v>
      </c>
      <c r="G401" s="3">
        <f t="shared" si="12"/>
        <v>2.6027913994719043E-2</v>
      </c>
      <c r="R401"/>
    </row>
    <row r="402" spans="1:18">
      <c r="A402" s="1">
        <v>28</v>
      </c>
      <c r="B402" s="1" t="s">
        <v>20</v>
      </c>
      <c r="C402" s="11">
        <v>27.2</v>
      </c>
      <c r="D402" s="11">
        <v>26.9</v>
      </c>
      <c r="E402" s="2">
        <f t="shared" si="13"/>
        <v>0.30000000000000071</v>
      </c>
      <c r="F402" s="11">
        <v>0.12</v>
      </c>
      <c r="G402" s="3">
        <f t="shared" si="12"/>
        <v>1.5441176470588262E-2</v>
      </c>
      <c r="R402"/>
    </row>
    <row r="403" spans="1:18">
      <c r="A403" s="1">
        <v>29</v>
      </c>
      <c r="B403" s="1" t="s">
        <v>20</v>
      </c>
      <c r="C403" s="11">
        <v>185.14</v>
      </c>
      <c r="D403" s="11">
        <v>182.94</v>
      </c>
      <c r="E403" s="2">
        <f t="shared" si="13"/>
        <v>2.1999999999999886</v>
      </c>
      <c r="F403" s="11">
        <v>0.441</v>
      </c>
      <c r="G403" s="3">
        <f t="shared" si="12"/>
        <v>1.4264880630873873E-2</v>
      </c>
      <c r="R403"/>
    </row>
    <row r="404" spans="1:18">
      <c r="A404" s="1">
        <v>30</v>
      </c>
      <c r="B404" s="1" t="s">
        <v>20</v>
      </c>
      <c r="C404" s="11">
        <v>23.86</v>
      </c>
      <c r="D404" s="11">
        <v>23.52</v>
      </c>
      <c r="E404" s="2">
        <f t="shared" si="13"/>
        <v>0.33999999999999986</v>
      </c>
      <c r="F404" s="11">
        <v>3.3000000000000002E-2</v>
      </c>
      <c r="G404" s="3">
        <f t="shared" si="12"/>
        <v>1.5632858340318519E-2</v>
      </c>
      <c r="R404"/>
    </row>
    <row r="405" spans="1:18">
      <c r="A405" s="1">
        <v>31</v>
      </c>
      <c r="B405" s="1" t="s">
        <v>20</v>
      </c>
      <c r="C405" s="11">
        <v>27.85</v>
      </c>
      <c r="D405" s="11">
        <v>27.6</v>
      </c>
      <c r="E405" s="2">
        <f t="shared" si="13"/>
        <v>0.25</v>
      </c>
      <c r="F405" s="11">
        <v>0.44</v>
      </c>
      <c r="G405" s="3">
        <f t="shared" si="12"/>
        <v>2.4775583482944341E-2</v>
      </c>
      <c r="R405"/>
    </row>
    <row r="406" spans="1:18">
      <c r="A406" s="1">
        <v>1</v>
      </c>
      <c r="B406" s="1" t="s">
        <v>21</v>
      </c>
      <c r="C406" s="11">
        <v>0</v>
      </c>
      <c r="D406" s="11">
        <v>0</v>
      </c>
      <c r="E406" s="2">
        <f t="shared" si="13"/>
        <v>0</v>
      </c>
      <c r="F406" s="11">
        <v>0</v>
      </c>
      <c r="G406" s="3" t="e">
        <f t="shared" si="12"/>
        <v>#DIV/0!</v>
      </c>
      <c r="R406"/>
    </row>
    <row r="407" spans="1:18">
      <c r="A407" s="1">
        <v>2</v>
      </c>
      <c r="B407" s="1" t="s">
        <v>21</v>
      </c>
      <c r="C407" s="11">
        <v>26.79</v>
      </c>
      <c r="D407" s="11">
        <v>26.63</v>
      </c>
      <c r="E407" s="2">
        <f t="shared" si="13"/>
        <v>0.16000000000000014</v>
      </c>
      <c r="F407" s="11">
        <v>0</v>
      </c>
      <c r="G407" s="3">
        <f t="shared" si="12"/>
        <v>5.9723777528928757E-3</v>
      </c>
      <c r="R407"/>
    </row>
    <row r="408" spans="1:18">
      <c r="A408" s="1">
        <v>3</v>
      </c>
      <c r="B408" s="1" t="s">
        <v>21</v>
      </c>
      <c r="C408" s="11">
        <v>27.38</v>
      </c>
      <c r="D408" s="11">
        <v>27.15</v>
      </c>
      <c r="E408" s="2">
        <f t="shared" si="13"/>
        <v>0.23000000000000043</v>
      </c>
      <c r="F408" s="11">
        <v>0</v>
      </c>
      <c r="G408" s="3">
        <f t="shared" si="12"/>
        <v>8.4002921840759838E-3</v>
      </c>
      <c r="R408"/>
    </row>
    <row r="409" spans="1:18">
      <c r="A409" s="1">
        <v>4</v>
      </c>
      <c r="B409" s="1" t="s">
        <v>21</v>
      </c>
      <c r="C409" s="11">
        <v>27.57</v>
      </c>
      <c r="D409" s="11">
        <v>27.52</v>
      </c>
      <c r="E409" s="2">
        <f t="shared" si="13"/>
        <v>5.0000000000000711E-2</v>
      </c>
      <c r="F409" s="11">
        <v>2.17</v>
      </c>
      <c r="G409" s="3">
        <f t="shared" si="12"/>
        <v>8.0522306855277503E-2</v>
      </c>
      <c r="R409"/>
    </row>
    <row r="410" spans="1:18">
      <c r="A410" s="1">
        <v>5</v>
      </c>
      <c r="B410" s="1" t="s">
        <v>21</v>
      </c>
      <c r="C410" s="11">
        <v>25.42</v>
      </c>
      <c r="D410" s="11">
        <v>25.37</v>
      </c>
      <c r="E410" s="2">
        <f t="shared" si="13"/>
        <v>5.0000000000000711E-2</v>
      </c>
      <c r="F410" s="11">
        <v>0.21</v>
      </c>
      <c r="G410" s="3">
        <f t="shared" si="12"/>
        <v>1.0228166797797035E-2</v>
      </c>
      <c r="R410"/>
    </row>
    <row r="411" spans="1:18">
      <c r="A411" s="1">
        <v>6</v>
      </c>
      <c r="B411" s="1" t="s">
        <v>21</v>
      </c>
      <c r="C411" s="11">
        <v>83.16</v>
      </c>
      <c r="D411" s="11">
        <v>82.37</v>
      </c>
      <c r="E411" s="2">
        <f t="shared" si="13"/>
        <v>0.78999999999999204</v>
      </c>
      <c r="F411" s="11">
        <v>0</v>
      </c>
      <c r="G411" s="3">
        <f t="shared" si="12"/>
        <v>9.499759499759404E-3</v>
      </c>
      <c r="R411"/>
    </row>
    <row r="412" spans="1:18">
      <c r="A412" s="1">
        <v>7</v>
      </c>
      <c r="B412" s="1" t="s">
        <v>21</v>
      </c>
      <c r="C412" s="11">
        <v>0</v>
      </c>
      <c r="D412" s="11">
        <v>0</v>
      </c>
      <c r="E412" s="2">
        <f t="shared" si="13"/>
        <v>0</v>
      </c>
      <c r="F412" s="11">
        <v>0.17599999999999999</v>
      </c>
      <c r="G412" s="3" t="e">
        <f t="shared" si="12"/>
        <v>#DIV/0!</v>
      </c>
      <c r="R412"/>
    </row>
    <row r="413" spans="1:18">
      <c r="A413" s="1">
        <v>10</v>
      </c>
      <c r="B413" s="1" t="s">
        <v>21</v>
      </c>
      <c r="C413" s="11">
        <v>28.81</v>
      </c>
      <c r="D413" s="11">
        <v>28.64</v>
      </c>
      <c r="E413" s="2">
        <f t="shared" si="13"/>
        <v>0.16999999999999815</v>
      </c>
      <c r="F413" s="11">
        <v>0.188</v>
      </c>
      <c r="G413" s="3">
        <f t="shared" si="12"/>
        <v>1.2426240888580291E-2</v>
      </c>
      <c r="R413"/>
    </row>
    <row r="414" spans="1:18">
      <c r="A414" s="1">
        <v>8</v>
      </c>
      <c r="B414" s="1" t="s">
        <v>21</v>
      </c>
      <c r="C414" s="11">
        <v>27.5</v>
      </c>
      <c r="D414" s="11">
        <v>26.97</v>
      </c>
      <c r="E414" s="2">
        <f t="shared" si="13"/>
        <v>0.53000000000000114</v>
      </c>
      <c r="F414" s="11">
        <v>0</v>
      </c>
      <c r="G414" s="3">
        <f t="shared" si="12"/>
        <v>1.9272727272727313E-2</v>
      </c>
    </row>
    <row r="415" spans="1:18">
      <c r="A415" s="1">
        <v>9</v>
      </c>
      <c r="B415" s="1" t="s">
        <v>21</v>
      </c>
      <c r="C415" s="11">
        <v>0</v>
      </c>
      <c r="D415" s="11">
        <v>0</v>
      </c>
      <c r="E415" s="2">
        <f t="shared" si="13"/>
        <v>0</v>
      </c>
      <c r="F415" s="11">
        <v>0.378</v>
      </c>
      <c r="G415" s="3" t="e">
        <f t="shared" si="12"/>
        <v>#DIV/0!</v>
      </c>
      <c r="R415"/>
    </row>
    <row r="416" spans="1:18">
      <c r="A416" s="1">
        <v>11</v>
      </c>
      <c r="B416" s="1" t="s">
        <v>21</v>
      </c>
      <c r="C416" s="11">
        <v>24.3</v>
      </c>
      <c r="D416" s="11">
        <v>23.93</v>
      </c>
      <c r="E416" s="2">
        <f t="shared" si="13"/>
        <v>0.37000000000000099</v>
      </c>
      <c r="F416" s="11">
        <v>0</v>
      </c>
      <c r="G416" s="3">
        <f t="shared" si="12"/>
        <v>1.5226337448559711E-2</v>
      </c>
      <c r="R416"/>
    </row>
    <row r="417" spans="1:7" customFormat="1">
      <c r="A417" s="1">
        <v>12</v>
      </c>
      <c r="B417" s="1" t="s">
        <v>21</v>
      </c>
      <c r="C417" s="11">
        <v>22.02</v>
      </c>
      <c r="D417" s="11">
        <v>21.94</v>
      </c>
      <c r="E417" s="2">
        <f t="shared" si="13"/>
        <v>7.9999999999998295E-2</v>
      </c>
      <c r="F417" s="11">
        <v>0</v>
      </c>
      <c r="G417" s="3">
        <f t="shared" si="12"/>
        <v>3.6330608537692233E-3</v>
      </c>
    </row>
    <row r="418" spans="1:7" customFormat="1">
      <c r="A418" s="1">
        <v>13</v>
      </c>
      <c r="B418" s="1" t="s">
        <v>21</v>
      </c>
      <c r="C418" s="11">
        <v>27.16</v>
      </c>
      <c r="D418" s="11">
        <v>26.95</v>
      </c>
      <c r="E418" s="2">
        <f t="shared" si="13"/>
        <v>0.21000000000000085</v>
      </c>
      <c r="F418" s="11">
        <v>0.16000000000000014</v>
      </c>
      <c r="G418" s="3">
        <f t="shared" si="12"/>
        <v>1.3622974963181185E-2</v>
      </c>
    </row>
    <row r="419" spans="1:7" customFormat="1">
      <c r="A419" s="1">
        <v>14</v>
      </c>
      <c r="B419" s="1" t="s">
        <v>21</v>
      </c>
      <c r="C419" s="11">
        <v>0</v>
      </c>
      <c r="D419" s="11">
        <v>0</v>
      </c>
      <c r="E419" s="2">
        <f t="shared" si="13"/>
        <v>0</v>
      </c>
      <c r="F419" s="11">
        <v>0</v>
      </c>
      <c r="G419" s="3" t="e">
        <f t="shared" si="12"/>
        <v>#DIV/0!</v>
      </c>
    </row>
    <row r="420" spans="1:7" customFormat="1">
      <c r="A420" s="1">
        <v>15</v>
      </c>
      <c r="B420" s="1" t="s">
        <v>21</v>
      </c>
      <c r="C420" s="11">
        <v>27.9</v>
      </c>
      <c r="D420" s="11">
        <v>27.11</v>
      </c>
      <c r="E420" s="2">
        <f t="shared" si="13"/>
        <v>0.78999999999999915</v>
      </c>
      <c r="F420" s="11">
        <v>0</v>
      </c>
      <c r="G420" s="3">
        <f t="shared" si="12"/>
        <v>2.8315412186379899E-2</v>
      </c>
    </row>
    <row r="421" spans="1:7" customFormat="1">
      <c r="A421" s="1">
        <v>16</v>
      </c>
      <c r="B421" s="1" t="s">
        <v>21</v>
      </c>
      <c r="C421" s="11">
        <v>0</v>
      </c>
      <c r="D421" s="11">
        <v>0</v>
      </c>
      <c r="E421" s="2">
        <f t="shared" si="13"/>
        <v>0</v>
      </c>
      <c r="F421" s="11">
        <v>0</v>
      </c>
      <c r="G421" s="3" t="e">
        <f t="shared" ref="G421:G484" si="14">(E421+F421)/C421</f>
        <v>#DIV/0!</v>
      </c>
    </row>
    <row r="422" spans="1:7" customFormat="1">
      <c r="A422" s="1">
        <v>17</v>
      </c>
      <c r="B422" s="1" t="s">
        <v>21</v>
      </c>
      <c r="C422" s="11">
        <v>29.76</v>
      </c>
      <c r="D422" s="11">
        <v>29.48</v>
      </c>
      <c r="E422" s="2">
        <f t="shared" si="13"/>
        <v>0.28000000000000114</v>
      </c>
      <c r="F422" s="11">
        <v>0</v>
      </c>
      <c r="G422" s="3">
        <f t="shared" si="14"/>
        <v>9.4086021505376729E-3</v>
      </c>
    </row>
    <row r="423" spans="1:7" customFormat="1">
      <c r="A423" s="1">
        <v>18</v>
      </c>
      <c r="B423" s="1" t="s">
        <v>21</v>
      </c>
      <c r="C423" s="11">
        <v>26.24</v>
      </c>
      <c r="D423" s="11">
        <v>26.11</v>
      </c>
      <c r="E423" s="2">
        <f t="shared" si="13"/>
        <v>0.12999999999999901</v>
      </c>
      <c r="F423" s="11">
        <v>1.1000000000000001</v>
      </c>
      <c r="G423" s="3">
        <f t="shared" si="14"/>
        <v>4.6874999999999965E-2</v>
      </c>
    </row>
    <row r="424" spans="1:7" customFormat="1">
      <c r="A424" s="1">
        <v>19</v>
      </c>
      <c r="B424" s="1" t="s">
        <v>21</v>
      </c>
      <c r="C424" s="11">
        <v>52.7</v>
      </c>
      <c r="D424" s="11">
        <v>48.87</v>
      </c>
      <c r="E424" s="2">
        <f t="shared" si="13"/>
        <v>3.8300000000000054</v>
      </c>
      <c r="F424" s="11">
        <v>0</v>
      </c>
      <c r="G424" s="3">
        <f t="shared" si="14"/>
        <v>7.2675521821631978E-2</v>
      </c>
    </row>
    <row r="425" spans="1:7" customFormat="1">
      <c r="A425" s="1">
        <v>20</v>
      </c>
      <c r="B425" s="1" t="s">
        <v>21</v>
      </c>
      <c r="C425" s="11">
        <v>23.33</v>
      </c>
      <c r="D425" s="11">
        <v>23.03</v>
      </c>
      <c r="E425" s="2">
        <f t="shared" si="13"/>
        <v>0.29999999999999716</v>
      </c>
      <c r="F425" s="11">
        <v>0.8</v>
      </c>
      <c r="G425" s="3">
        <f t="shared" si="14"/>
        <v>4.7149592798971164E-2</v>
      </c>
    </row>
    <row r="426" spans="1:7" customFormat="1">
      <c r="A426" s="1">
        <v>21</v>
      </c>
      <c r="B426" s="1" t="s">
        <v>21</v>
      </c>
      <c r="C426" s="11">
        <v>208.33</v>
      </c>
      <c r="D426" s="11">
        <v>206.17</v>
      </c>
      <c r="E426" s="2">
        <f t="shared" si="13"/>
        <v>2.160000000000025</v>
      </c>
      <c r="F426" s="11">
        <v>0</v>
      </c>
      <c r="G426" s="3">
        <f t="shared" si="14"/>
        <v>1.036816589065437E-2</v>
      </c>
    </row>
    <row r="427" spans="1:7" customFormat="1">
      <c r="A427" s="1">
        <v>22</v>
      </c>
      <c r="B427" s="1" t="s">
        <v>21</v>
      </c>
      <c r="C427" s="11">
        <v>102.02</v>
      </c>
      <c r="D427" s="11">
        <v>100.55</v>
      </c>
      <c r="E427" s="2">
        <f t="shared" si="13"/>
        <v>1.4699999999999989</v>
      </c>
      <c r="F427" s="11">
        <v>0</v>
      </c>
      <c r="G427" s="3">
        <f t="shared" si="14"/>
        <v>1.4408939423642412E-2</v>
      </c>
    </row>
    <row r="428" spans="1:7" customFormat="1">
      <c r="A428" s="1">
        <v>23</v>
      </c>
      <c r="B428" s="1" t="s">
        <v>21</v>
      </c>
      <c r="C428" s="11">
        <v>24.01</v>
      </c>
      <c r="D428" s="11">
        <v>23.99</v>
      </c>
      <c r="E428" s="2">
        <f t="shared" si="13"/>
        <v>2.0000000000003126E-2</v>
      </c>
      <c r="F428" s="11">
        <v>0</v>
      </c>
      <c r="G428" s="3">
        <f t="shared" si="14"/>
        <v>8.3298625572691065E-4</v>
      </c>
    </row>
    <row r="429" spans="1:7" customFormat="1">
      <c r="A429" s="1">
        <v>24</v>
      </c>
      <c r="B429" s="1" t="s">
        <v>21</v>
      </c>
      <c r="C429" s="11">
        <v>41.84</v>
      </c>
      <c r="D429" s="11">
        <v>41.26</v>
      </c>
      <c r="E429" s="2">
        <f t="shared" si="13"/>
        <v>0.5800000000000054</v>
      </c>
      <c r="F429" s="11">
        <v>0.72</v>
      </c>
      <c r="G429" s="3">
        <f t="shared" si="14"/>
        <v>3.1070745697896876E-2</v>
      </c>
    </row>
    <row r="430" spans="1:7" customFormat="1">
      <c r="A430" s="1">
        <v>25</v>
      </c>
      <c r="B430" s="1" t="s">
        <v>21</v>
      </c>
      <c r="C430" s="11">
        <v>46.15</v>
      </c>
      <c r="D430" s="11">
        <v>45.62</v>
      </c>
      <c r="E430" s="2">
        <f t="shared" si="13"/>
        <v>0.53000000000000114</v>
      </c>
      <c r="F430" s="11">
        <v>0.19800000000000001</v>
      </c>
      <c r="G430" s="3">
        <f t="shared" si="14"/>
        <v>1.5774647887323967E-2</v>
      </c>
    </row>
    <row r="431" spans="1:7" customFormat="1">
      <c r="A431" s="1">
        <v>26</v>
      </c>
      <c r="B431" s="1" t="s">
        <v>21</v>
      </c>
      <c r="C431" s="11">
        <v>24.94</v>
      </c>
      <c r="D431" s="11">
        <v>24.84</v>
      </c>
      <c r="E431" s="2">
        <f t="shared" si="13"/>
        <v>0.10000000000000142</v>
      </c>
      <c r="F431" s="11">
        <v>0.21</v>
      </c>
      <c r="G431" s="3">
        <f t="shared" si="14"/>
        <v>1.2429831595830047E-2</v>
      </c>
    </row>
    <row r="432" spans="1:7" customFormat="1">
      <c r="A432" s="1">
        <v>27</v>
      </c>
      <c r="B432" s="1" t="s">
        <v>21</v>
      </c>
      <c r="C432" s="11">
        <v>46.56</v>
      </c>
      <c r="D432" s="11">
        <v>46.05</v>
      </c>
      <c r="E432" s="2">
        <f t="shared" si="13"/>
        <v>0.51000000000000512</v>
      </c>
      <c r="F432" s="11">
        <v>0.20599999999999999</v>
      </c>
      <c r="G432" s="3">
        <f t="shared" si="14"/>
        <v>1.5378006872852342E-2</v>
      </c>
    </row>
    <row r="433" spans="1:18">
      <c r="A433" s="1">
        <v>28</v>
      </c>
      <c r="B433" s="1" t="s">
        <v>21</v>
      </c>
      <c r="C433" s="11">
        <v>54.17</v>
      </c>
      <c r="D433" s="11">
        <v>53.78</v>
      </c>
      <c r="E433" s="2">
        <f t="shared" si="13"/>
        <v>0.39000000000000057</v>
      </c>
      <c r="F433" s="11">
        <v>0</v>
      </c>
      <c r="G433" s="3">
        <f t="shared" si="14"/>
        <v>7.1995569503415279E-3</v>
      </c>
      <c r="R433"/>
    </row>
    <row r="434" spans="1:18">
      <c r="A434" s="1">
        <v>29</v>
      </c>
      <c r="B434" s="1" t="s">
        <v>21</v>
      </c>
      <c r="C434" s="11">
        <v>23.63</v>
      </c>
      <c r="D434" s="11">
        <v>23.37</v>
      </c>
      <c r="E434" s="2">
        <f t="shared" si="13"/>
        <v>0.25999999999999801</v>
      </c>
      <c r="F434" s="11">
        <v>0.11799999999999999</v>
      </c>
      <c r="G434" s="3">
        <f t="shared" si="14"/>
        <v>1.5996614473127297E-2</v>
      </c>
      <c r="R434"/>
    </row>
    <row r="435" spans="1:18">
      <c r="A435" s="1">
        <v>30</v>
      </c>
      <c r="B435" s="1" t="s">
        <v>21</v>
      </c>
      <c r="C435" s="11">
        <v>150.97999999999999</v>
      </c>
      <c r="D435" s="11">
        <v>149.18</v>
      </c>
      <c r="E435" s="2">
        <f t="shared" si="13"/>
        <v>1.7999999999999829</v>
      </c>
      <c r="F435" s="11">
        <v>0.96799999999999997</v>
      </c>
      <c r="G435" s="3">
        <f t="shared" si="14"/>
        <v>1.8333554113127454E-2</v>
      </c>
      <c r="R435"/>
    </row>
    <row r="436" spans="1:18">
      <c r="A436" s="1">
        <v>31</v>
      </c>
      <c r="B436" s="1" t="s">
        <v>21</v>
      </c>
      <c r="C436" s="11">
        <v>25.76</v>
      </c>
      <c r="D436" s="11">
        <v>25.39</v>
      </c>
      <c r="E436" s="2">
        <f t="shared" si="13"/>
        <v>0.37000000000000099</v>
      </c>
      <c r="F436" s="11">
        <v>1.883</v>
      </c>
      <c r="G436" s="3">
        <f t="shared" si="14"/>
        <v>8.7461180124223631E-2</v>
      </c>
      <c r="R436"/>
    </row>
    <row r="437" spans="1:18">
      <c r="A437" s="1">
        <v>1</v>
      </c>
      <c r="B437" s="1" t="s">
        <v>22</v>
      </c>
      <c r="C437" s="11">
        <v>0</v>
      </c>
      <c r="D437" s="11">
        <v>0</v>
      </c>
      <c r="E437" s="2">
        <f t="shared" si="13"/>
        <v>0</v>
      </c>
      <c r="F437" s="11">
        <v>0.14399999999999999</v>
      </c>
      <c r="G437" s="3" t="e">
        <f t="shared" si="14"/>
        <v>#DIV/0!</v>
      </c>
      <c r="R437"/>
    </row>
    <row r="438" spans="1:18">
      <c r="A438" s="1">
        <v>2</v>
      </c>
      <c r="B438" s="1" t="s">
        <v>22</v>
      </c>
      <c r="C438" s="11">
        <v>26.5</v>
      </c>
      <c r="D438" s="11">
        <v>26.45</v>
      </c>
      <c r="E438" s="2">
        <f t="shared" si="13"/>
        <v>5.0000000000000711E-2</v>
      </c>
      <c r="F438" s="11">
        <v>0.154</v>
      </c>
      <c r="G438" s="3">
        <f t="shared" si="14"/>
        <v>7.6981132075471968E-3</v>
      </c>
      <c r="R438"/>
    </row>
    <row r="439" spans="1:18">
      <c r="A439" s="1">
        <v>3</v>
      </c>
      <c r="B439" s="1" t="s">
        <v>22</v>
      </c>
      <c r="C439" s="11">
        <v>52.65</v>
      </c>
      <c r="D439" s="11">
        <v>52.49</v>
      </c>
      <c r="E439" s="2">
        <f t="shared" si="13"/>
        <v>0.15999999999999659</v>
      </c>
      <c r="F439" s="11">
        <v>0.19</v>
      </c>
      <c r="G439" s="3">
        <f t="shared" si="14"/>
        <v>6.6476733143399167E-3</v>
      </c>
      <c r="R439"/>
    </row>
    <row r="440" spans="1:18">
      <c r="A440" s="1">
        <v>4</v>
      </c>
      <c r="B440" s="1" t="s">
        <v>22</v>
      </c>
      <c r="C440" s="11">
        <v>0</v>
      </c>
      <c r="D440" s="11">
        <v>0</v>
      </c>
      <c r="E440" s="2">
        <f t="shared" si="13"/>
        <v>0</v>
      </c>
      <c r="F440" s="11">
        <v>0.16</v>
      </c>
      <c r="G440" s="3" t="e">
        <f t="shared" si="14"/>
        <v>#DIV/0!</v>
      </c>
      <c r="R440"/>
    </row>
    <row r="441" spans="1:18">
      <c r="A441" s="1">
        <v>5</v>
      </c>
      <c r="B441" s="1" t="s">
        <v>22</v>
      </c>
      <c r="C441" s="11">
        <v>29.4</v>
      </c>
      <c r="D441" s="11">
        <v>29.21</v>
      </c>
      <c r="E441" s="2">
        <f t="shared" si="13"/>
        <v>0.18999999999999773</v>
      </c>
      <c r="F441" s="11">
        <v>0.24199999999999999</v>
      </c>
      <c r="G441" s="3">
        <f t="shared" si="14"/>
        <v>1.4693877551020331E-2</v>
      </c>
      <c r="R441"/>
    </row>
    <row r="442" spans="1:18">
      <c r="A442" s="1">
        <v>6</v>
      </c>
      <c r="B442" s="1" t="s">
        <v>22</v>
      </c>
      <c r="C442" s="11">
        <v>0</v>
      </c>
      <c r="D442" s="11">
        <v>0</v>
      </c>
      <c r="E442" s="2">
        <f t="shared" si="13"/>
        <v>0</v>
      </c>
      <c r="F442" s="11">
        <v>0.13400000000000001</v>
      </c>
      <c r="G442" s="3" t="e">
        <f t="shared" si="14"/>
        <v>#DIV/0!</v>
      </c>
      <c r="R442"/>
    </row>
    <row r="443" spans="1:18">
      <c r="A443" s="1">
        <v>7</v>
      </c>
      <c r="B443" s="1" t="s">
        <v>22</v>
      </c>
      <c r="C443" s="11">
        <v>56.74</v>
      </c>
      <c r="D443" s="11">
        <v>56.49</v>
      </c>
      <c r="E443" s="2">
        <f t="shared" si="13"/>
        <v>0.25</v>
      </c>
      <c r="F443" s="11">
        <v>0.19800000000000001</v>
      </c>
      <c r="G443" s="3">
        <f t="shared" si="14"/>
        <v>7.8956644342615435E-3</v>
      </c>
      <c r="R443"/>
    </row>
    <row r="444" spans="1:18">
      <c r="A444" s="1">
        <v>10</v>
      </c>
      <c r="B444" s="1" t="s">
        <v>22</v>
      </c>
      <c r="C444" s="11">
        <v>31.14</v>
      </c>
      <c r="D444" s="11">
        <v>31.08</v>
      </c>
      <c r="E444" s="2">
        <f t="shared" si="13"/>
        <v>6.0000000000002274E-2</v>
      </c>
      <c r="F444" s="11">
        <v>0.17199999999999999</v>
      </c>
      <c r="G444" s="3">
        <f t="shared" si="14"/>
        <v>7.4502247912653259E-3</v>
      </c>
      <c r="R444"/>
    </row>
    <row r="445" spans="1:18">
      <c r="A445" s="1">
        <v>8</v>
      </c>
      <c r="B445" s="1" t="s">
        <v>22</v>
      </c>
      <c r="C445" s="11">
        <v>25.4</v>
      </c>
      <c r="D445" s="11">
        <v>25.32</v>
      </c>
      <c r="E445" s="2">
        <f t="shared" si="13"/>
        <v>7.9999999999998295E-2</v>
      </c>
      <c r="F445" s="11">
        <v>0.128</v>
      </c>
      <c r="G445" s="3">
        <f t="shared" si="14"/>
        <v>8.1889763779526888E-3</v>
      </c>
    </row>
    <row r="446" spans="1:18">
      <c r="A446" s="1">
        <v>9</v>
      </c>
      <c r="B446" s="1" t="s">
        <v>22</v>
      </c>
      <c r="C446" s="11">
        <v>0</v>
      </c>
      <c r="D446" s="11">
        <v>0</v>
      </c>
      <c r="E446" s="2">
        <f t="shared" si="13"/>
        <v>0</v>
      </c>
      <c r="F446" s="11">
        <v>0.214</v>
      </c>
      <c r="G446" s="3" t="e">
        <f t="shared" si="14"/>
        <v>#DIV/0!</v>
      </c>
      <c r="R446"/>
    </row>
    <row r="447" spans="1:18">
      <c r="A447" s="1">
        <v>11</v>
      </c>
      <c r="B447" s="1" t="s">
        <v>22</v>
      </c>
      <c r="C447" s="11">
        <v>27.59</v>
      </c>
      <c r="D447" s="11">
        <v>27.47</v>
      </c>
      <c r="E447" s="2">
        <f t="shared" si="13"/>
        <v>0.12000000000000099</v>
      </c>
      <c r="F447" s="11">
        <v>0.126</v>
      </c>
      <c r="G447" s="3">
        <f t="shared" si="14"/>
        <v>8.9162740123233421E-3</v>
      </c>
      <c r="R447"/>
    </row>
    <row r="448" spans="1:18">
      <c r="A448" s="1">
        <v>12</v>
      </c>
      <c r="B448" s="1" t="s">
        <v>22</v>
      </c>
      <c r="C448" s="11">
        <v>28.83</v>
      </c>
      <c r="D448" s="11">
        <v>28.61</v>
      </c>
      <c r="E448" s="2">
        <f t="shared" si="13"/>
        <v>0.21999999999999886</v>
      </c>
      <c r="F448" s="11">
        <v>0.13</v>
      </c>
      <c r="G448" s="3">
        <f t="shared" si="14"/>
        <v>1.2140131807145297E-2</v>
      </c>
      <c r="R448"/>
    </row>
    <row r="449" spans="1:7" customFormat="1">
      <c r="A449" s="1">
        <v>13</v>
      </c>
      <c r="B449" s="1" t="s">
        <v>22</v>
      </c>
      <c r="C449" s="11">
        <v>29.9</v>
      </c>
      <c r="D449" s="11">
        <v>29.7</v>
      </c>
      <c r="E449" s="2">
        <f t="shared" si="13"/>
        <v>0.19999999999999929</v>
      </c>
      <c r="F449" s="11">
        <v>0.13200000000000001</v>
      </c>
      <c r="G449" s="3">
        <f t="shared" si="14"/>
        <v>1.1103678929765864E-2</v>
      </c>
    </row>
    <row r="450" spans="1:7" customFormat="1">
      <c r="A450" s="1">
        <v>14</v>
      </c>
      <c r="B450" s="1" t="s">
        <v>22</v>
      </c>
      <c r="C450" s="11">
        <v>0</v>
      </c>
      <c r="D450" s="11">
        <v>0</v>
      </c>
      <c r="E450" s="2">
        <f t="shared" si="13"/>
        <v>0</v>
      </c>
      <c r="F450" s="11">
        <v>0.13400000000000001</v>
      </c>
      <c r="G450" s="3" t="e">
        <f t="shared" si="14"/>
        <v>#DIV/0!</v>
      </c>
    </row>
    <row r="451" spans="1:7" customFormat="1">
      <c r="A451" s="1">
        <v>15</v>
      </c>
      <c r="B451" s="1" t="s">
        <v>22</v>
      </c>
      <c r="C451" s="11">
        <v>27.2</v>
      </c>
      <c r="D451" s="11">
        <v>26.97</v>
      </c>
      <c r="E451" s="2">
        <f t="shared" si="13"/>
        <v>0.23000000000000043</v>
      </c>
      <c r="F451" s="11">
        <v>0.14599999999999999</v>
      </c>
      <c r="G451" s="3">
        <f t="shared" si="14"/>
        <v>1.3823529411764722E-2</v>
      </c>
    </row>
    <row r="452" spans="1:7" customFormat="1">
      <c r="A452" s="1">
        <v>16</v>
      </c>
      <c r="B452" s="1" t="s">
        <v>22</v>
      </c>
      <c r="C452" s="11">
        <v>52.52</v>
      </c>
      <c r="D452" s="11">
        <v>52.22</v>
      </c>
      <c r="E452" s="2">
        <f t="shared" ref="E452:E515" si="15">C452-D452</f>
        <v>0.30000000000000426</v>
      </c>
      <c r="F452" s="11">
        <v>0.151</v>
      </c>
      <c r="G452" s="3">
        <f t="shared" si="14"/>
        <v>8.587204874333669E-3</v>
      </c>
    </row>
    <row r="453" spans="1:7" customFormat="1">
      <c r="A453" s="1">
        <v>17</v>
      </c>
      <c r="B453" s="1" t="s">
        <v>22</v>
      </c>
      <c r="C453" s="11">
        <v>56.61</v>
      </c>
      <c r="D453" s="11">
        <v>56.41</v>
      </c>
      <c r="E453" s="2">
        <f t="shared" si="15"/>
        <v>0.20000000000000284</v>
      </c>
      <c r="F453" s="11">
        <v>0.17799999999999999</v>
      </c>
      <c r="G453" s="3">
        <f t="shared" si="14"/>
        <v>6.6772655007949627E-3</v>
      </c>
    </row>
    <row r="454" spans="1:7" customFormat="1">
      <c r="A454" s="1">
        <v>18</v>
      </c>
      <c r="B454" s="1" t="s">
        <v>22</v>
      </c>
      <c r="C454" s="11">
        <v>26.24</v>
      </c>
      <c r="D454" s="11">
        <v>26.01</v>
      </c>
      <c r="E454" s="2">
        <f t="shared" si="15"/>
        <v>0.22999999999999687</v>
      </c>
      <c r="F454" s="11">
        <v>0.112</v>
      </c>
      <c r="G454" s="3">
        <f t="shared" si="14"/>
        <v>1.3033536585365735E-2</v>
      </c>
    </row>
    <row r="455" spans="1:7" customFormat="1">
      <c r="A455" s="1">
        <v>19</v>
      </c>
      <c r="B455" s="1" t="s">
        <v>22</v>
      </c>
      <c r="C455" s="11">
        <v>25.83</v>
      </c>
      <c r="D455" s="11">
        <v>25.77</v>
      </c>
      <c r="E455" s="2">
        <f t="shared" si="15"/>
        <v>5.9999999999998721E-2</v>
      </c>
      <c r="F455" s="11">
        <v>0.13</v>
      </c>
      <c r="G455" s="3">
        <f t="shared" si="14"/>
        <v>7.3557878435926731E-3</v>
      </c>
    </row>
    <row r="456" spans="1:7" customFormat="1">
      <c r="A456" s="1">
        <v>20</v>
      </c>
      <c r="B456" s="1" t="s">
        <v>22</v>
      </c>
      <c r="C456" s="11">
        <v>52.31</v>
      </c>
      <c r="D456" s="11">
        <v>51.81</v>
      </c>
      <c r="E456" s="2">
        <f t="shared" si="15"/>
        <v>0.5</v>
      </c>
      <c r="F456" s="11">
        <v>0.17100000000000001</v>
      </c>
      <c r="G456" s="3">
        <f t="shared" si="14"/>
        <v>1.2827375262856051E-2</v>
      </c>
    </row>
    <row r="457" spans="1:7" customFormat="1">
      <c r="A457" s="1">
        <v>21</v>
      </c>
      <c r="B457" s="1" t="s">
        <v>22</v>
      </c>
      <c r="C457" s="11">
        <v>54.84</v>
      </c>
      <c r="D457" s="11">
        <v>54.68</v>
      </c>
      <c r="E457" s="2">
        <f t="shared" si="15"/>
        <v>0.16000000000000369</v>
      </c>
      <c r="F457" s="11">
        <v>0.19600000000000001</v>
      </c>
      <c r="G457" s="3">
        <f t="shared" si="14"/>
        <v>6.4916119620715479E-3</v>
      </c>
    </row>
    <row r="458" spans="1:7" customFormat="1">
      <c r="A458" s="1">
        <v>22</v>
      </c>
      <c r="B458" s="1" t="s">
        <v>22</v>
      </c>
      <c r="C458" s="11">
        <v>49.55</v>
      </c>
      <c r="D458" s="11">
        <v>49.38</v>
      </c>
      <c r="E458" s="2">
        <f t="shared" si="15"/>
        <v>0.1699999999999946</v>
      </c>
      <c r="F458" s="11">
        <v>0.14099999999999999</v>
      </c>
      <c r="G458" s="3">
        <f t="shared" si="14"/>
        <v>6.2764883955599322E-3</v>
      </c>
    </row>
    <row r="459" spans="1:7" customFormat="1">
      <c r="A459" s="1">
        <v>23</v>
      </c>
      <c r="B459" s="1" t="s">
        <v>22</v>
      </c>
      <c r="C459" s="11">
        <v>25.64</v>
      </c>
      <c r="D459" s="11">
        <v>25.51</v>
      </c>
      <c r="E459" s="2">
        <f t="shared" si="15"/>
        <v>0.12999999999999901</v>
      </c>
      <c r="F459" s="11">
        <v>0.17799999999999999</v>
      </c>
      <c r="G459" s="3">
        <f t="shared" si="14"/>
        <v>1.201248049921993E-2</v>
      </c>
    </row>
    <row r="460" spans="1:7" customFormat="1">
      <c r="A460" s="1">
        <v>24</v>
      </c>
      <c r="B460" s="1" t="s">
        <v>22</v>
      </c>
      <c r="C460" s="11">
        <v>47.69</v>
      </c>
      <c r="D460" s="11">
        <v>47.26</v>
      </c>
      <c r="E460" s="2">
        <f t="shared" si="15"/>
        <v>0.42999999999999972</v>
      </c>
      <c r="F460" s="11">
        <v>0.122</v>
      </c>
      <c r="G460" s="3">
        <f t="shared" si="14"/>
        <v>1.15747536171105E-2</v>
      </c>
    </row>
    <row r="461" spans="1:7" customFormat="1">
      <c r="A461" s="1">
        <v>25</v>
      </c>
      <c r="B461" s="1" t="s">
        <v>22</v>
      </c>
      <c r="C461" s="11">
        <v>49.36</v>
      </c>
      <c r="D461" s="11">
        <v>48.94</v>
      </c>
      <c r="E461" s="2">
        <f t="shared" si="15"/>
        <v>0.42000000000000171</v>
      </c>
      <c r="F461" s="11">
        <v>0.158</v>
      </c>
      <c r="G461" s="3">
        <f t="shared" si="14"/>
        <v>1.1709886547812029E-2</v>
      </c>
    </row>
    <row r="462" spans="1:7" customFormat="1">
      <c r="A462" s="1">
        <v>26</v>
      </c>
      <c r="B462" s="1" t="s">
        <v>22</v>
      </c>
      <c r="C462" s="11">
        <v>120.65</v>
      </c>
      <c r="D462" s="11">
        <v>120.1</v>
      </c>
      <c r="E462" s="2">
        <f t="shared" si="15"/>
        <v>0.55000000000001137</v>
      </c>
      <c r="F462" s="11">
        <v>0.16400000000000001</v>
      </c>
      <c r="G462" s="3">
        <f t="shared" si="14"/>
        <v>5.9179444674679763E-3</v>
      </c>
    </row>
    <row r="463" spans="1:7" customFormat="1">
      <c r="A463" s="1">
        <v>27</v>
      </c>
      <c r="B463" s="1" t="s">
        <v>22</v>
      </c>
      <c r="C463" s="11">
        <v>26.21</v>
      </c>
      <c r="D463" s="11">
        <v>25.91</v>
      </c>
      <c r="E463" s="2">
        <f t="shared" si="15"/>
        <v>0.30000000000000071</v>
      </c>
      <c r="F463" s="11">
        <v>0.126</v>
      </c>
      <c r="G463" s="3">
        <f t="shared" si="14"/>
        <v>1.6253338420450236E-2</v>
      </c>
    </row>
    <row r="464" spans="1:7" customFormat="1">
      <c r="A464" s="1">
        <v>28</v>
      </c>
      <c r="B464" s="1" t="s">
        <v>22</v>
      </c>
      <c r="C464" s="11">
        <v>57.02</v>
      </c>
      <c r="D464" s="11">
        <v>56.76</v>
      </c>
      <c r="E464" s="2">
        <f t="shared" si="15"/>
        <v>0.26000000000000512</v>
      </c>
      <c r="F464" s="11">
        <v>0.13800000000000001</v>
      </c>
      <c r="G464" s="3">
        <f t="shared" si="14"/>
        <v>6.9800070150825167E-3</v>
      </c>
    </row>
    <row r="465" spans="1:18">
      <c r="A465" s="1">
        <v>29</v>
      </c>
      <c r="B465" s="1" t="s">
        <v>22</v>
      </c>
      <c r="C465" s="11">
        <v>22.24</v>
      </c>
      <c r="D465" s="11">
        <v>22.18</v>
      </c>
      <c r="E465" s="2">
        <f t="shared" si="15"/>
        <v>5.9999999999998721E-2</v>
      </c>
      <c r="F465" s="11">
        <v>0.14399999999999999</v>
      </c>
      <c r="G465" s="3">
        <f t="shared" si="14"/>
        <v>9.1726618705035394E-3</v>
      </c>
      <c r="R465"/>
    </row>
    <row r="466" spans="1:18">
      <c r="A466" s="1">
        <v>30</v>
      </c>
      <c r="B466" s="1" t="s">
        <v>22</v>
      </c>
      <c r="C466" s="11">
        <v>26.99</v>
      </c>
      <c r="D466" s="11">
        <v>26.88</v>
      </c>
      <c r="E466" s="2">
        <f t="shared" si="15"/>
        <v>0.10999999999999943</v>
      </c>
      <c r="F466" s="11">
        <v>0.14799999999999999</v>
      </c>
      <c r="G466" s="3">
        <f t="shared" si="14"/>
        <v>9.5590959614671907E-3</v>
      </c>
      <c r="R466"/>
    </row>
    <row r="467" spans="1:18">
      <c r="A467" s="1">
        <v>31</v>
      </c>
      <c r="B467" s="1" t="s">
        <v>22</v>
      </c>
      <c r="C467" s="11">
        <v>54.04</v>
      </c>
      <c r="D467" s="11">
        <v>53.62</v>
      </c>
      <c r="E467" s="2">
        <f t="shared" si="15"/>
        <v>0.42000000000000171</v>
      </c>
      <c r="F467" s="11">
        <v>0.184</v>
      </c>
      <c r="G467" s="3">
        <f t="shared" si="14"/>
        <v>1.1176905995558876E-2</v>
      </c>
      <c r="R467"/>
    </row>
    <row r="468" spans="1:18">
      <c r="A468" s="1">
        <v>1</v>
      </c>
      <c r="B468" s="1" t="s">
        <v>23</v>
      </c>
      <c r="C468" s="11">
        <v>0</v>
      </c>
      <c r="D468" s="11">
        <v>0</v>
      </c>
      <c r="E468" s="2">
        <f t="shared" si="15"/>
        <v>0</v>
      </c>
      <c r="F468" s="11">
        <v>0.12</v>
      </c>
      <c r="G468" s="3" t="e">
        <f t="shared" si="14"/>
        <v>#DIV/0!</v>
      </c>
      <c r="R468"/>
    </row>
    <row r="469" spans="1:18">
      <c r="A469" s="1">
        <v>2</v>
      </c>
      <c r="B469" s="1" t="s">
        <v>23</v>
      </c>
      <c r="C469" s="11">
        <v>27.32</v>
      </c>
      <c r="D469" s="11">
        <v>27.11</v>
      </c>
      <c r="E469" s="2">
        <f t="shared" si="15"/>
        <v>0.21000000000000085</v>
      </c>
      <c r="F469" s="11">
        <v>0.28599999999999998</v>
      </c>
      <c r="G469" s="3">
        <f t="shared" si="14"/>
        <v>1.815519765739388E-2</v>
      </c>
      <c r="R469"/>
    </row>
    <row r="470" spans="1:18">
      <c r="A470" s="1">
        <v>3</v>
      </c>
      <c r="B470" s="1" t="s">
        <v>23</v>
      </c>
      <c r="C470" s="11">
        <v>52.65</v>
      </c>
      <c r="D470" s="11">
        <v>52.2</v>
      </c>
      <c r="E470" s="2">
        <f t="shared" si="15"/>
        <v>0.44999999999999574</v>
      </c>
      <c r="F470" s="11">
        <v>0.28599999999999998</v>
      </c>
      <c r="G470" s="3">
        <f t="shared" si="14"/>
        <v>1.3979107312440566E-2</v>
      </c>
      <c r="R470"/>
    </row>
    <row r="471" spans="1:18">
      <c r="A471" s="1">
        <v>4</v>
      </c>
      <c r="B471" s="1" t="s">
        <v>23</v>
      </c>
      <c r="C471" s="11">
        <v>0</v>
      </c>
      <c r="D471" s="11">
        <v>0</v>
      </c>
      <c r="E471" s="2">
        <f t="shared" si="15"/>
        <v>0</v>
      </c>
      <c r="F471" s="11">
        <v>0.31</v>
      </c>
      <c r="G471" s="3" t="e">
        <f t="shared" si="14"/>
        <v>#DIV/0!</v>
      </c>
      <c r="R471"/>
    </row>
    <row r="472" spans="1:18">
      <c r="A472" s="1">
        <v>5</v>
      </c>
      <c r="B472" s="1" t="s">
        <v>23</v>
      </c>
      <c r="C472" s="11">
        <v>50.28</v>
      </c>
      <c r="D472" s="11">
        <v>49.95</v>
      </c>
      <c r="E472" s="2">
        <f t="shared" si="15"/>
        <v>0.32999999999999829</v>
      </c>
      <c r="F472" s="11">
        <v>0.216</v>
      </c>
      <c r="G472" s="3">
        <f t="shared" si="14"/>
        <v>1.085918854415271E-2</v>
      </c>
      <c r="R472"/>
    </row>
    <row r="473" spans="1:18">
      <c r="A473" s="1">
        <v>6</v>
      </c>
      <c r="B473" s="1" t="s">
        <v>23</v>
      </c>
      <c r="C473" s="11">
        <v>23.22</v>
      </c>
      <c r="D473" s="11">
        <v>23.06</v>
      </c>
      <c r="E473" s="2">
        <f t="shared" si="15"/>
        <v>0.16000000000000014</v>
      </c>
      <c r="F473" s="11">
        <v>0.36</v>
      </c>
      <c r="G473" s="3">
        <f t="shared" si="14"/>
        <v>2.2394487510766586E-2</v>
      </c>
      <c r="R473"/>
    </row>
    <row r="474" spans="1:18">
      <c r="A474" s="1">
        <v>7</v>
      </c>
      <c r="B474" s="1" t="s">
        <v>23</v>
      </c>
      <c r="C474" s="11">
        <v>23.69</v>
      </c>
      <c r="D474" s="11">
        <v>23.45</v>
      </c>
      <c r="E474" s="2">
        <f t="shared" si="15"/>
        <v>0.24000000000000199</v>
      </c>
      <c r="F474" s="11">
        <v>0.11600000000000001</v>
      </c>
      <c r="G474" s="3">
        <f t="shared" si="14"/>
        <v>1.5027437737442041E-2</v>
      </c>
      <c r="R474"/>
    </row>
    <row r="475" spans="1:18">
      <c r="A475" s="1">
        <v>10</v>
      </c>
      <c r="B475" s="1" t="s">
        <v>23</v>
      </c>
      <c r="C475" s="11">
        <v>24.18</v>
      </c>
      <c r="D475" s="11">
        <v>23.92</v>
      </c>
      <c r="E475" s="2">
        <f t="shared" si="15"/>
        <v>0.25999999999999801</v>
      </c>
      <c r="F475" s="11">
        <v>0.216</v>
      </c>
      <c r="G475" s="3">
        <f t="shared" si="14"/>
        <v>1.9685690653432505E-2</v>
      </c>
      <c r="R475"/>
    </row>
    <row r="476" spans="1:18">
      <c r="A476" s="1">
        <v>8</v>
      </c>
      <c r="B476" s="1" t="s">
        <v>23</v>
      </c>
      <c r="C476" s="11">
        <v>51.73</v>
      </c>
      <c r="D476" s="11">
        <v>51.29</v>
      </c>
      <c r="E476" s="2">
        <f t="shared" si="15"/>
        <v>0.43999999999999773</v>
      </c>
      <c r="F476" s="11">
        <v>0.1</v>
      </c>
      <c r="G476" s="3">
        <f t="shared" si="14"/>
        <v>1.0438816934080761E-2</v>
      </c>
    </row>
    <row r="477" spans="1:18">
      <c r="A477" s="1">
        <v>9</v>
      </c>
      <c r="B477" s="1" t="s">
        <v>23</v>
      </c>
      <c r="C477" s="11">
        <v>28.47</v>
      </c>
      <c r="D477" s="11">
        <v>28.26</v>
      </c>
      <c r="E477" s="2">
        <f t="shared" si="15"/>
        <v>0.2099999999999973</v>
      </c>
      <c r="F477" s="11">
        <v>0.11600000000000001</v>
      </c>
      <c r="G477" s="3">
        <f t="shared" si="14"/>
        <v>1.1450649806814095E-2</v>
      </c>
      <c r="R477"/>
    </row>
    <row r="478" spans="1:18">
      <c r="A478" s="1">
        <v>11</v>
      </c>
      <c r="B478" s="1" t="s">
        <v>23</v>
      </c>
      <c r="C478" s="11">
        <v>52.3</v>
      </c>
      <c r="D478" s="11">
        <v>51.96</v>
      </c>
      <c r="E478" s="2">
        <f t="shared" si="15"/>
        <v>0.33999999999999631</v>
      </c>
      <c r="F478" s="11">
        <v>0.28599999999999998</v>
      </c>
      <c r="G478" s="3">
        <f t="shared" si="14"/>
        <v>1.1969407265774308E-2</v>
      </c>
      <c r="R478"/>
    </row>
    <row r="479" spans="1:18">
      <c r="A479" s="1">
        <v>12</v>
      </c>
      <c r="B479" s="1" t="s">
        <v>23</v>
      </c>
      <c r="C479" s="11">
        <v>51.47</v>
      </c>
      <c r="D479" s="11">
        <v>50.81</v>
      </c>
      <c r="E479" s="2">
        <f t="shared" si="15"/>
        <v>0.65999999999999659</v>
      </c>
      <c r="F479" s="11">
        <v>0.25600000000000001</v>
      </c>
      <c r="G479" s="3">
        <f t="shared" si="14"/>
        <v>1.7796774820283596E-2</v>
      </c>
      <c r="R479"/>
    </row>
    <row r="480" spans="1:18">
      <c r="A480" s="1">
        <v>13</v>
      </c>
      <c r="B480" s="1" t="s">
        <v>23</v>
      </c>
      <c r="C480" s="11">
        <v>48.81</v>
      </c>
      <c r="D480" s="11">
        <v>48.51</v>
      </c>
      <c r="E480" s="2">
        <f t="shared" si="15"/>
        <v>0.30000000000000426</v>
      </c>
      <c r="F480" s="11">
        <v>0.24399999999999999</v>
      </c>
      <c r="G480" s="3">
        <f t="shared" si="14"/>
        <v>1.1145257119442824E-2</v>
      </c>
      <c r="R480"/>
    </row>
    <row r="481" spans="1:7" customFormat="1">
      <c r="A481" s="1">
        <v>14</v>
      </c>
      <c r="B481" s="1" t="s">
        <v>23</v>
      </c>
      <c r="C481" s="11">
        <v>48.43</v>
      </c>
      <c r="D481" s="11">
        <v>48</v>
      </c>
      <c r="E481" s="2">
        <f t="shared" si="15"/>
        <v>0.42999999999999972</v>
      </c>
      <c r="F481" s="11">
        <v>0.21</v>
      </c>
      <c r="G481" s="3">
        <f t="shared" si="14"/>
        <v>1.3214949411521777E-2</v>
      </c>
    </row>
    <row r="482" spans="1:7" customFormat="1">
      <c r="A482" s="1">
        <v>15</v>
      </c>
      <c r="B482" s="1" t="s">
        <v>23</v>
      </c>
      <c r="C482" s="11">
        <v>55.21</v>
      </c>
      <c r="D482" s="11">
        <v>54.85</v>
      </c>
      <c r="E482" s="2">
        <f t="shared" si="15"/>
        <v>0.35999999999999943</v>
      </c>
      <c r="F482" s="11">
        <v>0.29799999999999999</v>
      </c>
      <c r="G482" s="3">
        <f t="shared" si="14"/>
        <v>1.1918130773410604E-2</v>
      </c>
    </row>
    <row r="483" spans="1:7" customFormat="1">
      <c r="A483" s="1">
        <v>16</v>
      </c>
      <c r="B483" s="1" t="s">
        <v>23</v>
      </c>
      <c r="C483" s="11">
        <v>50.29</v>
      </c>
      <c r="D483" s="11">
        <v>49.91</v>
      </c>
      <c r="E483" s="2">
        <f t="shared" si="15"/>
        <v>0.38000000000000256</v>
      </c>
      <c r="F483" s="11">
        <v>0.34</v>
      </c>
      <c r="G483" s="3">
        <f t="shared" si="14"/>
        <v>1.4316961622589037E-2</v>
      </c>
    </row>
    <row r="484" spans="1:7" customFormat="1">
      <c r="A484" s="1">
        <v>17</v>
      </c>
      <c r="B484" s="1" t="s">
        <v>23</v>
      </c>
      <c r="C484" s="11">
        <v>52.87</v>
      </c>
      <c r="D484" s="11">
        <v>52.42</v>
      </c>
      <c r="E484" s="2">
        <f t="shared" si="15"/>
        <v>0.44999999999999574</v>
      </c>
      <c r="F484" s="11">
        <v>0.216</v>
      </c>
      <c r="G484" s="3">
        <f t="shared" si="14"/>
        <v>1.259693588046143E-2</v>
      </c>
    </row>
    <row r="485" spans="1:7" customFormat="1">
      <c r="A485" s="1">
        <v>18</v>
      </c>
      <c r="B485" s="1" t="s">
        <v>23</v>
      </c>
      <c r="C485" s="11">
        <v>25</v>
      </c>
      <c r="D485" s="11">
        <v>24.83</v>
      </c>
      <c r="E485" s="2">
        <f t="shared" si="15"/>
        <v>0.17000000000000171</v>
      </c>
      <c r="F485" s="11">
        <v>0.374</v>
      </c>
      <c r="G485" s="3">
        <f t="shared" ref="G485:G548" si="16">(E485+F485)/C485</f>
        <v>2.1760000000000067E-2</v>
      </c>
    </row>
    <row r="486" spans="1:7" customFormat="1">
      <c r="A486" s="1">
        <v>19</v>
      </c>
      <c r="B486" s="1" t="s">
        <v>23</v>
      </c>
      <c r="C486" s="11">
        <v>50.88</v>
      </c>
      <c r="D486" s="11">
        <v>50.16</v>
      </c>
      <c r="E486" s="2">
        <f t="shared" si="15"/>
        <v>0.72000000000000597</v>
      </c>
      <c r="F486" s="11">
        <v>0.21</v>
      </c>
      <c r="G486" s="3">
        <f t="shared" si="16"/>
        <v>1.827830188679257E-2</v>
      </c>
    </row>
    <row r="487" spans="1:7" customFormat="1">
      <c r="A487" s="1">
        <v>20</v>
      </c>
      <c r="B487" s="1" t="s">
        <v>23</v>
      </c>
      <c r="C487" s="11">
        <v>0</v>
      </c>
      <c r="D487" s="11">
        <v>0</v>
      </c>
      <c r="E487" s="2">
        <f t="shared" si="15"/>
        <v>0</v>
      </c>
      <c r="F487" s="11">
        <v>0.11600000000000001</v>
      </c>
      <c r="G487" s="3" t="e">
        <f t="shared" si="16"/>
        <v>#DIV/0!</v>
      </c>
    </row>
    <row r="488" spans="1:7" customFormat="1">
      <c r="A488" s="1">
        <v>21</v>
      </c>
      <c r="B488" s="1" t="s">
        <v>23</v>
      </c>
      <c r="C488" s="11">
        <v>25</v>
      </c>
      <c r="D488" s="11">
        <v>24.85</v>
      </c>
      <c r="E488" s="2">
        <f t="shared" si="15"/>
        <v>0.14999999999999858</v>
      </c>
      <c r="F488" s="11">
        <v>0.15</v>
      </c>
      <c r="G488" s="3">
        <f t="shared" si="16"/>
        <v>1.1999999999999945E-2</v>
      </c>
    </row>
    <row r="489" spans="1:7" customFormat="1">
      <c r="A489" s="1">
        <v>22</v>
      </c>
      <c r="B489" s="1" t="s">
        <v>23</v>
      </c>
      <c r="C489" s="11">
        <v>25</v>
      </c>
      <c r="D489" s="11">
        <v>24.76</v>
      </c>
      <c r="E489" s="2">
        <f t="shared" si="15"/>
        <v>0.23999999999999844</v>
      </c>
      <c r="F489" s="11">
        <v>0.14399999999999999</v>
      </c>
      <c r="G489" s="3">
        <f t="shared" si="16"/>
        <v>1.5359999999999938E-2</v>
      </c>
    </row>
    <row r="490" spans="1:7" customFormat="1">
      <c r="A490" s="1">
        <v>23</v>
      </c>
      <c r="B490" s="1" t="s">
        <v>23</v>
      </c>
      <c r="C490" s="11">
        <v>46</v>
      </c>
      <c r="D490" s="11">
        <v>45.82</v>
      </c>
      <c r="E490" s="2">
        <f t="shared" si="15"/>
        <v>0.17999999999999972</v>
      </c>
      <c r="F490" s="11">
        <v>0.14399999999999999</v>
      </c>
      <c r="G490" s="3">
        <f t="shared" si="16"/>
        <v>7.0434782608695592E-3</v>
      </c>
    </row>
    <row r="491" spans="1:7" customFormat="1">
      <c r="A491" s="1">
        <v>24</v>
      </c>
      <c r="B491" s="1" t="s">
        <v>23</v>
      </c>
      <c r="C491" s="11">
        <v>27.81</v>
      </c>
      <c r="D491" s="11">
        <v>27.55</v>
      </c>
      <c r="E491" s="2">
        <f t="shared" si="15"/>
        <v>0.25999999999999801</v>
      </c>
      <c r="F491" s="11">
        <v>0.94799999999999995</v>
      </c>
      <c r="G491" s="3">
        <f t="shared" si="16"/>
        <v>4.3437612369651137E-2</v>
      </c>
    </row>
    <row r="492" spans="1:7" customFormat="1">
      <c r="A492" s="1">
        <v>25</v>
      </c>
      <c r="B492" s="1" t="s">
        <v>23</v>
      </c>
      <c r="C492" s="11">
        <v>50.19</v>
      </c>
      <c r="D492" s="11">
        <v>49.71</v>
      </c>
      <c r="E492" s="2">
        <f t="shared" si="15"/>
        <v>0.47999999999999687</v>
      </c>
      <c r="F492" s="11">
        <v>0.128</v>
      </c>
      <c r="G492" s="3">
        <f t="shared" si="16"/>
        <v>1.2113966925682345E-2</v>
      </c>
    </row>
    <row r="493" spans="1:7" customFormat="1">
      <c r="A493" s="1">
        <v>26</v>
      </c>
      <c r="B493" s="1" t="s">
        <v>23</v>
      </c>
      <c r="C493" s="11">
        <v>71.67</v>
      </c>
      <c r="D493" s="11">
        <v>71</v>
      </c>
      <c r="E493" s="2">
        <f t="shared" si="15"/>
        <v>0.67000000000000171</v>
      </c>
      <c r="F493" s="11">
        <v>0.22800000000000001</v>
      </c>
      <c r="G493" s="3">
        <f t="shared" si="16"/>
        <v>1.2529649783731013E-2</v>
      </c>
    </row>
    <row r="494" spans="1:7" customFormat="1">
      <c r="A494" s="1">
        <v>27</v>
      </c>
      <c r="B494" s="1" t="s">
        <v>23</v>
      </c>
      <c r="C494" s="11">
        <v>53.48</v>
      </c>
      <c r="D494" s="11">
        <v>53.53</v>
      </c>
      <c r="E494" s="2">
        <f t="shared" si="15"/>
        <v>-5.0000000000004263E-2</v>
      </c>
      <c r="F494" s="11">
        <v>0.36399999999999999</v>
      </c>
      <c r="G494" s="3">
        <f t="shared" si="16"/>
        <v>5.8713537771128595E-3</v>
      </c>
    </row>
    <row r="495" spans="1:7" customFormat="1">
      <c r="A495" s="1">
        <v>28</v>
      </c>
      <c r="B495" s="1" t="s">
        <v>23</v>
      </c>
      <c r="C495" s="11">
        <v>54.58</v>
      </c>
      <c r="D495" s="11">
        <v>53.94</v>
      </c>
      <c r="E495" s="2">
        <f t="shared" si="15"/>
        <v>0.64000000000000057</v>
      </c>
      <c r="F495" s="11">
        <v>0.38</v>
      </c>
      <c r="G495" s="3">
        <f t="shared" si="16"/>
        <v>1.8688164162696967E-2</v>
      </c>
    </row>
    <row r="496" spans="1:7" customFormat="1">
      <c r="A496" s="1">
        <v>29</v>
      </c>
      <c r="B496" s="1" t="s">
        <v>23</v>
      </c>
      <c r="C496" s="11">
        <v>26.81</v>
      </c>
      <c r="D496" s="11">
        <v>26.63</v>
      </c>
      <c r="E496" s="2">
        <f t="shared" si="15"/>
        <v>0.17999999999999972</v>
      </c>
      <c r="F496" s="11">
        <v>0.308</v>
      </c>
      <c r="G496" s="3">
        <f t="shared" si="16"/>
        <v>1.8202163371876155E-2</v>
      </c>
    </row>
    <row r="497" spans="1:18">
      <c r="A497" s="1">
        <v>30</v>
      </c>
      <c r="B497" s="1" t="s">
        <v>23</v>
      </c>
      <c r="C497" s="11">
        <v>0</v>
      </c>
      <c r="D497" s="11">
        <v>0</v>
      </c>
      <c r="E497" s="2">
        <f t="shared" si="15"/>
        <v>0</v>
      </c>
      <c r="F497" s="11">
        <v>0.108</v>
      </c>
      <c r="G497" s="3" t="e">
        <f t="shared" si="16"/>
        <v>#DIV/0!</v>
      </c>
      <c r="R497"/>
    </row>
    <row r="498" spans="1:18">
      <c r="A498" s="1">
        <v>31</v>
      </c>
      <c r="B498" s="1" t="s">
        <v>23</v>
      </c>
      <c r="C498" s="11">
        <v>102.77</v>
      </c>
      <c r="D498" s="11">
        <v>102.17</v>
      </c>
      <c r="E498" s="2">
        <f t="shared" si="15"/>
        <v>0.59999999999999432</v>
      </c>
      <c r="F498" s="11">
        <v>0.21</v>
      </c>
      <c r="G498" s="3">
        <f t="shared" si="16"/>
        <v>7.8816775323537445E-3</v>
      </c>
      <c r="R498"/>
    </row>
    <row r="499" spans="1:18">
      <c r="A499" s="1">
        <v>1</v>
      </c>
      <c r="B499" s="1" t="s">
        <v>24</v>
      </c>
      <c r="C499" s="11">
        <v>0</v>
      </c>
      <c r="D499" s="11">
        <v>0</v>
      </c>
      <c r="E499" s="2">
        <f t="shared" si="15"/>
        <v>0</v>
      </c>
      <c r="F499" s="11">
        <v>3.4000000000000002E-2</v>
      </c>
      <c r="G499" s="3" t="e">
        <f t="shared" si="16"/>
        <v>#DIV/0!</v>
      </c>
      <c r="R499"/>
    </row>
    <row r="500" spans="1:18">
      <c r="A500" s="1">
        <v>2</v>
      </c>
      <c r="B500" s="1" t="s">
        <v>24</v>
      </c>
      <c r="C500" s="11">
        <v>29.76</v>
      </c>
      <c r="D500" s="11">
        <v>29.72</v>
      </c>
      <c r="E500" s="2">
        <f t="shared" si="15"/>
        <v>4.00000000000027E-2</v>
      </c>
      <c r="F500" s="11">
        <v>0.41199999999999998</v>
      </c>
      <c r="G500" s="3">
        <f t="shared" si="16"/>
        <v>1.5188172043010841E-2</v>
      </c>
      <c r="R500"/>
    </row>
    <row r="501" spans="1:18">
      <c r="A501" s="1">
        <v>3</v>
      </c>
      <c r="B501" s="1" t="s">
        <v>24</v>
      </c>
      <c r="C501" s="11">
        <v>0</v>
      </c>
      <c r="D501" s="11">
        <v>0</v>
      </c>
      <c r="E501" s="2">
        <f t="shared" si="15"/>
        <v>0</v>
      </c>
      <c r="F501" s="11">
        <v>0</v>
      </c>
      <c r="G501" s="3" t="e">
        <f t="shared" si="16"/>
        <v>#DIV/0!</v>
      </c>
      <c r="R501"/>
    </row>
    <row r="502" spans="1:18">
      <c r="A502" s="1">
        <v>4</v>
      </c>
      <c r="B502" s="1" t="s">
        <v>24</v>
      </c>
      <c r="C502" s="11">
        <v>27.35</v>
      </c>
      <c r="D502" s="11">
        <v>27.25</v>
      </c>
      <c r="E502" s="2">
        <f t="shared" si="15"/>
        <v>0.10000000000000142</v>
      </c>
      <c r="F502" s="11">
        <v>0.33</v>
      </c>
      <c r="G502" s="3">
        <f t="shared" si="16"/>
        <v>1.5722120658135334E-2</v>
      </c>
      <c r="R502"/>
    </row>
    <row r="503" spans="1:18">
      <c r="A503" s="1">
        <v>5</v>
      </c>
      <c r="B503" s="1" t="s">
        <v>24</v>
      </c>
      <c r="C503" s="11">
        <v>0</v>
      </c>
      <c r="D503" s="11">
        <v>0</v>
      </c>
      <c r="E503" s="2">
        <f t="shared" si="15"/>
        <v>0</v>
      </c>
      <c r="F503" s="11">
        <v>0</v>
      </c>
      <c r="G503" s="3" t="e">
        <f t="shared" si="16"/>
        <v>#DIV/0!</v>
      </c>
      <c r="R503"/>
    </row>
    <row r="504" spans="1:18">
      <c r="A504" s="1">
        <v>6</v>
      </c>
      <c r="B504" s="1" t="s">
        <v>24</v>
      </c>
      <c r="C504" s="11">
        <v>24.36</v>
      </c>
      <c r="D504" s="11">
        <v>24.05</v>
      </c>
      <c r="E504" s="2">
        <f t="shared" si="15"/>
        <v>0.30999999999999872</v>
      </c>
      <c r="F504" s="11">
        <v>0.34499999999999997</v>
      </c>
      <c r="G504" s="3">
        <f t="shared" si="16"/>
        <v>2.6888341543513904E-2</v>
      </c>
      <c r="R504"/>
    </row>
    <row r="505" spans="1:18">
      <c r="A505" s="1">
        <v>7</v>
      </c>
      <c r="B505" s="1" t="s">
        <v>24</v>
      </c>
      <c r="C505" s="11">
        <v>27.26</v>
      </c>
      <c r="D505" s="11">
        <v>27.17</v>
      </c>
      <c r="E505" s="2">
        <f t="shared" si="15"/>
        <v>8.9999999999999858E-2</v>
      </c>
      <c r="F505" s="11">
        <v>0.373</v>
      </c>
      <c r="G505" s="3">
        <f t="shared" si="16"/>
        <v>1.6984592809977984E-2</v>
      </c>
      <c r="R505"/>
    </row>
    <row r="506" spans="1:18">
      <c r="A506" s="1">
        <v>10</v>
      </c>
      <c r="B506" s="1" t="s">
        <v>24</v>
      </c>
      <c r="C506" s="11">
        <v>25.05</v>
      </c>
      <c r="D506" s="11">
        <v>24.15</v>
      </c>
      <c r="E506" s="2">
        <f t="shared" si="15"/>
        <v>0.90000000000000213</v>
      </c>
      <c r="F506" s="11">
        <v>-0.375</v>
      </c>
      <c r="G506" s="3">
        <f t="shared" si="16"/>
        <v>2.0958083832335415E-2</v>
      </c>
      <c r="R506"/>
    </row>
    <row r="507" spans="1:18">
      <c r="A507" s="1">
        <v>8</v>
      </c>
      <c r="B507" s="1" t="s">
        <v>24</v>
      </c>
      <c r="C507" s="11">
        <v>0</v>
      </c>
      <c r="D507" s="11">
        <v>0</v>
      </c>
      <c r="E507" s="2">
        <f t="shared" si="15"/>
        <v>0</v>
      </c>
      <c r="F507" s="11">
        <v>0</v>
      </c>
      <c r="G507" s="3" t="e">
        <f t="shared" si="16"/>
        <v>#DIV/0!</v>
      </c>
    </row>
    <row r="508" spans="1:18">
      <c r="A508" s="1">
        <v>9</v>
      </c>
      <c r="B508" s="1" t="s">
        <v>24</v>
      </c>
      <c r="C508" s="11">
        <v>25.64</v>
      </c>
      <c r="D508" s="11">
        <v>25.53</v>
      </c>
      <c r="E508" s="2">
        <f t="shared" si="15"/>
        <v>0.10999999999999943</v>
      </c>
      <c r="F508" s="11">
        <v>0.502</v>
      </c>
      <c r="G508" s="3">
        <f t="shared" si="16"/>
        <v>2.3868954758190303E-2</v>
      </c>
      <c r="R508"/>
    </row>
    <row r="509" spans="1:18">
      <c r="A509" s="1">
        <v>11</v>
      </c>
      <c r="B509" s="1" t="s">
        <v>24</v>
      </c>
      <c r="C509" s="11">
        <v>25.97</v>
      </c>
      <c r="D509" s="11">
        <v>25.8</v>
      </c>
      <c r="E509" s="2">
        <f t="shared" si="15"/>
        <v>0.16999999999999815</v>
      </c>
      <c r="F509" s="11">
        <v>0.28899999999999998</v>
      </c>
      <c r="G509" s="3">
        <f t="shared" si="16"/>
        <v>1.7674239507123532E-2</v>
      </c>
      <c r="R509"/>
    </row>
    <row r="510" spans="1:18">
      <c r="A510" s="1">
        <v>12</v>
      </c>
      <c r="B510" s="1" t="s">
        <v>24</v>
      </c>
      <c r="C510" s="11">
        <v>0</v>
      </c>
      <c r="D510" s="11">
        <v>0</v>
      </c>
      <c r="E510" s="2">
        <f t="shared" si="15"/>
        <v>0</v>
      </c>
      <c r="F510" s="11">
        <v>0</v>
      </c>
      <c r="G510" s="3" t="e">
        <f t="shared" si="16"/>
        <v>#DIV/0!</v>
      </c>
      <c r="R510"/>
    </row>
    <row r="511" spans="1:18">
      <c r="A511" s="1">
        <v>13</v>
      </c>
      <c r="B511" s="1" t="s">
        <v>24</v>
      </c>
      <c r="C511" s="11">
        <v>24.72</v>
      </c>
      <c r="D511" s="11">
        <v>24.54</v>
      </c>
      <c r="E511" s="2">
        <f t="shared" si="15"/>
        <v>0.17999999999999972</v>
      </c>
      <c r="F511" s="11">
        <v>0.29199999999999998</v>
      </c>
      <c r="G511" s="3">
        <f t="shared" si="16"/>
        <v>1.9093851132686072E-2</v>
      </c>
      <c r="R511"/>
    </row>
    <row r="512" spans="1:18">
      <c r="A512" s="1">
        <v>14</v>
      </c>
      <c r="B512" s="1" t="s">
        <v>24</v>
      </c>
      <c r="C512" s="11">
        <v>102.76</v>
      </c>
      <c r="D512" s="11">
        <v>102.1</v>
      </c>
      <c r="E512" s="2">
        <f t="shared" si="15"/>
        <v>0.6600000000000108</v>
      </c>
      <c r="F512" s="11">
        <v>1.3340000000000001</v>
      </c>
      <c r="G512" s="3">
        <f t="shared" si="16"/>
        <v>1.9404437524328636E-2</v>
      </c>
      <c r="R512"/>
    </row>
    <row r="513" spans="1:7" customFormat="1">
      <c r="A513" s="1">
        <v>15</v>
      </c>
      <c r="B513" s="1" t="s">
        <v>24</v>
      </c>
      <c r="C513" s="11">
        <v>22.99</v>
      </c>
      <c r="D513" s="11">
        <v>22.7</v>
      </c>
      <c r="E513" s="2">
        <f t="shared" si="15"/>
        <v>0.28999999999999915</v>
      </c>
      <c r="F513" s="11">
        <v>0.16</v>
      </c>
      <c r="G513" s="3">
        <f t="shared" si="16"/>
        <v>1.9573727707698965E-2</v>
      </c>
    </row>
    <row r="514" spans="1:7" customFormat="1">
      <c r="A514" s="1">
        <v>16</v>
      </c>
      <c r="B514" s="1" t="s">
        <v>24</v>
      </c>
      <c r="C514" s="11">
        <v>25.55</v>
      </c>
      <c r="D514" s="11">
        <v>25.45</v>
      </c>
      <c r="E514" s="2">
        <f t="shared" si="15"/>
        <v>0.10000000000000142</v>
      </c>
      <c r="F514" s="11">
        <v>0.39</v>
      </c>
      <c r="G514" s="3">
        <f t="shared" si="16"/>
        <v>1.9178082191780878E-2</v>
      </c>
    </row>
    <row r="515" spans="1:7" customFormat="1">
      <c r="A515" s="1">
        <v>17</v>
      </c>
      <c r="B515" s="1" t="s">
        <v>24</v>
      </c>
      <c r="C515" s="11">
        <v>52.25</v>
      </c>
      <c r="D515" s="11">
        <v>51.87</v>
      </c>
      <c r="E515" s="2">
        <f t="shared" si="15"/>
        <v>0.38000000000000256</v>
      </c>
      <c r="F515" s="11">
        <v>0.65500000000000003</v>
      </c>
      <c r="G515" s="3">
        <f t="shared" si="16"/>
        <v>1.9808612440191439E-2</v>
      </c>
    </row>
    <row r="516" spans="1:7" customFormat="1">
      <c r="A516" s="1">
        <v>18</v>
      </c>
      <c r="B516" s="1" t="s">
        <v>24</v>
      </c>
      <c r="C516" s="11">
        <v>25.93</v>
      </c>
      <c r="D516" s="11">
        <v>25.59</v>
      </c>
      <c r="E516" s="2">
        <f t="shared" ref="E516:E579" si="17">C516-D516</f>
        <v>0.33999999999999986</v>
      </c>
      <c r="F516" s="11">
        <v>0.35399999999999998</v>
      </c>
      <c r="G516" s="3">
        <f t="shared" si="16"/>
        <v>2.6764365599691472E-2</v>
      </c>
    </row>
    <row r="517" spans="1:7" customFormat="1">
      <c r="A517" s="1">
        <v>19</v>
      </c>
      <c r="B517" s="1" t="s">
        <v>24</v>
      </c>
      <c r="C517" s="11">
        <v>23.48</v>
      </c>
      <c r="D517" s="11">
        <v>23.26</v>
      </c>
      <c r="E517" s="2">
        <f t="shared" si="17"/>
        <v>0.21999999999999886</v>
      </c>
      <c r="F517" s="11">
        <v>0.20399999999999999</v>
      </c>
      <c r="G517" s="3">
        <f t="shared" si="16"/>
        <v>1.8057921635434362E-2</v>
      </c>
    </row>
    <row r="518" spans="1:7" customFormat="1">
      <c r="A518" s="1">
        <v>20</v>
      </c>
      <c r="B518" s="1" t="s">
        <v>24</v>
      </c>
      <c r="C518" s="11">
        <v>25</v>
      </c>
      <c r="D518" s="11">
        <v>24.9</v>
      </c>
      <c r="E518" s="2">
        <f t="shared" si="17"/>
        <v>0.10000000000000142</v>
      </c>
      <c r="F518" s="11">
        <v>0.11700000000000001</v>
      </c>
      <c r="G518" s="3">
        <f t="shared" si="16"/>
        <v>8.6800000000000557E-3</v>
      </c>
    </row>
    <row r="519" spans="1:7" customFormat="1">
      <c r="A519" s="1">
        <v>21</v>
      </c>
      <c r="B519" s="1" t="s">
        <v>24</v>
      </c>
      <c r="C519" s="11">
        <v>0</v>
      </c>
      <c r="D519" s="11">
        <v>0</v>
      </c>
      <c r="E519" s="2">
        <f t="shared" si="17"/>
        <v>0</v>
      </c>
      <c r="F519" s="11">
        <v>0</v>
      </c>
      <c r="G519" s="3" t="e">
        <f t="shared" si="16"/>
        <v>#DIV/0!</v>
      </c>
    </row>
    <row r="520" spans="1:7" customFormat="1">
      <c r="A520" s="1">
        <v>22</v>
      </c>
      <c r="B520" s="1" t="s">
        <v>24</v>
      </c>
      <c r="C520" s="11">
        <v>18.420000000000002</v>
      </c>
      <c r="D520" s="11">
        <v>18.170000000000002</v>
      </c>
      <c r="E520" s="2">
        <f t="shared" si="17"/>
        <v>0.25</v>
      </c>
      <c r="F520" s="11">
        <v>0.41</v>
      </c>
      <c r="G520" s="3">
        <f t="shared" si="16"/>
        <v>3.5830618892508138E-2</v>
      </c>
    </row>
    <row r="521" spans="1:7" customFormat="1">
      <c r="A521" s="1">
        <v>23</v>
      </c>
      <c r="B521" s="1" t="s">
        <v>24</v>
      </c>
      <c r="C521" s="11">
        <v>54.12</v>
      </c>
      <c r="D521" s="11">
        <v>53.31</v>
      </c>
      <c r="E521" s="2">
        <f t="shared" si="17"/>
        <v>0.80999999999999517</v>
      </c>
      <c r="F521" s="11">
        <v>0.22600000000000001</v>
      </c>
      <c r="G521" s="3">
        <f t="shared" si="16"/>
        <v>1.9142645971914177E-2</v>
      </c>
    </row>
    <row r="522" spans="1:7" customFormat="1">
      <c r="A522" s="1">
        <v>24</v>
      </c>
      <c r="B522" s="1" t="s">
        <v>24</v>
      </c>
      <c r="C522" s="11">
        <v>22.83</v>
      </c>
      <c r="D522" s="11">
        <v>22.65</v>
      </c>
      <c r="E522" s="2">
        <f t="shared" si="17"/>
        <v>0.17999999999999972</v>
      </c>
      <c r="F522" s="11">
        <v>0.23400000000000001</v>
      </c>
      <c r="G522" s="3">
        <f t="shared" si="16"/>
        <v>1.8134034165571605E-2</v>
      </c>
    </row>
    <row r="523" spans="1:7" customFormat="1">
      <c r="A523" s="1">
        <v>25</v>
      </c>
      <c r="B523" s="1" t="s">
        <v>24</v>
      </c>
      <c r="C523" s="11">
        <v>25.64</v>
      </c>
      <c r="D523" s="11">
        <v>25.42</v>
      </c>
      <c r="E523" s="2">
        <f t="shared" si="17"/>
        <v>0.21999999999999886</v>
      </c>
      <c r="F523" s="11">
        <v>0.33300000000000002</v>
      </c>
      <c r="G523" s="3">
        <f t="shared" si="16"/>
        <v>2.1567862714508532E-2</v>
      </c>
    </row>
    <row r="524" spans="1:7" customFormat="1">
      <c r="A524" s="1">
        <v>26</v>
      </c>
      <c r="B524" s="1" t="s">
        <v>24</v>
      </c>
      <c r="C524" s="11">
        <v>23.85</v>
      </c>
      <c r="D524" s="11">
        <v>23.61</v>
      </c>
      <c r="E524" s="2">
        <f t="shared" si="17"/>
        <v>0.24000000000000199</v>
      </c>
      <c r="F524" s="11">
        <v>0.22500000000000001</v>
      </c>
      <c r="G524" s="3">
        <f t="shared" si="16"/>
        <v>1.9496855345912032E-2</v>
      </c>
    </row>
    <row r="525" spans="1:7" customFormat="1">
      <c r="A525" s="1">
        <v>27</v>
      </c>
      <c r="B525" s="1" t="s">
        <v>24</v>
      </c>
      <c r="C525" s="11">
        <v>0</v>
      </c>
      <c r="D525" s="11">
        <v>0</v>
      </c>
      <c r="E525" s="2">
        <f t="shared" si="17"/>
        <v>0</v>
      </c>
      <c r="F525" s="11">
        <v>0</v>
      </c>
      <c r="G525" s="3" t="e">
        <f t="shared" si="16"/>
        <v>#DIV/0!</v>
      </c>
    </row>
    <row r="526" spans="1:7" customFormat="1">
      <c r="A526" s="1">
        <v>28</v>
      </c>
      <c r="B526" s="1" t="s">
        <v>24</v>
      </c>
      <c r="C526" s="11">
        <v>25.58</v>
      </c>
      <c r="D526" s="11">
        <v>25.39</v>
      </c>
      <c r="E526" s="2">
        <f t="shared" si="17"/>
        <v>0.18999999999999773</v>
      </c>
      <c r="F526" s="11">
        <v>0.41199999999999998</v>
      </c>
      <c r="G526" s="3">
        <f t="shared" si="16"/>
        <v>2.3534010946051512E-2</v>
      </c>
    </row>
    <row r="527" spans="1:7" customFormat="1">
      <c r="A527" s="1">
        <v>29</v>
      </c>
      <c r="B527" s="1" t="s">
        <v>24</v>
      </c>
      <c r="C527" s="11">
        <v>0</v>
      </c>
      <c r="D527" s="11">
        <v>0</v>
      </c>
      <c r="E527" s="2">
        <f t="shared" si="17"/>
        <v>0</v>
      </c>
      <c r="F527" s="11">
        <v>0</v>
      </c>
      <c r="G527" s="3" t="e">
        <f t="shared" si="16"/>
        <v>#DIV/0!</v>
      </c>
    </row>
    <row r="528" spans="1:7" customFormat="1">
      <c r="A528" s="1">
        <v>30</v>
      </c>
      <c r="B528" s="1" t="s">
        <v>24</v>
      </c>
      <c r="C528" s="11">
        <v>25.64</v>
      </c>
      <c r="D528" s="11">
        <v>25.14</v>
      </c>
      <c r="E528" s="2">
        <f t="shared" si="17"/>
        <v>0.5</v>
      </c>
      <c r="F528" s="11">
        <v>0</v>
      </c>
      <c r="G528" s="3">
        <f t="shared" si="16"/>
        <v>1.9500780031201249E-2</v>
      </c>
    </row>
    <row r="529" spans="1:18">
      <c r="A529" s="1">
        <v>31</v>
      </c>
      <c r="B529" s="1" t="s">
        <v>24</v>
      </c>
      <c r="C529" s="11">
        <v>29.33</v>
      </c>
      <c r="D529" s="11">
        <v>29.1</v>
      </c>
      <c r="E529" s="2">
        <f t="shared" si="17"/>
        <v>0.22999999999999687</v>
      </c>
      <c r="F529" s="11">
        <v>0.21</v>
      </c>
      <c r="G529" s="3">
        <f t="shared" si="16"/>
        <v>1.5001704739174799E-2</v>
      </c>
      <c r="R529"/>
    </row>
    <row r="530" spans="1:18">
      <c r="A530" s="1">
        <v>1</v>
      </c>
      <c r="B530" s="1" t="s">
        <v>25</v>
      </c>
      <c r="C530" s="11">
        <v>0</v>
      </c>
      <c r="D530" s="11">
        <v>0</v>
      </c>
      <c r="E530" s="2">
        <f t="shared" si="17"/>
        <v>0</v>
      </c>
      <c r="F530" s="11">
        <v>9.8000000000000004E-2</v>
      </c>
      <c r="G530" s="3" t="e">
        <f t="shared" si="16"/>
        <v>#DIV/0!</v>
      </c>
      <c r="R530"/>
    </row>
    <row r="531" spans="1:18">
      <c r="A531" s="1">
        <v>2</v>
      </c>
      <c r="B531" s="1" t="s">
        <v>25</v>
      </c>
      <c r="C531" s="11">
        <v>25</v>
      </c>
      <c r="D531" s="11">
        <v>24.74</v>
      </c>
      <c r="E531" s="2">
        <f t="shared" si="17"/>
        <v>0.26000000000000156</v>
      </c>
      <c r="F531" s="11">
        <v>5.1999999999999998E-2</v>
      </c>
      <c r="G531" s="3">
        <f t="shared" si="16"/>
        <v>1.2480000000000062E-2</v>
      </c>
      <c r="R531"/>
    </row>
    <row r="532" spans="1:18">
      <c r="A532" s="1">
        <v>3</v>
      </c>
      <c r="B532" s="1" t="s">
        <v>25</v>
      </c>
      <c r="C532" s="11">
        <v>25</v>
      </c>
      <c r="D532" s="11">
        <v>24.69</v>
      </c>
      <c r="E532" s="2">
        <f t="shared" si="17"/>
        <v>0.30999999999999872</v>
      </c>
      <c r="F532" s="11">
        <v>0.127</v>
      </c>
      <c r="G532" s="3">
        <f t="shared" si="16"/>
        <v>1.747999999999995E-2</v>
      </c>
      <c r="R532"/>
    </row>
    <row r="533" spans="1:18">
      <c r="A533" s="1">
        <v>4</v>
      </c>
      <c r="B533" s="1" t="s">
        <v>25</v>
      </c>
      <c r="C533" s="11">
        <v>24.7</v>
      </c>
      <c r="D533" s="11">
        <v>24.37</v>
      </c>
      <c r="E533" s="2">
        <f t="shared" si="17"/>
        <v>0.32999999999999829</v>
      </c>
      <c r="F533" s="11">
        <v>0.12</v>
      </c>
      <c r="G533" s="3">
        <f t="shared" si="16"/>
        <v>1.8218623481781309E-2</v>
      </c>
      <c r="R533"/>
    </row>
    <row r="534" spans="1:18">
      <c r="A534" s="1">
        <v>5</v>
      </c>
      <c r="B534" s="1" t="s">
        <v>25</v>
      </c>
      <c r="C534" s="11">
        <v>0</v>
      </c>
      <c r="D534" s="11">
        <v>0</v>
      </c>
      <c r="E534" s="2">
        <f t="shared" si="17"/>
        <v>0</v>
      </c>
      <c r="F534" s="11">
        <v>0.11880000000000035</v>
      </c>
      <c r="G534" s="3" t="e">
        <f t="shared" si="16"/>
        <v>#DIV/0!</v>
      </c>
      <c r="R534"/>
    </row>
    <row r="535" spans="1:18">
      <c r="A535" s="1">
        <v>6</v>
      </c>
      <c r="B535" s="1" t="s">
        <v>25</v>
      </c>
      <c r="C535" s="11">
        <v>25.06</v>
      </c>
      <c r="D535" s="11">
        <v>24.81</v>
      </c>
      <c r="E535" s="2">
        <f t="shared" si="17"/>
        <v>0.25</v>
      </c>
      <c r="F535" s="11">
        <v>0.113</v>
      </c>
      <c r="G535" s="3">
        <f t="shared" si="16"/>
        <v>1.4485235434956105E-2</v>
      </c>
      <c r="R535"/>
    </row>
    <row r="536" spans="1:18">
      <c r="A536" s="1">
        <v>7</v>
      </c>
      <c r="B536" s="1" t="s">
        <v>25</v>
      </c>
      <c r="C536" s="11">
        <v>0</v>
      </c>
      <c r="D536" s="11">
        <v>0</v>
      </c>
      <c r="E536" s="2">
        <f t="shared" si="17"/>
        <v>0</v>
      </c>
      <c r="F536" s="11">
        <v>0</v>
      </c>
      <c r="G536" s="3" t="e">
        <f t="shared" si="16"/>
        <v>#DIV/0!</v>
      </c>
      <c r="R536"/>
    </row>
    <row r="537" spans="1:18">
      <c r="A537" s="1">
        <v>10</v>
      </c>
      <c r="B537" s="1" t="s">
        <v>25</v>
      </c>
      <c r="C537" s="11">
        <v>26.18</v>
      </c>
      <c r="D537" s="11">
        <v>26.04</v>
      </c>
      <c r="E537" s="2">
        <f t="shared" si="17"/>
        <v>0.14000000000000057</v>
      </c>
      <c r="F537" s="11">
        <v>0.11329999999999973</v>
      </c>
      <c r="G537" s="3">
        <f t="shared" si="16"/>
        <v>9.6753246753246876E-3</v>
      </c>
      <c r="R537"/>
    </row>
    <row r="538" spans="1:18">
      <c r="A538" s="1">
        <v>8</v>
      </c>
      <c r="B538" s="1" t="s">
        <v>25</v>
      </c>
      <c r="C538" s="11">
        <v>22.3</v>
      </c>
      <c r="D538" s="11">
        <v>22.11</v>
      </c>
      <c r="E538" s="2">
        <f t="shared" si="17"/>
        <v>0.19000000000000128</v>
      </c>
      <c r="F538" s="11">
        <v>0.11899999999999999</v>
      </c>
      <c r="G538" s="3">
        <f t="shared" si="16"/>
        <v>1.3856502242152523E-2</v>
      </c>
    </row>
    <row r="539" spans="1:18">
      <c r="A539" s="1">
        <v>9</v>
      </c>
      <c r="B539" s="1" t="s">
        <v>25</v>
      </c>
      <c r="C539" s="11">
        <v>56.879999999999995</v>
      </c>
      <c r="D539" s="11">
        <v>56.43</v>
      </c>
      <c r="E539" s="2">
        <f t="shared" si="17"/>
        <v>0.44999999999999574</v>
      </c>
      <c r="F539" s="11">
        <v>0.25449999999999895</v>
      </c>
      <c r="G539" s="3">
        <f t="shared" si="16"/>
        <v>1.2385724331926772E-2</v>
      </c>
      <c r="R539"/>
    </row>
    <row r="540" spans="1:18">
      <c r="A540" s="1">
        <v>11</v>
      </c>
      <c r="B540" s="1" t="s">
        <v>25</v>
      </c>
      <c r="C540" s="11">
        <v>53.97</v>
      </c>
      <c r="D540" s="11">
        <v>53.27</v>
      </c>
      <c r="E540" s="2">
        <f t="shared" si="17"/>
        <v>0.69999999999999574</v>
      </c>
      <c r="F540" s="11">
        <v>0.23699999999999999</v>
      </c>
      <c r="G540" s="3">
        <f t="shared" si="16"/>
        <v>1.7361497128034014E-2</v>
      </c>
      <c r="R540"/>
    </row>
    <row r="541" spans="1:18">
      <c r="A541" s="1">
        <v>12</v>
      </c>
      <c r="B541" s="1" t="s">
        <v>25</v>
      </c>
      <c r="C541" s="11">
        <v>53.43</v>
      </c>
      <c r="D541" s="11">
        <v>52.64</v>
      </c>
      <c r="E541" s="2">
        <f t="shared" si="17"/>
        <v>0.78999999999999915</v>
      </c>
      <c r="F541" s="11">
        <v>0.17100000000000001</v>
      </c>
      <c r="G541" s="3">
        <f t="shared" si="16"/>
        <v>1.7986150102938411E-2</v>
      </c>
      <c r="R541"/>
    </row>
    <row r="542" spans="1:18">
      <c r="A542" s="1">
        <v>13</v>
      </c>
      <c r="B542" s="1" t="s">
        <v>25</v>
      </c>
      <c r="C542" s="11">
        <v>25.68</v>
      </c>
      <c r="D542" s="11">
        <v>25.46</v>
      </c>
      <c r="E542" s="2">
        <f t="shared" si="17"/>
        <v>0.21999999999999886</v>
      </c>
      <c r="F542" s="11">
        <v>0.123</v>
      </c>
      <c r="G542" s="3">
        <f t="shared" si="16"/>
        <v>1.3356697819314598E-2</v>
      </c>
      <c r="R542"/>
    </row>
    <row r="543" spans="1:18">
      <c r="A543" s="1">
        <v>14</v>
      </c>
      <c r="B543" s="1" t="s">
        <v>25</v>
      </c>
      <c r="C543" s="11">
        <v>0</v>
      </c>
      <c r="D543" s="11">
        <v>0</v>
      </c>
      <c r="E543" s="2">
        <f t="shared" si="17"/>
        <v>0</v>
      </c>
      <c r="F543" s="11">
        <v>5.7000000000000002E-2</v>
      </c>
      <c r="G543" s="3" t="e">
        <f t="shared" si="16"/>
        <v>#DIV/0!</v>
      </c>
      <c r="R543"/>
    </row>
    <row r="544" spans="1:18">
      <c r="A544" s="1">
        <v>15</v>
      </c>
      <c r="B544" s="1" t="s">
        <v>25</v>
      </c>
      <c r="C544" s="11">
        <v>25.19</v>
      </c>
      <c r="D544" s="11">
        <v>25.06</v>
      </c>
      <c r="E544" s="2">
        <f t="shared" si="17"/>
        <v>0.13000000000000256</v>
      </c>
      <c r="F544" s="11">
        <v>0.114</v>
      </c>
      <c r="G544" s="3">
        <f t="shared" si="16"/>
        <v>9.6863834855102238E-3</v>
      </c>
      <c r="R544"/>
    </row>
    <row r="545" spans="1:7" customFormat="1">
      <c r="A545" s="1">
        <v>16</v>
      </c>
      <c r="B545" s="1" t="s">
        <v>25</v>
      </c>
      <c r="C545" s="11">
        <v>29.42</v>
      </c>
      <c r="D545" s="11">
        <v>29.28</v>
      </c>
      <c r="E545" s="2">
        <f t="shared" si="17"/>
        <v>0.14000000000000057</v>
      </c>
      <c r="F545" s="11">
        <v>0.129</v>
      </c>
      <c r="G545" s="3">
        <f t="shared" si="16"/>
        <v>9.1434398368457018E-3</v>
      </c>
    </row>
    <row r="546" spans="1:7" customFormat="1">
      <c r="A546" s="1">
        <v>17</v>
      </c>
      <c r="B546" s="1" t="s">
        <v>25</v>
      </c>
      <c r="C546" s="11">
        <v>26.46</v>
      </c>
      <c r="D546" s="11">
        <v>25.89</v>
      </c>
      <c r="E546" s="2">
        <f t="shared" si="17"/>
        <v>0.57000000000000028</v>
      </c>
      <c r="F546" s="11">
        <v>0.115</v>
      </c>
      <c r="G546" s="3">
        <f t="shared" si="16"/>
        <v>2.5888133030990183E-2</v>
      </c>
    </row>
    <row r="547" spans="1:7" customFormat="1">
      <c r="A547" s="1">
        <v>18</v>
      </c>
      <c r="B547" s="1" t="s">
        <v>25</v>
      </c>
      <c r="C547" s="11">
        <v>25.92</v>
      </c>
      <c r="D547" s="11">
        <v>25.41</v>
      </c>
      <c r="E547" s="2">
        <f t="shared" si="17"/>
        <v>0.51000000000000156</v>
      </c>
      <c r="F547" s="11">
        <v>0</v>
      </c>
      <c r="G547" s="3">
        <f t="shared" si="16"/>
        <v>1.9675925925925986E-2</v>
      </c>
    </row>
    <row r="548" spans="1:7" customFormat="1">
      <c r="A548" s="1">
        <v>19</v>
      </c>
      <c r="B548" s="1" t="s">
        <v>25</v>
      </c>
      <c r="C548" s="11">
        <v>50.09</v>
      </c>
      <c r="D548" s="11">
        <v>48.56</v>
      </c>
      <c r="E548" s="2">
        <f t="shared" si="17"/>
        <v>1.5300000000000011</v>
      </c>
      <c r="F548" s="11">
        <v>0.11799999999999999</v>
      </c>
      <c r="G548" s="3">
        <f t="shared" si="16"/>
        <v>3.2900778598522674E-2</v>
      </c>
    </row>
    <row r="549" spans="1:7" customFormat="1">
      <c r="A549" s="1">
        <v>20</v>
      </c>
      <c r="B549" s="1" t="s">
        <v>25</v>
      </c>
      <c r="C549" s="11">
        <v>25.46</v>
      </c>
      <c r="D549" s="11">
        <v>25.14</v>
      </c>
      <c r="E549" s="2">
        <f t="shared" si="17"/>
        <v>0.32000000000000028</v>
      </c>
      <c r="F549" s="11">
        <v>0.12</v>
      </c>
      <c r="G549" s="3">
        <f t="shared" ref="G549:G612" si="18">(E549+F549)/C549</f>
        <v>1.7282010997643371E-2</v>
      </c>
    </row>
    <row r="550" spans="1:7" customFormat="1">
      <c r="A550" s="1">
        <v>21</v>
      </c>
      <c r="B550" s="1" t="s">
        <v>25</v>
      </c>
      <c r="C550" s="11">
        <v>81.41</v>
      </c>
      <c r="D550" s="11">
        <v>80.790000000000006</v>
      </c>
      <c r="E550" s="2">
        <f t="shared" si="17"/>
        <v>0.61999999999999034</v>
      </c>
      <c r="F550" s="11">
        <v>0.152</v>
      </c>
      <c r="G550" s="3">
        <f t="shared" si="18"/>
        <v>9.4828645129589779E-3</v>
      </c>
    </row>
    <row r="551" spans="1:7" customFormat="1">
      <c r="A551" s="1">
        <v>22</v>
      </c>
      <c r="B551" s="1" t="s">
        <v>25</v>
      </c>
      <c r="C551" s="11">
        <v>0</v>
      </c>
      <c r="D551" s="11">
        <v>0</v>
      </c>
      <c r="E551" s="2">
        <f t="shared" si="17"/>
        <v>0</v>
      </c>
      <c r="F551" s="11">
        <v>0.109</v>
      </c>
      <c r="G551" s="3" t="e">
        <f t="shared" si="18"/>
        <v>#DIV/0!</v>
      </c>
    </row>
    <row r="552" spans="1:7" customFormat="1">
      <c r="A552" s="1">
        <v>23</v>
      </c>
      <c r="B552" s="1" t="s">
        <v>25</v>
      </c>
      <c r="C552" s="11">
        <v>25.91</v>
      </c>
      <c r="D552" s="11">
        <v>25.64</v>
      </c>
      <c r="E552" s="2">
        <f t="shared" si="17"/>
        <v>0.26999999999999957</v>
      </c>
      <c r="F552" s="11">
        <v>0.20699999999999999</v>
      </c>
      <c r="G552" s="3">
        <f t="shared" si="18"/>
        <v>1.8409880355075244E-2</v>
      </c>
    </row>
    <row r="553" spans="1:7" customFormat="1">
      <c r="A553" s="1">
        <v>24</v>
      </c>
      <c r="B553" s="1" t="s">
        <v>25</v>
      </c>
      <c r="C553" s="11">
        <v>57.15</v>
      </c>
      <c r="D553" s="11">
        <v>56.54</v>
      </c>
      <c r="E553" s="2">
        <f t="shared" si="17"/>
        <v>0.60999999999999943</v>
      </c>
      <c r="F553" s="11">
        <v>0.185</v>
      </c>
      <c r="G553" s="3">
        <f t="shared" si="18"/>
        <v>1.3910761154855634E-2</v>
      </c>
    </row>
    <row r="554" spans="1:7" customFormat="1">
      <c r="A554" s="1">
        <v>25</v>
      </c>
      <c r="B554" s="1" t="s">
        <v>25</v>
      </c>
      <c r="C554" s="11">
        <v>83.84</v>
      </c>
      <c r="D554" s="11">
        <v>82.6</v>
      </c>
      <c r="E554" s="2">
        <f t="shared" si="17"/>
        <v>1.2400000000000091</v>
      </c>
      <c r="F554" s="11">
        <v>0.20200000000000001</v>
      </c>
      <c r="G554" s="3">
        <f t="shared" si="18"/>
        <v>1.7199427480916137E-2</v>
      </c>
    </row>
    <row r="555" spans="1:7" customFormat="1">
      <c r="A555" s="1">
        <v>26</v>
      </c>
      <c r="B555" s="1" t="s">
        <v>25</v>
      </c>
      <c r="C555" s="11">
        <v>0</v>
      </c>
      <c r="D555" s="11">
        <v>0</v>
      </c>
      <c r="E555" s="2">
        <f t="shared" si="17"/>
        <v>0</v>
      </c>
      <c r="F555" s="11">
        <v>0.13100000000000001</v>
      </c>
      <c r="G555" s="3" t="e">
        <f t="shared" si="18"/>
        <v>#DIV/0!</v>
      </c>
    </row>
    <row r="556" spans="1:7" customFormat="1">
      <c r="A556" s="1">
        <v>27</v>
      </c>
      <c r="B556" s="1" t="s">
        <v>25</v>
      </c>
      <c r="C556" s="11">
        <v>26.15</v>
      </c>
      <c r="D556" s="11">
        <v>26.04</v>
      </c>
      <c r="E556" s="2">
        <f t="shared" si="17"/>
        <v>0.10999999999999943</v>
      </c>
      <c r="F556" s="11">
        <v>0.11899999999999999</v>
      </c>
      <c r="G556" s="3">
        <f t="shared" si="18"/>
        <v>8.757170172084109E-3</v>
      </c>
    </row>
    <row r="557" spans="1:7" customFormat="1">
      <c r="A557" s="1">
        <v>28</v>
      </c>
      <c r="B557" s="1" t="s">
        <v>25</v>
      </c>
      <c r="C557" s="11">
        <v>27.31</v>
      </c>
      <c r="D557" s="11">
        <v>27.13</v>
      </c>
      <c r="E557" s="2">
        <f t="shared" si="17"/>
        <v>0.17999999999999972</v>
      </c>
      <c r="F557" s="11">
        <v>0.13100000000000001</v>
      </c>
      <c r="G557" s="3">
        <f t="shared" si="18"/>
        <v>1.1387770047601602E-2</v>
      </c>
    </row>
    <row r="558" spans="1:7" customFormat="1">
      <c r="A558" s="1">
        <v>29</v>
      </c>
      <c r="B558" s="1" t="s">
        <v>25</v>
      </c>
      <c r="C558" s="11">
        <v>27.17</v>
      </c>
      <c r="D558" s="11">
        <v>27.03</v>
      </c>
      <c r="E558" s="2">
        <f t="shared" si="17"/>
        <v>0.14000000000000057</v>
      </c>
      <c r="F558" s="11">
        <v>0.214</v>
      </c>
      <c r="G558" s="3">
        <f t="shared" si="18"/>
        <v>1.3029076186970943E-2</v>
      </c>
    </row>
    <row r="559" spans="1:7" customFormat="1">
      <c r="A559" s="1">
        <v>30</v>
      </c>
      <c r="B559" s="1" t="s">
        <v>25</v>
      </c>
      <c r="C559" s="11">
        <v>52.2</v>
      </c>
      <c r="D559" s="11">
        <v>51.89</v>
      </c>
      <c r="E559" s="2">
        <f t="shared" si="17"/>
        <v>0.31000000000000227</v>
      </c>
      <c r="F559" s="11">
        <v>0.18</v>
      </c>
      <c r="G559" s="3">
        <f t="shared" si="18"/>
        <v>9.3869731800766704E-3</v>
      </c>
    </row>
    <row r="560" spans="1:7" customFormat="1">
      <c r="A560" s="1">
        <v>31</v>
      </c>
      <c r="B560" s="1" t="s">
        <v>25</v>
      </c>
      <c r="C560" s="11">
        <v>101.26</v>
      </c>
      <c r="D560" s="11">
        <v>99.81</v>
      </c>
      <c r="E560" s="2">
        <f t="shared" si="17"/>
        <v>1.4500000000000028</v>
      </c>
      <c r="F560" s="11">
        <v>0.224</v>
      </c>
      <c r="G560" s="3">
        <f t="shared" si="18"/>
        <v>1.6531700572782963E-2</v>
      </c>
    </row>
    <row r="561" spans="1:18">
      <c r="A561" s="1">
        <v>1</v>
      </c>
      <c r="B561" s="1" t="s">
        <v>27</v>
      </c>
      <c r="C561" s="11">
        <v>26.57</v>
      </c>
      <c r="D561" s="11">
        <v>26.39</v>
      </c>
      <c r="E561" s="2">
        <f t="shared" si="17"/>
        <v>0.17999999999999972</v>
      </c>
      <c r="F561" s="11">
        <v>8.1000000000000003E-2</v>
      </c>
      <c r="G561" s="3">
        <f t="shared" si="18"/>
        <v>9.8231087692886611E-3</v>
      </c>
      <c r="R561"/>
    </row>
    <row r="562" spans="1:18">
      <c r="A562" s="1">
        <v>2</v>
      </c>
      <c r="B562" s="1" t="s">
        <v>27</v>
      </c>
      <c r="C562" s="11">
        <v>26.2</v>
      </c>
      <c r="D562" s="11">
        <v>25.98</v>
      </c>
      <c r="E562" s="2">
        <f t="shared" si="17"/>
        <v>0.21999999999999886</v>
      </c>
      <c r="F562" s="11">
        <v>7.5999999999999998E-2</v>
      </c>
      <c r="G562" s="3">
        <f t="shared" si="18"/>
        <v>1.1297709923664079E-2</v>
      </c>
      <c r="R562"/>
    </row>
    <row r="563" spans="1:18">
      <c r="A563" s="1">
        <v>3</v>
      </c>
      <c r="B563" s="1" t="s">
        <v>27</v>
      </c>
      <c r="C563" s="11">
        <v>26.2</v>
      </c>
      <c r="D563" s="11">
        <v>26.16</v>
      </c>
      <c r="E563" s="2">
        <f t="shared" si="17"/>
        <v>3.9999999999999147E-2</v>
      </c>
      <c r="F563" s="11">
        <v>0.188</v>
      </c>
      <c r="G563" s="3">
        <f t="shared" si="18"/>
        <v>8.7022900763358453E-3</v>
      </c>
      <c r="R563"/>
    </row>
    <row r="564" spans="1:18">
      <c r="A564" s="1">
        <v>4</v>
      </c>
      <c r="B564" s="1" t="s">
        <v>27</v>
      </c>
      <c r="C564" s="11">
        <v>23.7</v>
      </c>
      <c r="D564" s="11">
        <v>23.48</v>
      </c>
      <c r="E564" s="2">
        <f t="shared" si="17"/>
        <v>0.21999999999999886</v>
      </c>
      <c r="F564" s="11">
        <v>0.11700000000000001</v>
      </c>
      <c r="G564" s="3">
        <f t="shared" si="18"/>
        <v>1.4219409282700374E-2</v>
      </c>
      <c r="R564"/>
    </row>
    <row r="565" spans="1:18">
      <c r="A565" s="1">
        <v>5</v>
      </c>
      <c r="B565" s="1" t="s">
        <v>27</v>
      </c>
      <c r="C565" s="11">
        <v>0</v>
      </c>
      <c r="D565" s="11">
        <v>0</v>
      </c>
      <c r="E565" s="2">
        <f t="shared" si="17"/>
        <v>0</v>
      </c>
      <c r="F565" s="11">
        <v>0.187</v>
      </c>
      <c r="G565" s="3" t="e">
        <f t="shared" si="18"/>
        <v>#DIV/0!</v>
      </c>
      <c r="R565"/>
    </row>
    <row r="566" spans="1:18">
      <c r="A566" s="1">
        <v>6</v>
      </c>
      <c r="B566" s="1" t="s">
        <v>27</v>
      </c>
      <c r="C566" s="11">
        <v>25.14</v>
      </c>
      <c r="D566" s="11">
        <v>25</v>
      </c>
      <c r="E566" s="2">
        <f t="shared" si="17"/>
        <v>0.14000000000000057</v>
      </c>
      <c r="F566" s="11">
        <v>0.21099999999999999</v>
      </c>
      <c r="G566" s="3">
        <f t="shared" si="18"/>
        <v>1.3961813842482121E-2</v>
      </c>
      <c r="R566"/>
    </row>
    <row r="567" spans="1:18">
      <c r="A567" s="1">
        <v>7</v>
      </c>
      <c r="B567" s="1" t="s">
        <v>27</v>
      </c>
      <c r="C567" s="11">
        <v>26.21</v>
      </c>
      <c r="D567" s="11">
        <v>25.88</v>
      </c>
      <c r="E567" s="2">
        <f t="shared" si="17"/>
        <v>0.33000000000000185</v>
      </c>
      <c r="F567" s="11">
        <v>0.114</v>
      </c>
      <c r="G567" s="3">
        <f t="shared" si="18"/>
        <v>1.694009919877916E-2</v>
      </c>
      <c r="R567"/>
    </row>
    <row r="568" spans="1:18">
      <c r="A568" s="1">
        <v>10</v>
      </c>
      <c r="B568" s="1" t="s">
        <v>27</v>
      </c>
      <c r="C568" s="11">
        <v>29.56</v>
      </c>
      <c r="D568" s="11">
        <v>29.43</v>
      </c>
      <c r="E568" s="2">
        <f t="shared" si="17"/>
        <v>0.12999999999999901</v>
      </c>
      <c r="F568" s="11">
        <v>0.221</v>
      </c>
      <c r="G568" s="3">
        <f t="shared" si="18"/>
        <v>1.1874154262516881E-2</v>
      </c>
      <c r="R568"/>
    </row>
    <row r="569" spans="1:18">
      <c r="A569" s="1">
        <v>8</v>
      </c>
      <c r="B569" s="1" t="s">
        <v>27</v>
      </c>
      <c r="C569" s="11">
        <v>26.21</v>
      </c>
      <c r="D569" s="11">
        <v>25.8</v>
      </c>
      <c r="E569" s="2">
        <f t="shared" si="17"/>
        <v>0.41000000000000014</v>
      </c>
      <c r="F569" s="11">
        <v>0.17399999999999999</v>
      </c>
      <c r="G569" s="3">
        <f t="shared" si="18"/>
        <v>2.2281571919114843E-2</v>
      </c>
    </row>
    <row r="570" spans="1:18">
      <c r="A570" s="1">
        <v>9</v>
      </c>
      <c r="B570" s="1" t="s">
        <v>27</v>
      </c>
      <c r="C570" s="11">
        <v>25.96</v>
      </c>
      <c r="D570" s="11">
        <v>25.93</v>
      </c>
      <c r="E570" s="2">
        <f t="shared" si="17"/>
        <v>3.0000000000001137E-2</v>
      </c>
      <c r="F570" s="11">
        <v>0.155</v>
      </c>
      <c r="G570" s="3">
        <f t="shared" si="18"/>
        <v>7.126348228043187E-3</v>
      </c>
      <c r="R570"/>
    </row>
    <row r="571" spans="1:18">
      <c r="A571" s="1">
        <v>11</v>
      </c>
      <c r="B571" s="1" t="s">
        <v>27</v>
      </c>
      <c r="C571" s="11">
        <v>23.3</v>
      </c>
      <c r="D571" s="11">
        <v>22.96</v>
      </c>
      <c r="E571" s="2">
        <f t="shared" si="17"/>
        <v>0.33999999999999986</v>
      </c>
      <c r="F571" s="11">
        <v>0.22500000000000001</v>
      </c>
      <c r="G571" s="3">
        <f t="shared" si="18"/>
        <v>2.4248927038626602E-2</v>
      </c>
      <c r="R571"/>
    </row>
    <row r="572" spans="1:18">
      <c r="A572" s="1">
        <v>12</v>
      </c>
      <c r="B572" s="1" t="s">
        <v>27</v>
      </c>
      <c r="C572" s="11">
        <v>25.76</v>
      </c>
      <c r="D572" s="11">
        <v>25.21</v>
      </c>
      <c r="E572" s="2">
        <f t="shared" si="17"/>
        <v>0.55000000000000071</v>
      </c>
      <c r="F572" s="11">
        <v>0.26600000000000001</v>
      </c>
      <c r="G572" s="3">
        <f t="shared" si="18"/>
        <v>3.1677018633540402E-2</v>
      </c>
      <c r="R572"/>
    </row>
    <row r="573" spans="1:18">
      <c r="A573" s="1">
        <v>13</v>
      </c>
      <c r="B573" s="1" t="s">
        <v>27</v>
      </c>
      <c r="C573" s="11">
        <v>0</v>
      </c>
      <c r="D573" s="11">
        <v>0</v>
      </c>
      <c r="E573" s="2">
        <f t="shared" si="17"/>
        <v>0</v>
      </c>
      <c r="F573" s="11">
        <v>0.11700000000000001</v>
      </c>
      <c r="G573" s="3" t="e">
        <f t="shared" si="18"/>
        <v>#DIV/0!</v>
      </c>
      <c r="R573"/>
    </row>
    <row r="574" spans="1:18">
      <c r="A574" s="1">
        <v>14</v>
      </c>
      <c r="B574" s="1" t="s">
        <v>27</v>
      </c>
      <c r="C574" s="11">
        <v>26.72</v>
      </c>
      <c r="D574" s="11">
        <v>26.55</v>
      </c>
      <c r="E574" s="2">
        <f t="shared" si="17"/>
        <v>0.16999999999999815</v>
      </c>
      <c r="F574" s="11">
        <v>0.17799999999999999</v>
      </c>
      <c r="G574" s="3">
        <f t="shared" si="18"/>
        <v>1.3023952095808315E-2</v>
      </c>
      <c r="R574"/>
    </row>
    <row r="575" spans="1:18">
      <c r="A575" s="1">
        <v>15</v>
      </c>
      <c r="B575" s="1" t="s">
        <v>27</v>
      </c>
      <c r="C575" s="11">
        <v>23.76</v>
      </c>
      <c r="D575" s="11">
        <v>23.6</v>
      </c>
      <c r="E575" s="2">
        <f t="shared" si="17"/>
        <v>0.16000000000000014</v>
      </c>
      <c r="F575" s="11">
        <v>0.156</v>
      </c>
      <c r="G575" s="3">
        <f t="shared" si="18"/>
        <v>1.3299663299663306E-2</v>
      </c>
      <c r="R575"/>
    </row>
    <row r="576" spans="1:18">
      <c r="A576" s="1">
        <v>16</v>
      </c>
      <c r="B576" s="1" t="s">
        <v>27</v>
      </c>
      <c r="C576" s="11">
        <v>25.24</v>
      </c>
      <c r="D576" s="11">
        <v>25.23</v>
      </c>
      <c r="E576" s="2">
        <f t="shared" si="17"/>
        <v>9.9999999999980105E-3</v>
      </c>
      <c r="F576" s="11">
        <v>0.26700000000000002</v>
      </c>
      <c r="G576" s="3">
        <f t="shared" si="18"/>
        <v>1.0974643423137798E-2</v>
      </c>
      <c r="R576"/>
    </row>
    <row r="577" spans="1:7" customFormat="1">
      <c r="A577" s="1">
        <v>17</v>
      </c>
      <c r="B577" s="1" t="s">
        <v>27</v>
      </c>
      <c r="C577" s="11">
        <v>26.08</v>
      </c>
      <c r="D577" s="11">
        <v>26</v>
      </c>
      <c r="E577" s="2">
        <f t="shared" si="17"/>
        <v>7.9999999999998295E-2</v>
      </c>
      <c r="F577" s="11">
        <v>0.224</v>
      </c>
      <c r="G577" s="3">
        <f t="shared" si="18"/>
        <v>1.1656441717791345E-2</v>
      </c>
    </row>
    <row r="578" spans="1:7" customFormat="1">
      <c r="A578" s="1">
        <v>18</v>
      </c>
      <c r="B578" s="1" t="s">
        <v>27</v>
      </c>
      <c r="C578" s="11">
        <v>26.7</v>
      </c>
      <c r="D578" s="11">
        <v>26.62</v>
      </c>
      <c r="E578" s="2">
        <f t="shared" si="17"/>
        <v>7.9999999999998295E-2</v>
      </c>
      <c r="F578" s="11">
        <v>0.34399999999999997</v>
      </c>
      <c r="G578" s="3">
        <f t="shared" si="18"/>
        <v>1.5880149812734019E-2</v>
      </c>
    </row>
    <row r="579" spans="1:7" customFormat="1">
      <c r="A579" s="1">
        <v>19</v>
      </c>
      <c r="B579" s="1" t="s">
        <v>27</v>
      </c>
      <c r="C579" s="11">
        <v>21.9</v>
      </c>
      <c r="D579" s="11">
        <v>21.78</v>
      </c>
      <c r="E579" s="2">
        <f t="shared" si="17"/>
        <v>0.11999999999999744</v>
      </c>
      <c r="F579" s="11">
        <v>0.25600000000000001</v>
      </c>
      <c r="G579" s="3">
        <f t="shared" si="18"/>
        <v>1.7168949771689382E-2</v>
      </c>
    </row>
    <row r="580" spans="1:7" customFormat="1">
      <c r="A580" s="1">
        <v>20</v>
      </c>
      <c r="B580" s="1" t="s">
        <v>27</v>
      </c>
      <c r="C580" s="11">
        <v>28.57</v>
      </c>
      <c r="D580" s="11">
        <v>28.37</v>
      </c>
      <c r="E580" s="2">
        <f t="shared" ref="E580:E643" si="19">C580-D580</f>
        <v>0.19999999999999929</v>
      </c>
      <c r="F580" s="11">
        <v>0.16600000000000001</v>
      </c>
      <c r="G580" s="3">
        <f t="shared" si="18"/>
        <v>1.2810640532026577E-2</v>
      </c>
    </row>
    <row r="581" spans="1:7" customFormat="1">
      <c r="A581" s="1">
        <v>21</v>
      </c>
      <c r="B581" s="1" t="s">
        <v>27</v>
      </c>
      <c r="C581" s="11">
        <v>51.45</v>
      </c>
      <c r="D581" s="11">
        <v>51.16</v>
      </c>
      <c r="E581" s="2">
        <f t="shared" si="19"/>
        <v>0.29000000000000625</v>
      </c>
      <c r="F581" s="11">
        <v>0.33500000000000002</v>
      </c>
      <c r="G581" s="3">
        <f t="shared" si="18"/>
        <v>1.2147716229349003E-2</v>
      </c>
    </row>
    <row r="582" spans="1:7" customFormat="1">
      <c r="A582" s="1">
        <v>22</v>
      </c>
      <c r="B582" s="1" t="s">
        <v>27</v>
      </c>
      <c r="C582" s="11">
        <v>27.64</v>
      </c>
      <c r="D582" s="11">
        <v>27</v>
      </c>
      <c r="E582" s="2">
        <f t="shared" si="19"/>
        <v>0.64000000000000057</v>
      </c>
      <c r="F582" s="11">
        <v>0.21099999999999999</v>
      </c>
      <c r="G582" s="3">
        <f t="shared" si="18"/>
        <v>3.0788712011577443E-2</v>
      </c>
    </row>
    <row r="583" spans="1:7" customFormat="1">
      <c r="A583" s="1">
        <v>23</v>
      </c>
      <c r="B583" s="1" t="s">
        <v>27</v>
      </c>
      <c r="C583" s="11">
        <v>27.78</v>
      </c>
      <c r="D583" s="11">
        <v>27.28</v>
      </c>
      <c r="E583" s="2">
        <f t="shared" si="19"/>
        <v>0.5</v>
      </c>
      <c r="F583" s="11">
        <v>0.16</v>
      </c>
      <c r="G583" s="3">
        <f t="shared" si="18"/>
        <v>2.3758099352051837E-2</v>
      </c>
    </row>
    <row r="584" spans="1:7" customFormat="1">
      <c r="A584" s="1">
        <v>24</v>
      </c>
      <c r="B584" s="1" t="s">
        <v>27</v>
      </c>
      <c r="C584" s="11">
        <v>0</v>
      </c>
      <c r="D584" s="11">
        <v>0</v>
      </c>
      <c r="E584" s="2">
        <f t="shared" si="19"/>
        <v>0</v>
      </c>
      <c r="F584" s="11">
        <v>0.28799999999999998</v>
      </c>
      <c r="G584" s="3" t="e">
        <f t="shared" si="18"/>
        <v>#DIV/0!</v>
      </c>
    </row>
    <row r="585" spans="1:7" customFormat="1">
      <c r="A585" s="1">
        <v>25</v>
      </c>
      <c r="B585" s="1" t="s">
        <v>27</v>
      </c>
      <c r="C585" s="11">
        <v>27.42</v>
      </c>
      <c r="D585" s="11">
        <v>27.31</v>
      </c>
      <c r="E585" s="2">
        <f t="shared" si="19"/>
        <v>0.11000000000000298</v>
      </c>
      <c r="F585" s="11">
        <v>0.27600000000000002</v>
      </c>
      <c r="G585" s="3">
        <f t="shared" si="18"/>
        <v>1.4077315827862983E-2</v>
      </c>
    </row>
    <row r="586" spans="1:7" customFormat="1">
      <c r="A586" s="1">
        <v>26</v>
      </c>
      <c r="B586" s="1" t="s">
        <v>27</v>
      </c>
      <c r="C586" s="11">
        <v>54.53</v>
      </c>
      <c r="D586" s="11">
        <v>54.18</v>
      </c>
      <c r="E586" s="2">
        <f t="shared" si="19"/>
        <v>0.35000000000000142</v>
      </c>
      <c r="F586" s="11">
        <v>0.32400000000000001</v>
      </c>
      <c r="G586" s="3">
        <f t="shared" si="18"/>
        <v>1.2360168714469126E-2</v>
      </c>
    </row>
    <row r="587" spans="1:7" customFormat="1">
      <c r="A587" s="1">
        <v>27</v>
      </c>
      <c r="B587" s="1" t="s">
        <v>27</v>
      </c>
      <c r="C587" s="11">
        <v>0</v>
      </c>
      <c r="D587" s="11">
        <v>0</v>
      </c>
      <c r="E587" s="2">
        <f t="shared" si="19"/>
        <v>0</v>
      </c>
      <c r="F587" s="11">
        <v>0.25900000000000001</v>
      </c>
      <c r="G587" s="3" t="e">
        <f t="shared" si="18"/>
        <v>#DIV/0!</v>
      </c>
    </row>
    <row r="588" spans="1:7" customFormat="1">
      <c r="A588" s="1">
        <v>28</v>
      </c>
      <c r="B588" s="1" t="s">
        <v>27</v>
      </c>
      <c r="C588" s="11">
        <v>47.86</v>
      </c>
      <c r="D588" s="11">
        <v>47.43</v>
      </c>
      <c r="E588" s="2">
        <f t="shared" si="19"/>
        <v>0.42999999999999972</v>
      </c>
      <c r="F588" s="11">
        <v>0.30399999999999999</v>
      </c>
      <c r="G588" s="3">
        <f t="shared" si="18"/>
        <v>1.5336397826995399E-2</v>
      </c>
    </row>
    <row r="589" spans="1:7" customFormat="1">
      <c r="A589" s="1">
        <v>29</v>
      </c>
      <c r="B589" s="1" t="s">
        <v>27</v>
      </c>
      <c r="C589" s="11">
        <v>28.01</v>
      </c>
      <c r="D589" s="11">
        <v>27.59</v>
      </c>
      <c r="E589" s="2">
        <f t="shared" si="19"/>
        <v>0.42000000000000171</v>
      </c>
      <c r="F589" s="11">
        <v>0.13</v>
      </c>
      <c r="G589" s="3">
        <f t="shared" si="18"/>
        <v>1.9635844341306736E-2</v>
      </c>
    </row>
    <row r="590" spans="1:7" customFormat="1">
      <c r="A590" s="1">
        <v>30</v>
      </c>
      <c r="B590" s="1" t="s">
        <v>27</v>
      </c>
      <c r="C590" s="11">
        <v>25.36</v>
      </c>
      <c r="D590" s="11">
        <v>25.29</v>
      </c>
      <c r="E590" s="2">
        <f t="shared" si="19"/>
        <v>7.0000000000000284E-2</v>
      </c>
      <c r="F590" s="11">
        <v>0.29699999999999999</v>
      </c>
      <c r="G590" s="3">
        <f t="shared" si="18"/>
        <v>1.4471608832807582E-2</v>
      </c>
    </row>
    <row r="591" spans="1:7" customFormat="1">
      <c r="A591" s="1">
        <v>31</v>
      </c>
      <c r="B591" s="1" t="s">
        <v>27</v>
      </c>
      <c r="C591" s="11">
        <v>28.09</v>
      </c>
      <c r="D591" s="11">
        <v>27.81</v>
      </c>
      <c r="E591" s="2">
        <f t="shared" si="19"/>
        <v>0.28000000000000114</v>
      </c>
      <c r="F591" s="11">
        <v>0.254</v>
      </c>
      <c r="G591" s="3">
        <f t="shared" si="18"/>
        <v>1.9010323958704205E-2</v>
      </c>
    </row>
    <row r="592" spans="1:7" customFormat="1">
      <c r="A592" s="1">
        <v>1</v>
      </c>
      <c r="B592" s="1" t="s">
        <v>26</v>
      </c>
      <c r="C592" s="11">
        <v>7.23</v>
      </c>
      <c r="D592" s="11">
        <v>7.15</v>
      </c>
      <c r="E592" s="2">
        <f t="shared" si="19"/>
        <v>8.0000000000000071E-2</v>
      </c>
      <c r="F592" s="11">
        <v>0.129</v>
      </c>
      <c r="G592" s="3">
        <f t="shared" si="18"/>
        <v>2.8907330567081613E-2</v>
      </c>
    </row>
    <row r="593" spans="1:18">
      <c r="A593" s="1">
        <v>2</v>
      </c>
      <c r="B593" s="1" t="s">
        <v>26</v>
      </c>
      <c r="C593" s="11">
        <v>9.4700000000000006</v>
      </c>
      <c r="D593" s="11">
        <v>9.34</v>
      </c>
      <c r="E593" s="2">
        <f t="shared" si="19"/>
        <v>0.13000000000000078</v>
      </c>
      <c r="F593" s="11">
        <v>0.157</v>
      </c>
      <c r="G593" s="3">
        <f t="shared" si="18"/>
        <v>3.0306230200633662E-2</v>
      </c>
      <c r="R593"/>
    </row>
    <row r="594" spans="1:18">
      <c r="A594" s="1">
        <v>3</v>
      </c>
      <c r="B594" s="1" t="s">
        <v>26</v>
      </c>
      <c r="C594" s="11">
        <v>24.32</v>
      </c>
      <c r="D594" s="11">
        <v>24.08</v>
      </c>
      <c r="E594" s="2">
        <f t="shared" si="19"/>
        <v>0.24000000000000199</v>
      </c>
      <c r="F594" s="11">
        <v>0.152</v>
      </c>
      <c r="G594" s="3">
        <f t="shared" si="18"/>
        <v>1.611842105263166E-2</v>
      </c>
      <c r="R594"/>
    </row>
    <row r="595" spans="1:18">
      <c r="A595" s="1">
        <v>4</v>
      </c>
      <c r="B595" s="1" t="s">
        <v>26</v>
      </c>
      <c r="C595" s="11">
        <v>21.19</v>
      </c>
      <c r="D595" s="11">
        <v>21.03</v>
      </c>
      <c r="E595" s="2">
        <f t="shared" si="19"/>
        <v>0.16000000000000014</v>
      </c>
      <c r="F595" s="11">
        <v>0.127</v>
      </c>
      <c r="G595" s="3">
        <f t="shared" si="18"/>
        <v>1.3544124587069379E-2</v>
      </c>
      <c r="R595"/>
    </row>
    <row r="596" spans="1:18">
      <c r="A596" s="1">
        <v>5</v>
      </c>
      <c r="B596" s="1" t="s">
        <v>26</v>
      </c>
      <c r="C596" s="11">
        <v>0</v>
      </c>
      <c r="D596" s="11">
        <v>0</v>
      </c>
      <c r="E596" s="2">
        <f t="shared" si="19"/>
        <v>0</v>
      </c>
      <c r="F596" s="11">
        <v>0.153</v>
      </c>
      <c r="G596" s="3" t="e">
        <f t="shared" si="18"/>
        <v>#DIV/0!</v>
      </c>
      <c r="R596"/>
    </row>
    <row r="597" spans="1:18">
      <c r="A597" s="1">
        <v>6</v>
      </c>
      <c r="B597" s="1" t="s">
        <v>26</v>
      </c>
      <c r="C597" s="11">
        <v>0</v>
      </c>
      <c r="D597" s="11">
        <v>0</v>
      </c>
      <c r="E597" s="2">
        <f t="shared" si="19"/>
        <v>0</v>
      </c>
      <c r="F597" s="11">
        <v>0.127</v>
      </c>
      <c r="G597" s="3" t="e">
        <f t="shared" si="18"/>
        <v>#DIV/0!</v>
      </c>
      <c r="R597"/>
    </row>
    <row r="598" spans="1:18">
      <c r="A598" s="1">
        <v>7</v>
      </c>
      <c r="B598" s="1" t="s">
        <v>26</v>
      </c>
      <c r="C598" s="11">
        <v>17.66</v>
      </c>
      <c r="D598" s="11">
        <v>17.32</v>
      </c>
      <c r="E598" s="2">
        <f t="shared" si="19"/>
        <v>0.33999999999999986</v>
      </c>
      <c r="F598" s="11">
        <v>0.20899999999999999</v>
      </c>
      <c r="G598" s="3">
        <f t="shared" si="18"/>
        <v>3.1087202718006784E-2</v>
      </c>
      <c r="R598"/>
    </row>
    <row r="599" spans="1:18">
      <c r="A599" s="1">
        <v>10</v>
      </c>
      <c r="B599" s="1" t="s">
        <v>26</v>
      </c>
      <c r="C599" s="11">
        <v>8.2799999999999994</v>
      </c>
      <c r="D599" s="11">
        <v>8.17</v>
      </c>
      <c r="E599" s="2">
        <f t="shared" si="19"/>
        <v>0.10999999999999943</v>
      </c>
      <c r="F599" s="11">
        <v>0.10100000000000001</v>
      </c>
      <c r="G599" s="3">
        <f t="shared" si="18"/>
        <v>2.5483091787439547E-2</v>
      </c>
      <c r="R599"/>
    </row>
    <row r="600" spans="1:18">
      <c r="A600" s="1">
        <v>8</v>
      </c>
      <c r="B600" s="1" t="s">
        <v>26</v>
      </c>
      <c r="C600" s="11">
        <v>7.43</v>
      </c>
      <c r="D600" s="11">
        <v>7.28</v>
      </c>
      <c r="E600" s="2">
        <f t="shared" si="19"/>
        <v>0.14999999999999947</v>
      </c>
      <c r="F600" s="11">
        <v>0.06</v>
      </c>
      <c r="G600" s="3">
        <f t="shared" si="18"/>
        <v>2.826379542395686E-2</v>
      </c>
    </row>
    <row r="601" spans="1:18">
      <c r="A601" s="1">
        <v>9</v>
      </c>
      <c r="B601" s="1" t="s">
        <v>26</v>
      </c>
      <c r="C601" s="11">
        <v>15.19</v>
      </c>
      <c r="D601" s="11">
        <v>14.94</v>
      </c>
      <c r="E601" s="2">
        <f t="shared" si="19"/>
        <v>0.25</v>
      </c>
      <c r="F601" s="11">
        <v>0.106</v>
      </c>
      <c r="G601" s="3">
        <f t="shared" si="18"/>
        <v>2.3436471362738645E-2</v>
      </c>
      <c r="R601"/>
    </row>
    <row r="602" spans="1:18">
      <c r="A602" s="1">
        <v>11</v>
      </c>
      <c r="B602" s="1" t="s">
        <v>26</v>
      </c>
      <c r="C602" s="11">
        <v>24.76</v>
      </c>
      <c r="D602" s="11">
        <v>24.35</v>
      </c>
      <c r="E602" s="2">
        <f t="shared" si="19"/>
        <v>0.41000000000000014</v>
      </c>
      <c r="F602" s="11">
        <v>0.39900000000000002</v>
      </c>
      <c r="G602" s="3">
        <f t="shared" si="18"/>
        <v>3.2673667205169635E-2</v>
      </c>
      <c r="R602"/>
    </row>
    <row r="603" spans="1:18">
      <c r="A603" s="1">
        <v>12</v>
      </c>
      <c r="B603" s="1" t="s">
        <v>26</v>
      </c>
      <c r="C603" s="11">
        <v>13.01</v>
      </c>
      <c r="D603" s="11">
        <v>12.88</v>
      </c>
      <c r="E603" s="2">
        <f t="shared" si="19"/>
        <v>0.12999999999999901</v>
      </c>
      <c r="F603" s="11">
        <v>0.29199999999999998</v>
      </c>
      <c r="G603" s="3">
        <f t="shared" si="18"/>
        <v>3.243658724058409E-2</v>
      </c>
      <c r="R603"/>
    </row>
    <row r="604" spans="1:18">
      <c r="A604" s="1">
        <v>13</v>
      </c>
      <c r="B604" s="1" t="s">
        <v>26</v>
      </c>
      <c r="C604" s="11">
        <v>5.82</v>
      </c>
      <c r="D604" s="11">
        <v>5.77</v>
      </c>
      <c r="E604" s="2">
        <f t="shared" si="19"/>
        <v>5.0000000000000711E-2</v>
      </c>
      <c r="F604" s="11">
        <v>0.13300000000000001</v>
      </c>
      <c r="G604" s="3">
        <f t="shared" si="18"/>
        <v>3.1443298969072289E-2</v>
      </c>
      <c r="R604"/>
    </row>
    <row r="605" spans="1:18">
      <c r="A605" s="1">
        <v>14</v>
      </c>
      <c r="B605" s="1" t="s">
        <v>26</v>
      </c>
      <c r="C605" s="11">
        <v>36.450000000000003</v>
      </c>
      <c r="D605" s="11">
        <v>36.08</v>
      </c>
      <c r="E605" s="2">
        <f t="shared" si="19"/>
        <v>0.37000000000000455</v>
      </c>
      <c r="F605" s="11">
        <v>0.14499999999999999</v>
      </c>
      <c r="G605" s="3">
        <f t="shared" si="18"/>
        <v>1.4128943758573513E-2</v>
      </c>
      <c r="R605"/>
    </row>
    <row r="606" spans="1:18">
      <c r="A606" s="1">
        <v>15</v>
      </c>
      <c r="B606" s="1" t="s">
        <v>26</v>
      </c>
      <c r="C606" s="11">
        <v>24.73</v>
      </c>
      <c r="D606" s="11">
        <v>24.69</v>
      </c>
      <c r="E606" s="2">
        <f t="shared" si="19"/>
        <v>3.9999999999999147E-2</v>
      </c>
      <c r="F606" s="11">
        <v>0.125</v>
      </c>
      <c r="G606" s="3">
        <f t="shared" si="18"/>
        <v>6.6720582288717807E-3</v>
      </c>
      <c r="R606"/>
    </row>
    <row r="607" spans="1:18">
      <c r="A607" s="1">
        <v>16</v>
      </c>
      <c r="B607" s="1" t="s">
        <v>26</v>
      </c>
      <c r="C607" s="11">
        <v>0</v>
      </c>
      <c r="D607" s="11">
        <v>0</v>
      </c>
      <c r="E607" s="2">
        <f t="shared" si="19"/>
        <v>0</v>
      </c>
      <c r="F607" s="11">
        <v>0.16900000000000001</v>
      </c>
      <c r="G607" s="3" t="e">
        <f t="shared" si="18"/>
        <v>#DIV/0!</v>
      </c>
      <c r="R607"/>
    </row>
    <row r="608" spans="1:18">
      <c r="A608" s="1">
        <v>17</v>
      </c>
      <c r="B608" s="1" t="s">
        <v>26</v>
      </c>
      <c r="C608" s="11">
        <v>47.54</v>
      </c>
      <c r="D608" s="11">
        <v>47.28</v>
      </c>
      <c r="E608" s="2">
        <f t="shared" si="19"/>
        <v>0.25999999999999801</v>
      </c>
      <c r="F608" s="11">
        <v>0.2</v>
      </c>
      <c r="G608" s="3">
        <f t="shared" si="18"/>
        <v>9.6760622633571321E-3</v>
      </c>
      <c r="R608"/>
    </row>
    <row r="609" spans="1:7" customFormat="1">
      <c r="A609" s="1">
        <v>18</v>
      </c>
      <c r="B609" s="1" t="s">
        <v>26</v>
      </c>
      <c r="C609" s="11">
        <v>11.3</v>
      </c>
      <c r="D609" s="11">
        <v>11.18</v>
      </c>
      <c r="E609" s="2">
        <f t="shared" si="19"/>
        <v>0.12000000000000099</v>
      </c>
      <c r="F609" s="11">
        <v>0.215</v>
      </c>
      <c r="G609" s="3">
        <f t="shared" si="18"/>
        <v>2.9646017699115127E-2</v>
      </c>
    </row>
    <row r="610" spans="1:7" customFormat="1">
      <c r="A610" s="1">
        <v>19</v>
      </c>
      <c r="B610" s="1" t="s">
        <v>26</v>
      </c>
      <c r="C610" s="11">
        <v>11.35</v>
      </c>
      <c r="D610" s="11">
        <v>11.23</v>
      </c>
      <c r="E610" s="2">
        <f t="shared" si="19"/>
        <v>0.11999999999999922</v>
      </c>
      <c r="F610" s="11">
        <v>0.13300000000000001</v>
      </c>
      <c r="G610" s="3">
        <f t="shared" si="18"/>
        <v>2.2290748898678346E-2</v>
      </c>
    </row>
    <row r="611" spans="1:7" customFormat="1">
      <c r="A611" s="1">
        <v>20</v>
      </c>
      <c r="B611" s="1" t="s">
        <v>26</v>
      </c>
      <c r="C611" s="11">
        <v>11.99</v>
      </c>
      <c r="D611" s="11">
        <v>11.75</v>
      </c>
      <c r="E611" s="2">
        <f t="shared" si="19"/>
        <v>0.24000000000000021</v>
      </c>
      <c r="F611" s="11">
        <v>0.13500000000000001</v>
      </c>
      <c r="G611" s="3">
        <f t="shared" si="18"/>
        <v>3.1276063386155149E-2</v>
      </c>
    </row>
    <row r="612" spans="1:7" customFormat="1">
      <c r="A612" s="1">
        <v>21</v>
      </c>
      <c r="B612" s="1" t="s">
        <v>26</v>
      </c>
      <c r="C612" s="11">
        <v>36.4</v>
      </c>
      <c r="D612" s="11">
        <v>36.03</v>
      </c>
      <c r="E612" s="2">
        <f t="shared" si="19"/>
        <v>0.36999999999999744</v>
      </c>
      <c r="F612" s="11">
        <v>9.8000000000000004E-2</v>
      </c>
      <c r="G612" s="3">
        <f t="shared" si="18"/>
        <v>1.2857142857142788E-2</v>
      </c>
    </row>
    <row r="613" spans="1:7" customFormat="1">
      <c r="A613" s="1">
        <v>22</v>
      </c>
      <c r="B613" s="1" t="s">
        <v>26</v>
      </c>
      <c r="C613" s="11">
        <v>25.93</v>
      </c>
      <c r="D613" s="11">
        <v>25.81</v>
      </c>
      <c r="E613" s="2">
        <f t="shared" si="19"/>
        <v>0.12000000000000099</v>
      </c>
      <c r="F613" s="11">
        <v>8.1000000000000003E-2</v>
      </c>
      <c r="G613" s="3">
        <f t="shared" ref="G613:G676" si="20">(E613+F613)/C613</f>
        <v>7.7516390281527582E-3</v>
      </c>
    </row>
    <row r="614" spans="1:7" customFormat="1">
      <c r="A614" s="1">
        <v>23</v>
      </c>
      <c r="B614" s="1" t="s">
        <v>26</v>
      </c>
      <c r="C614" s="11">
        <v>84.78</v>
      </c>
      <c r="D614" s="11">
        <v>84.29</v>
      </c>
      <c r="E614" s="2">
        <f t="shared" si="19"/>
        <v>0.48999999999999488</v>
      </c>
      <c r="F614" s="11">
        <v>0.219</v>
      </c>
      <c r="G614" s="3">
        <f t="shared" si="20"/>
        <v>8.3628214201462003E-3</v>
      </c>
    </row>
    <row r="615" spans="1:7" customFormat="1">
      <c r="A615" s="1">
        <v>24</v>
      </c>
      <c r="B615" s="1" t="s">
        <v>26</v>
      </c>
      <c r="C615" s="11">
        <v>23.74</v>
      </c>
      <c r="D615" s="11">
        <v>23.62</v>
      </c>
      <c r="E615" s="2">
        <f t="shared" si="19"/>
        <v>0.11999999999999744</v>
      </c>
      <c r="F615" s="11">
        <v>0.157</v>
      </c>
      <c r="G615" s="3">
        <f t="shared" si="20"/>
        <v>1.1668070766638479E-2</v>
      </c>
    </row>
    <row r="616" spans="1:7" customFormat="1">
      <c r="A616" s="1">
        <v>25</v>
      </c>
      <c r="B616" s="1" t="s">
        <v>26</v>
      </c>
      <c r="C616" s="11">
        <v>0</v>
      </c>
      <c r="D616" s="11">
        <v>0</v>
      </c>
      <c r="E616" s="2">
        <f t="shared" si="19"/>
        <v>0</v>
      </c>
      <c r="F616" s="11">
        <v>0.14000000000000001</v>
      </c>
      <c r="G616" s="3" t="e">
        <f t="shared" si="20"/>
        <v>#DIV/0!</v>
      </c>
    </row>
    <row r="617" spans="1:7" customFormat="1">
      <c r="A617" s="1">
        <v>26</v>
      </c>
      <c r="B617" s="1" t="s">
        <v>26</v>
      </c>
      <c r="C617" s="11">
        <v>26.86</v>
      </c>
      <c r="D617" s="11">
        <v>26.74</v>
      </c>
      <c r="E617" s="2">
        <f t="shared" si="19"/>
        <v>0.12000000000000099</v>
      </c>
      <c r="F617" s="11">
        <v>0.21</v>
      </c>
      <c r="G617" s="3">
        <f t="shared" si="20"/>
        <v>1.22859270290395E-2</v>
      </c>
    </row>
    <row r="618" spans="1:7" customFormat="1">
      <c r="A618" s="1">
        <v>27</v>
      </c>
      <c r="B618" s="1" t="s">
        <v>26</v>
      </c>
      <c r="C618" s="11">
        <v>31.16</v>
      </c>
      <c r="D618" s="11">
        <v>30.98</v>
      </c>
      <c r="E618" s="2">
        <f t="shared" si="19"/>
        <v>0.17999999999999972</v>
      </c>
      <c r="F618" s="11">
        <v>0.192</v>
      </c>
      <c r="G618" s="3">
        <f t="shared" si="20"/>
        <v>1.1938382541720145E-2</v>
      </c>
    </row>
    <row r="619" spans="1:7" customFormat="1">
      <c r="A619" s="1">
        <v>28</v>
      </c>
      <c r="B619" s="1" t="s">
        <v>26</v>
      </c>
      <c r="C619" s="11">
        <v>23.53</v>
      </c>
      <c r="D619" s="11">
        <v>23.28</v>
      </c>
      <c r="E619" s="2">
        <f t="shared" si="19"/>
        <v>0.25</v>
      </c>
      <c r="F619" s="11">
        <v>0.14899999999999999</v>
      </c>
      <c r="G619" s="3">
        <f t="shared" si="20"/>
        <v>1.6957076073098171E-2</v>
      </c>
    </row>
    <row r="620" spans="1:7" customFormat="1">
      <c r="A620" s="1">
        <v>29</v>
      </c>
      <c r="B620" s="1" t="s">
        <v>26</v>
      </c>
      <c r="C620" s="11">
        <v>0</v>
      </c>
      <c r="D620" s="11">
        <v>0</v>
      </c>
      <c r="E620" s="2">
        <f t="shared" si="19"/>
        <v>0</v>
      </c>
      <c r="F620" s="11">
        <v>7.9000000000000001E-2</v>
      </c>
      <c r="G620" s="3" t="e">
        <f t="shared" si="20"/>
        <v>#DIV/0!</v>
      </c>
    </row>
    <row r="621" spans="1:7" customFormat="1">
      <c r="A621" s="1">
        <v>30</v>
      </c>
      <c r="B621" s="1" t="s">
        <v>26</v>
      </c>
      <c r="C621" s="11">
        <v>13.48</v>
      </c>
      <c r="D621" s="11">
        <v>13.36</v>
      </c>
      <c r="E621" s="2">
        <f t="shared" si="19"/>
        <v>0.12000000000000099</v>
      </c>
      <c r="F621" s="11">
        <v>0.12</v>
      </c>
      <c r="G621" s="3">
        <f t="shared" si="20"/>
        <v>1.7804154302670697E-2</v>
      </c>
    </row>
    <row r="622" spans="1:7" customFormat="1">
      <c r="A622" s="1">
        <v>31</v>
      </c>
      <c r="B622" s="1" t="s">
        <v>26</v>
      </c>
      <c r="C622" s="11">
        <v>31.59</v>
      </c>
      <c r="D622" s="11">
        <v>31.36</v>
      </c>
      <c r="E622" s="2">
        <f t="shared" si="19"/>
        <v>0.23000000000000043</v>
      </c>
      <c r="F622" s="11">
        <v>0.20300000000000001</v>
      </c>
      <c r="G622" s="3">
        <f t="shared" si="20"/>
        <v>1.3706869262424832E-2</v>
      </c>
    </row>
    <row r="623" spans="1:7" customFormat="1">
      <c r="A623" s="1">
        <v>1</v>
      </c>
      <c r="B623" s="1" t="s">
        <v>28</v>
      </c>
      <c r="C623" s="11">
        <v>0</v>
      </c>
      <c r="D623" s="11">
        <v>0</v>
      </c>
      <c r="E623" s="2">
        <f t="shared" si="19"/>
        <v>0</v>
      </c>
      <c r="F623" s="11">
        <v>0.185</v>
      </c>
      <c r="G623" s="3" t="e">
        <f t="shared" si="20"/>
        <v>#DIV/0!</v>
      </c>
    </row>
    <row r="624" spans="1:7" customFormat="1">
      <c r="A624" s="1">
        <v>2</v>
      </c>
      <c r="B624" s="1" t="s">
        <v>28</v>
      </c>
      <c r="C624" s="11">
        <v>28.64</v>
      </c>
      <c r="D624" s="11">
        <v>28.4</v>
      </c>
      <c r="E624" s="2">
        <f t="shared" si="19"/>
        <v>0.24000000000000199</v>
      </c>
      <c r="F624" s="11">
        <v>0.126</v>
      </c>
      <c r="G624" s="3">
        <f t="shared" si="20"/>
        <v>1.2779329608938617E-2</v>
      </c>
    </row>
    <row r="625" spans="1:18">
      <c r="A625" s="1">
        <v>3</v>
      </c>
      <c r="B625" s="1" t="s">
        <v>28</v>
      </c>
      <c r="C625" s="11">
        <v>25.99</v>
      </c>
      <c r="D625" s="11">
        <v>25.72</v>
      </c>
      <c r="E625" s="2">
        <f t="shared" si="19"/>
        <v>0.26999999999999957</v>
      </c>
      <c r="F625" s="11">
        <v>0.21199999999999999</v>
      </c>
      <c r="G625" s="3">
        <f t="shared" si="20"/>
        <v>1.8545594459407448E-2</v>
      </c>
      <c r="R625"/>
    </row>
    <row r="626" spans="1:18">
      <c r="A626" s="1">
        <v>4</v>
      </c>
      <c r="B626" s="1" t="s">
        <v>28</v>
      </c>
      <c r="C626" s="11">
        <v>0</v>
      </c>
      <c r="D626" s="11">
        <v>0</v>
      </c>
      <c r="E626" s="2">
        <f t="shared" si="19"/>
        <v>0</v>
      </c>
      <c r="F626" s="11">
        <v>0.16700000000000001</v>
      </c>
      <c r="G626" s="3" t="e">
        <f t="shared" si="20"/>
        <v>#DIV/0!</v>
      </c>
      <c r="R626"/>
    </row>
    <row r="627" spans="1:18">
      <c r="A627" s="1">
        <v>5</v>
      </c>
      <c r="B627" s="1" t="s">
        <v>28</v>
      </c>
      <c r="C627" s="11">
        <v>28.21</v>
      </c>
      <c r="D627" s="11">
        <v>28.02</v>
      </c>
      <c r="E627" s="2">
        <f t="shared" si="19"/>
        <v>0.19000000000000128</v>
      </c>
      <c r="F627" s="11">
        <v>0.13599999999999923</v>
      </c>
      <c r="G627" s="3">
        <f t="shared" si="20"/>
        <v>1.1556185749734155E-2</v>
      </c>
      <c r="R627"/>
    </row>
    <row r="628" spans="1:18">
      <c r="A628" s="1">
        <v>6</v>
      </c>
      <c r="B628" s="1" t="s">
        <v>28</v>
      </c>
      <c r="C628" s="11">
        <v>0</v>
      </c>
      <c r="D628" s="11">
        <v>0</v>
      </c>
      <c r="E628" s="2">
        <f t="shared" si="19"/>
        <v>0</v>
      </c>
      <c r="F628" s="11">
        <v>0.189</v>
      </c>
      <c r="G628" s="3" t="e">
        <f t="shared" si="20"/>
        <v>#DIV/0!</v>
      </c>
      <c r="R628"/>
    </row>
    <row r="629" spans="1:18">
      <c r="A629" s="1">
        <v>7</v>
      </c>
      <c r="B629" s="1" t="s">
        <v>28</v>
      </c>
      <c r="C629" s="11">
        <v>5</v>
      </c>
      <c r="D629" s="11">
        <v>4.84</v>
      </c>
      <c r="E629" s="2">
        <f t="shared" si="19"/>
        <v>0.16000000000000014</v>
      </c>
      <c r="F629" s="11">
        <v>0.15000000000000036</v>
      </c>
      <c r="G629" s="3">
        <f t="shared" si="20"/>
        <v>6.2000000000000097E-2</v>
      </c>
      <c r="R629"/>
    </row>
    <row r="630" spans="1:18">
      <c r="A630" s="1">
        <v>10</v>
      </c>
      <c r="B630" s="1" t="s">
        <v>28</v>
      </c>
      <c r="C630" s="11">
        <v>29.39</v>
      </c>
      <c r="D630" s="11">
        <v>29.1</v>
      </c>
      <c r="E630" s="2">
        <f t="shared" si="19"/>
        <v>0.28999999999999915</v>
      </c>
      <c r="F630" s="11">
        <v>0.20499999999999999</v>
      </c>
      <c r="G630" s="3">
        <f t="shared" si="20"/>
        <v>1.6842463422932941E-2</v>
      </c>
      <c r="R630"/>
    </row>
    <row r="631" spans="1:18">
      <c r="A631" s="1">
        <v>8</v>
      </c>
      <c r="B631" s="1" t="s">
        <v>28</v>
      </c>
      <c r="C631" s="11">
        <v>8</v>
      </c>
      <c r="D631" s="11">
        <v>7.83</v>
      </c>
      <c r="E631" s="2">
        <f t="shared" si="19"/>
        <v>0.16999999999999993</v>
      </c>
      <c r="F631" s="11">
        <v>0.25800000000000001</v>
      </c>
      <c r="G631" s="3">
        <f t="shared" si="20"/>
        <v>5.3499999999999992E-2</v>
      </c>
    </row>
    <row r="632" spans="1:18">
      <c r="A632" s="1">
        <v>9</v>
      </c>
      <c r="B632" s="1" t="s">
        <v>28</v>
      </c>
      <c r="C632" s="11">
        <v>31.16</v>
      </c>
      <c r="D632" s="11">
        <v>30.71</v>
      </c>
      <c r="E632" s="2">
        <f t="shared" si="19"/>
        <v>0.44999999999999929</v>
      </c>
      <c r="F632" s="11">
        <v>0.14399999999999999</v>
      </c>
      <c r="G632" s="3">
        <f t="shared" si="20"/>
        <v>1.9062901155327321E-2</v>
      </c>
      <c r="R632"/>
    </row>
    <row r="633" spans="1:18">
      <c r="A633" s="1">
        <v>11</v>
      </c>
      <c r="B633" s="1" t="s">
        <v>28</v>
      </c>
      <c r="C633" s="11">
        <v>0</v>
      </c>
      <c r="D633" s="11">
        <v>0</v>
      </c>
      <c r="E633" s="2">
        <f t="shared" si="19"/>
        <v>0</v>
      </c>
      <c r="F633" s="11">
        <v>0.17499999999999999</v>
      </c>
      <c r="G633" s="3" t="e">
        <f t="shared" si="20"/>
        <v>#DIV/0!</v>
      </c>
      <c r="R633"/>
    </row>
    <row r="634" spans="1:18">
      <c r="A634" s="1">
        <v>12</v>
      </c>
      <c r="B634" s="1" t="s">
        <v>28</v>
      </c>
      <c r="C634" s="11">
        <v>29.15</v>
      </c>
      <c r="D634" s="11">
        <v>28.78</v>
      </c>
      <c r="E634" s="2">
        <f t="shared" si="19"/>
        <v>0.36999999999999744</v>
      </c>
      <c r="F634" s="11">
        <v>0.20200000000000001</v>
      </c>
      <c r="G634" s="3">
        <f t="shared" si="20"/>
        <v>1.9622641509433873E-2</v>
      </c>
      <c r="R634"/>
    </row>
    <row r="635" spans="1:18">
      <c r="A635" s="1">
        <v>13</v>
      </c>
      <c r="B635" s="1" t="s">
        <v>28</v>
      </c>
      <c r="C635" s="11">
        <v>0</v>
      </c>
      <c r="D635" s="11">
        <v>0</v>
      </c>
      <c r="E635" s="2">
        <f t="shared" si="19"/>
        <v>0</v>
      </c>
      <c r="F635" s="11">
        <v>0.187</v>
      </c>
      <c r="G635" s="3" t="e">
        <f t="shared" si="20"/>
        <v>#DIV/0!</v>
      </c>
      <c r="R635"/>
    </row>
    <row r="636" spans="1:18">
      <c r="A636" s="1">
        <v>14</v>
      </c>
      <c r="B636" s="1" t="s">
        <v>28</v>
      </c>
      <c r="C636" s="11">
        <v>27.31</v>
      </c>
      <c r="D636" s="11">
        <v>26.88</v>
      </c>
      <c r="E636" s="2">
        <f t="shared" si="19"/>
        <v>0.42999999999999972</v>
      </c>
      <c r="F636" s="11">
        <v>0.16600000000000001</v>
      </c>
      <c r="G636" s="3">
        <f t="shared" si="20"/>
        <v>2.182350787257414E-2</v>
      </c>
      <c r="R636"/>
    </row>
    <row r="637" spans="1:18">
      <c r="A637" s="1">
        <v>15</v>
      </c>
      <c r="B637" s="1" t="s">
        <v>28</v>
      </c>
      <c r="C637" s="11">
        <v>0</v>
      </c>
      <c r="D637" s="11">
        <v>0</v>
      </c>
      <c r="E637" s="2">
        <f t="shared" si="19"/>
        <v>0</v>
      </c>
      <c r="F637" s="11">
        <v>0.2</v>
      </c>
      <c r="G637" s="3" t="e">
        <f t="shared" si="20"/>
        <v>#DIV/0!</v>
      </c>
      <c r="R637"/>
    </row>
    <row r="638" spans="1:18">
      <c r="A638" s="1">
        <v>16</v>
      </c>
      <c r="B638" s="1" t="s">
        <v>28</v>
      </c>
      <c r="C638" s="11">
        <v>27.94</v>
      </c>
      <c r="D638" s="11">
        <v>27.69</v>
      </c>
      <c r="E638" s="2">
        <f t="shared" si="19"/>
        <v>0.25</v>
      </c>
      <c r="F638" s="11">
        <v>0.12</v>
      </c>
      <c r="G638" s="3">
        <f t="shared" si="20"/>
        <v>1.3242662848962061E-2</v>
      </c>
      <c r="R638"/>
    </row>
    <row r="639" spans="1:18">
      <c r="A639" s="1">
        <v>17</v>
      </c>
      <c r="B639" s="1" t="s">
        <v>28</v>
      </c>
      <c r="C639" s="11">
        <v>0</v>
      </c>
      <c r="D639" s="11">
        <v>0</v>
      </c>
      <c r="E639" s="2">
        <f t="shared" si="19"/>
        <v>0</v>
      </c>
      <c r="F639" s="11">
        <v>0.125</v>
      </c>
      <c r="G639" s="3" t="e">
        <f t="shared" si="20"/>
        <v>#DIV/0!</v>
      </c>
      <c r="R639"/>
    </row>
    <row r="640" spans="1:18">
      <c r="A640" s="1">
        <v>18</v>
      </c>
      <c r="B640" s="1" t="s">
        <v>28</v>
      </c>
      <c r="C640" s="11">
        <v>0</v>
      </c>
      <c r="D640" s="11">
        <v>0</v>
      </c>
      <c r="E640" s="2">
        <f t="shared" si="19"/>
        <v>0</v>
      </c>
      <c r="F640" s="11">
        <v>0.24</v>
      </c>
      <c r="G640" s="3" t="e">
        <f t="shared" si="20"/>
        <v>#DIV/0!</v>
      </c>
      <c r="R640"/>
    </row>
    <row r="641" spans="1:7" customFormat="1">
      <c r="A641" s="1">
        <v>19</v>
      </c>
      <c r="B641" s="1" t="s">
        <v>28</v>
      </c>
      <c r="C641" s="11">
        <v>26.82</v>
      </c>
      <c r="D641" s="11">
        <v>26.5</v>
      </c>
      <c r="E641" s="2">
        <f t="shared" si="19"/>
        <v>0.32000000000000028</v>
      </c>
      <c r="F641" s="11">
        <v>0.2</v>
      </c>
      <c r="G641" s="3">
        <f t="shared" si="20"/>
        <v>1.9388516032811342E-2</v>
      </c>
    </row>
    <row r="642" spans="1:7" customFormat="1">
      <c r="A642" s="1">
        <v>20</v>
      </c>
      <c r="B642" s="1" t="s">
        <v>28</v>
      </c>
      <c r="C642" s="11">
        <v>0</v>
      </c>
      <c r="D642" s="11">
        <v>0</v>
      </c>
      <c r="E642" s="2">
        <f t="shared" si="19"/>
        <v>0</v>
      </c>
      <c r="F642" s="11">
        <v>0.2</v>
      </c>
      <c r="G642" s="3" t="e">
        <f t="shared" si="20"/>
        <v>#DIV/0!</v>
      </c>
    </row>
    <row r="643" spans="1:7" customFormat="1">
      <c r="A643" s="1">
        <v>21</v>
      </c>
      <c r="B643" s="1" t="s">
        <v>28</v>
      </c>
      <c r="C643" s="11">
        <v>25.4</v>
      </c>
      <c r="D643" s="11">
        <v>24.99</v>
      </c>
      <c r="E643" s="2">
        <f t="shared" si="19"/>
        <v>0.41000000000000014</v>
      </c>
      <c r="F643" s="11">
        <v>0.11899999999999999</v>
      </c>
      <c r="G643" s="3">
        <f t="shared" si="20"/>
        <v>2.0826771653543314E-2</v>
      </c>
    </row>
    <row r="644" spans="1:7" customFormat="1">
      <c r="A644" s="1">
        <v>22</v>
      </c>
      <c r="B644" s="1" t="s">
        <v>28</v>
      </c>
      <c r="C644" s="11">
        <v>0</v>
      </c>
      <c r="D644" s="11">
        <v>0</v>
      </c>
      <c r="E644" s="2">
        <f t="shared" ref="E644:E707" si="21">C644-D644</f>
        <v>0</v>
      </c>
      <c r="F644" s="11">
        <v>0.13399999999999679</v>
      </c>
      <c r="G644" s="3" t="e">
        <f t="shared" si="20"/>
        <v>#DIV/0!</v>
      </c>
    </row>
    <row r="645" spans="1:7" customFormat="1">
      <c r="A645" s="1">
        <v>23</v>
      </c>
      <c r="B645" s="1" t="s">
        <v>28</v>
      </c>
      <c r="C645" s="11">
        <v>157.80000000000001</v>
      </c>
      <c r="D645" s="11">
        <v>156.06</v>
      </c>
      <c r="E645" s="2">
        <f t="shared" si="21"/>
        <v>1.7400000000000091</v>
      </c>
      <c r="F645" s="11">
        <v>0.872</v>
      </c>
      <c r="G645" s="3">
        <f t="shared" si="20"/>
        <v>1.6552598225602084E-2</v>
      </c>
    </row>
    <row r="646" spans="1:7" customFormat="1">
      <c r="A646" s="1">
        <v>24</v>
      </c>
      <c r="B646" s="1" t="s">
        <v>28</v>
      </c>
      <c r="C646" s="11">
        <v>20.66</v>
      </c>
      <c r="D646" s="11">
        <v>20.41</v>
      </c>
      <c r="E646" s="2">
        <f t="shared" si="21"/>
        <v>0.25</v>
      </c>
      <c r="F646" s="11">
        <v>0.215</v>
      </c>
      <c r="G646" s="3">
        <f t="shared" si="20"/>
        <v>2.2507260406582769E-2</v>
      </c>
    </row>
    <row r="647" spans="1:7" customFormat="1">
      <c r="A647" s="1">
        <v>25</v>
      </c>
      <c r="B647" s="1" t="s">
        <v>28</v>
      </c>
      <c r="C647" s="11">
        <v>0</v>
      </c>
      <c r="D647" s="11">
        <v>0</v>
      </c>
      <c r="E647" s="2">
        <f t="shared" si="21"/>
        <v>0</v>
      </c>
      <c r="F647" s="11">
        <v>0.155</v>
      </c>
      <c r="G647" s="3" t="e">
        <f t="shared" si="20"/>
        <v>#DIV/0!</v>
      </c>
    </row>
    <row r="648" spans="1:7" customFormat="1">
      <c r="A648" s="1">
        <v>26</v>
      </c>
      <c r="B648" s="1" t="s">
        <v>28</v>
      </c>
      <c r="C648" s="11">
        <v>10</v>
      </c>
      <c r="D648" s="11">
        <v>9.6300000000000008</v>
      </c>
      <c r="E648" s="2">
        <f t="shared" si="21"/>
        <v>0.36999999999999922</v>
      </c>
      <c r="F648" s="11">
        <v>0.105</v>
      </c>
      <c r="G648" s="3">
        <f t="shared" si="20"/>
        <v>4.7499999999999917E-2</v>
      </c>
    </row>
    <row r="649" spans="1:7" customFormat="1">
      <c r="A649" s="1">
        <v>27</v>
      </c>
      <c r="B649" s="1" t="s">
        <v>28</v>
      </c>
      <c r="C649" s="11">
        <v>0</v>
      </c>
      <c r="D649" s="11">
        <v>0</v>
      </c>
      <c r="E649" s="2">
        <f t="shared" si="21"/>
        <v>0</v>
      </c>
      <c r="F649" s="11">
        <v>0.12</v>
      </c>
      <c r="G649" s="3" t="e">
        <f t="shared" si="20"/>
        <v>#DIV/0!</v>
      </c>
    </row>
    <row r="650" spans="1:7" customFormat="1">
      <c r="A650" s="1">
        <v>28</v>
      </c>
      <c r="B650" s="1" t="s">
        <v>28</v>
      </c>
      <c r="C650" s="11">
        <v>10</v>
      </c>
      <c r="D650" s="11">
        <v>9.5399999999999991</v>
      </c>
      <c r="E650" s="2">
        <f t="shared" si="21"/>
        <v>0.46000000000000085</v>
      </c>
      <c r="F650" s="11">
        <v>0.114</v>
      </c>
      <c r="G650" s="3">
        <f t="shared" si="20"/>
        <v>5.7400000000000083E-2</v>
      </c>
    </row>
    <row r="651" spans="1:7" customFormat="1">
      <c r="A651" s="1">
        <v>29</v>
      </c>
      <c r="B651" s="1" t="s">
        <v>28</v>
      </c>
      <c r="C651" s="11">
        <v>5</v>
      </c>
      <c r="D651" s="11">
        <v>4.82</v>
      </c>
      <c r="E651" s="2">
        <f t="shared" si="21"/>
        <v>0.17999999999999972</v>
      </c>
      <c r="F651" s="11">
        <v>0.106</v>
      </c>
      <c r="G651" s="3">
        <f t="shared" si="20"/>
        <v>5.7199999999999938E-2</v>
      </c>
    </row>
    <row r="652" spans="1:7" customFormat="1">
      <c r="A652" s="1">
        <v>30</v>
      </c>
      <c r="B652" s="1" t="s">
        <v>28</v>
      </c>
      <c r="C652" s="11">
        <v>5</v>
      </c>
      <c r="D652" s="11">
        <v>4.6500000000000004</v>
      </c>
      <c r="E652" s="2">
        <f t="shared" si="21"/>
        <v>0.34999999999999964</v>
      </c>
      <c r="F652" s="11">
        <v>9.8000000000000004E-2</v>
      </c>
      <c r="G652" s="3">
        <f t="shared" si="20"/>
        <v>8.959999999999993E-2</v>
      </c>
    </row>
    <row r="653" spans="1:7" customFormat="1">
      <c r="A653" s="1">
        <v>31</v>
      </c>
      <c r="B653" s="1" t="s">
        <v>28</v>
      </c>
      <c r="C653" s="11">
        <v>7</v>
      </c>
      <c r="D653" s="11">
        <v>6.72</v>
      </c>
      <c r="E653" s="2">
        <f t="shared" si="21"/>
        <v>0.28000000000000025</v>
      </c>
      <c r="F653" s="11">
        <v>0.111</v>
      </c>
      <c r="G653" s="3">
        <f t="shared" si="20"/>
        <v>5.585714285714289E-2</v>
      </c>
    </row>
    <row r="654" spans="1:7" customFormat="1">
      <c r="A654" s="1">
        <v>1</v>
      </c>
      <c r="B654" s="1" t="s">
        <v>29</v>
      </c>
      <c r="C654" s="11">
        <v>28.16</v>
      </c>
      <c r="D654" s="11">
        <v>27.84</v>
      </c>
      <c r="E654" s="2">
        <f t="shared" si="21"/>
        <v>0.32000000000000028</v>
      </c>
      <c r="F654" s="11">
        <v>0.14000000000000001</v>
      </c>
      <c r="G654" s="3">
        <f t="shared" si="20"/>
        <v>1.6335227272727283E-2</v>
      </c>
    </row>
    <row r="655" spans="1:7" customFormat="1">
      <c r="A655" s="1">
        <v>2</v>
      </c>
      <c r="B655" s="1" t="s">
        <v>29</v>
      </c>
      <c r="C655" s="11">
        <v>26.52</v>
      </c>
      <c r="D655" s="11">
        <v>26.42</v>
      </c>
      <c r="E655" s="2">
        <f t="shared" si="21"/>
        <v>9.9999999999997868E-2</v>
      </c>
      <c r="F655" s="11">
        <v>0.16</v>
      </c>
      <c r="G655" s="3">
        <f t="shared" si="20"/>
        <v>9.8039215686273728E-3</v>
      </c>
    </row>
    <row r="656" spans="1:7" customFormat="1">
      <c r="A656" s="1">
        <v>3</v>
      </c>
      <c r="B656" s="1" t="s">
        <v>29</v>
      </c>
      <c r="C656" s="11">
        <v>26.38</v>
      </c>
      <c r="D656" s="11">
        <v>26.22</v>
      </c>
      <c r="E656" s="2">
        <f t="shared" si="21"/>
        <v>0.16000000000000014</v>
      </c>
      <c r="F656" s="11">
        <v>0.20499999999999999</v>
      </c>
      <c r="G656" s="3">
        <f t="shared" si="20"/>
        <v>1.383623957543594E-2</v>
      </c>
    </row>
    <row r="657" spans="1:18">
      <c r="A657" s="1">
        <v>4</v>
      </c>
      <c r="B657" s="1" t="s">
        <v>29</v>
      </c>
      <c r="C657" s="11">
        <v>26.38</v>
      </c>
      <c r="D657" s="11">
        <v>26.29</v>
      </c>
      <c r="E657" s="2">
        <f t="shared" si="21"/>
        <v>8.9999999999999858E-2</v>
      </c>
      <c r="F657" s="11">
        <v>0.14000000000000001</v>
      </c>
      <c r="G657" s="3">
        <f t="shared" si="20"/>
        <v>8.7187263078089411E-3</v>
      </c>
      <c r="R657"/>
    </row>
    <row r="658" spans="1:18">
      <c r="A658" s="1">
        <v>5</v>
      </c>
      <c r="B658" s="1" t="s">
        <v>29</v>
      </c>
      <c r="C658" s="11">
        <v>26.41</v>
      </c>
      <c r="D658" s="11">
        <v>26.24</v>
      </c>
      <c r="E658" s="2">
        <f t="shared" si="21"/>
        <v>0.17000000000000171</v>
      </c>
      <c r="F658" s="11">
        <v>0.155</v>
      </c>
      <c r="G658" s="3">
        <f t="shared" si="20"/>
        <v>1.2305944717909948E-2</v>
      </c>
      <c r="R658"/>
    </row>
    <row r="659" spans="1:18">
      <c r="A659" s="1">
        <v>6</v>
      </c>
      <c r="B659" s="1" t="s">
        <v>29</v>
      </c>
      <c r="C659" s="11">
        <v>24.01</v>
      </c>
      <c r="D659" s="11">
        <v>23.86</v>
      </c>
      <c r="E659" s="2">
        <f t="shared" si="21"/>
        <v>0.15000000000000213</v>
      </c>
      <c r="F659" s="11">
        <v>0.14000000000000001</v>
      </c>
      <c r="G659" s="3">
        <f t="shared" si="20"/>
        <v>1.2078300708038406E-2</v>
      </c>
      <c r="R659"/>
    </row>
    <row r="660" spans="1:18">
      <c r="A660" s="1">
        <v>7</v>
      </c>
      <c r="B660" s="1" t="s">
        <v>29</v>
      </c>
      <c r="C660" s="11">
        <v>0</v>
      </c>
      <c r="D660" s="11">
        <v>0</v>
      </c>
      <c r="E660" s="2">
        <f t="shared" si="21"/>
        <v>0</v>
      </c>
      <c r="F660" s="11">
        <v>0.12</v>
      </c>
      <c r="G660" s="3" t="e">
        <f t="shared" si="20"/>
        <v>#DIV/0!</v>
      </c>
      <c r="R660"/>
    </row>
    <row r="661" spans="1:18">
      <c r="A661" s="1">
        <v>10</v>
      </c>
      <c r="B661" s="1" t="s">
        <v>29</v>
      </c>
      <c r="C661" s="11">
        <v>51.82</v>
      </c>
      <c r="D661" s="11">
        <v>51.52</v>
      </c>
      <c r="E661" s="2">
        <f t="shared" si="21"/>
        <v>0.29999999999999716</v>
      </c>
      <c r="F661" s="11">
        <v>0.16</v>
      </c>
      <c r="G661" s="3">
        <f t="shared" si="20"/>
        <v>8.8768815129293167E-3</v>
      </c>
      <c r="R661"/>
    </row>
    <row r="662" spans="1:18">
      <c r="A662" s="1">
        <v>8</v>
      </c>
      <c r="B662" s="1" t="s">
        <v>29</v>
      </c>
      <c r="C662" s="11">
        <v>28.5</v>
      </c>
      <c r="D662" s="11">
        <v>28.33</v>
      </c>
      <c r="E662" s="2">
        <f t="shared" si="21"/>
        <v>0.17000000000000171</v>
      </c>
      <c r="F662" s="11">
        <v>0.13</v>
      </c>
      <c r="G662" s="3">
        <f t="shared" si="20"/>
        <v>1.0526315789473745E-2</v>
      </c>
    </row>
    <row r="663" spans="1:18">
      <c r="A663" s="1">
        <v>9</v>
      </c>
      <c r="B663" s="1" t="s">
        <v>29</v>
      </c>
      <c r="C663" s="11">
        <v>26.33</v>
      </c>
      <c r="D663" s="11">
        <v>26.09</v>
      </c>
      <c r="E663" s="2">
        <f t="shared" si="21"/>
        <v>0.23999999999999844</v>
      </c>
      <c r="F663" s="11">
        <v>0.14499999999999999</v>
      </c>
      <c r="G663" s="3">
        <f t="shared" si="20"/>
        <v>1.4622104063805487E-2</v>
      </c>
      <c r="R663"/>
    </row>
    <row r="664" spans="1:18">
      <c r="A664" s="1">
        <v>11</v>
      </c>
      <c r="B664" s="1" t="s">
        <v>29</v>
      </c>
      <c r="C664" s="11">
        <v>24.64</v>
      </c>
      <c r="D664" s="11">
        <v>24.3</v>
      </c>
      <c r="E664" s="2">
        <f t="shared" si="21"/>
        <v>0.33999999999999986</v>
      </c>
      <c r="F664" s="11">
        <v>0.16</v>
      </c>
      <c r="G664" s="3">
        <f t="shared" si="20"/>
        <v>2.0292207792207789E-2</v>
      </c>
      <c r="R664"/>
    </row>
    <row r="665" spans="1:18">
      <c r="A665" s="1">
        <v>12</v>
      </c>
      <c r="B665" s="1" t="s">
        <v>29</v>
      </c>
      <c r="C665" s="11">
        <v>24.64</v>
      </c>
      <c r="D665" s="11">
        <v>24.3</v>
      </c>
      <c r="E665" s="2">
        <f t="shared" si="21"/>
        <v>0.33999999999999986</v>
      </c>
      <c r="F665" s="11">
        <v>0.14199999999999999</v>
      </c>
      <c r="G665" s="3">
        <f t="shared" si="20"/>
        <v>1.9561688311688308E-2</v>
      </c>
      <c r="R665"/>
    </row>
    <row r="666" spans="1:18">
      <c r="A666" s="1">
        <v>13</v>
      </c>
      <c r="B666" s="1" t="s">
        <v>29</v>
      </c>
      <c r="C666" s="11">
        <v>24.64</v>
      </c>
      <c r="D666" s="11">
        <v>24.3</v>
      </c>
      <c r="E666" s="2">
        <f t="shared" si="21"/>
        <v>0.33999999999999986</v>
      </c>
      <c r="F666" s="11">
        <v>0.14000000000000001</v>
      </c>
      <c r="G666" s="3">
        <f t="shared" si="20"/>
        <v>1.9480519480519473E-2</v>
      </c>
      <c r="R666"/>
    </row>
    <row r="667" spans="1:18">
      <c r="A667" s="1">
        <v>14</v>
      </c>
      <c r="B667" s="1" t="s">
        <v>29</v>
      </c>
      <c r="C667" s="11">
        <v>24.64</v>
      </c>
      <c r="D667" s="11">
        <v>24.3</v>
      </c>
      <c r="E667" s="2">
        <f t="shared" si="21"/>
        <v>0.33999999999999986</v>
      </c>
      <c r="F667" s="11">
        <v>0.15</v>
      </c>
      <c r="G667" s="3">
        <f t="shared" si="20"/>
        <v>1.9886363636363633E-2</v>
      </c>
      <c r="R667"/>
    </row>
    <row r="668" spans="1:18">
      <c r="A668" s="1">
        <v>15</v>
      </c>
      <c r="B668" s="1" t="s">
        <v>29</v>
      </c>
      <c r="C668" s="11">
        <v>0</v>
      </c>
      <c r="D668" s="11">
        <v>0</v>
      </c>
      <c r="E668" s="2">
        <f t="shared" si="21"/>
        <v>0</v>
      </c>
      <c r="F668" s="11">
        <v>0.16</v>
      </c>
      <c r="G668" s="3" t="e">
        <f t="shared" si="20"/>
        <v>#DIV/0!</v>
      </c>
      <c r="R668"/>
    </row>
    <row r="669" spans="1:18">
      <c r="A669" s="1">
        <v>16</v>
      </c>
      <c r="B669" s="1" t="s">
        <v>29</v>
      </c>
      <c r="C669" s="11">
        <v>51.05</v>
      </c>
      <c r="D669" s="11">
        <v>50.77</v>
      </c>
      <c r="E669" s="2">
        <f t="shared" si="21"/>
        <v>0.27999999999999403</v>
      </c>
      <c r="F669" s="11">
        <v>0.12</v>
      </c>
      <c r="G669" s="3">
        <f t="shared" si="20"/>
        <v>7.8354554358470926E-3</v>
      </c>
      <c r="R669"/>
    </row>
    <row r="670" spans="1:18">
      <c r="A670" s="1">
        <v>17</v>
      </c>
      <c r="B670" s="1" t="s">
        <v>29</v>
      </c>
      <c r="C670" s="11">
        <v>25.13</v>
      </c>
      <c r="D670" s="11">
        <v>24.91</v>
      </c>
      <c r="E670" s="2">
        <f t="shared" si="21"/>
        <v>0.21999999999999886</v>
      </c>
      <c r="F670" s="11">
        <v>0.155</v>
      </c>
      <c r="G670" s="3">
        <f t="shared" si="20"/>
        <v>1.4922403501790645E-2</v>
      </c>
      <c r="R670"/>
    </row>
    <row r="671" spans="1:18">
      <c r="A671" s="1">
        <v>18</v>
      </c>
      <c r="B671" s="1" t="s">
        <v>29</v>
      </c>
      <c r="C671" s="11">
        <v>49.23</v>
      </c>
      <c r="D671" s="11">
        <v>48.71</v>
      </c>
      <c r="E671" s="2">
        <f t="shared" si="21"/>
        <v>0.51999999999999602</v>
      </c>
      <c r="F671" s="11">
        <v>0.16</v>
      </c>
      <c r="G671" s="3">
        <f t="shared" si="20"/>
        <v>1.3812715823684665E-2</v>
      </c>
      <c r="R671"/>
    </row>
    <row r="672" spans="1:18">
      <c r="A672" s="1">
        <v>19</v>
      </c>
      <c r="B672" s="1" t="s">
        <v>29</v>
      </c>
      <c r="C672" s="11">
        <v>24.62</v>
      </c>
      <c r="D672" s="11">
        <v>24.32</v>
      </c>
      <c r="E672" s="2">
        <f t="shared" si="21"/>
        <v>0.30000000000000071</v>
      </c>
      <c r="F672" s="11">
        <v>0.16</v>
      </c>
      <c r="G672" s="3">
        <f t="shared" si="20"/>
        <v>1.8683996750609291E-2</v>
      </c>
      <c r="R672"/>
    </row>
    <row r="673" spans="1:7" customFormat="1">
      <c r="A673" s="1">
        <v>20</v>
      </c>
      <c r="B673" s="1" t="s">
        <v>29</v>
      </c>
      <c r="C673" s="11">
        <v>0</v>
      </c>
      <c r="D673" s="11">
        <v>0</v>
      </c>
      <c r="E673" s="2">
        <f t="shared" si="21"/>
        <v>0</v>
      </c>
      <c r="F673" s="11">
        <v>0.155</v>
      </c>
      <c r="G673" s="3" t="e">
        <f t="shared" si="20"/>
        <v>#DIV/0!</v>
      </c>
    </row>
    <row r="674" spans="1:7" customFormat="1">
      <c r="A674" s="1">
        <v>21</v>
      </c>
      <c r="B674" s="1" t="s">
        <v>29</v>
      </c>
      <c r="C674" s="11">
        <v>24.86</v>
      </c>
      <c r="D674" s="11">
        <v>24.6</v>
      </c>
      <c r="E674" s="2">
        <f t="shared" si="21"/>
        <v>0.25999999999999801</v>
      </c>
      <c r="F674" s="11">
        <v>0.22</v>
      </c>
      <c r="G674" s="3">
        <f t="shared" si="20"/>
        <v>1.9308125502815687E-2</v>
      </c>
    </row>
    <row r="675" spans="1:7" customFormat="1">
      <c r="A675" s="1">
        <v>22</v>
      </c>
      <c r="B675" s="1" t="s">
        <v>29</v>
      </c>
      <c r="C675" s="11">
        <v>55.8</v>
      </c>
      <c r="D675" s="11">
        <v>54.94</v>
      </c>
      <c r="E675" s="2">
        <f t="shared" si="21"/>
        <v>0.85999999999999943</v>
      </c>
      <c r="F675" s="11">
        <v>0.14499999999999999</v>
      </c>
      <c r="G675" s="3">
        <f t="shared" si="20"/>
        <v>1.8010752688172035E-2</v>
      </c>
    </row>
    <row r="676" spans="1:7" customFormat="1">
      <c r="A676" s="1">
        <v>23</v>
      </c>
      <c r="B676" s="1" t="s">
        <v>29</v>
      </c>
      <c r="C676" s="11">
        <v>24.37</v>
      </c>
      <c r="D676" s="11">
        <v>24.23</v>
      </c>
      <c r="E676" s="2">
        <f t="shared" si="21"/>
        <v>0.14000000000000057</v>
      </c>
      <c r="F676" s="11">
        <v>0.21</v>
      </c>
      <c r="G676" s="3">
        <f t="shared" si="20"/>
        <v>1.436192039392698E-2</v>
      </c>
    </row>
    <row r="677" spans="1:7" customFormat="1">
      <c r="A677" s="1">
        <v>24</v>
      </c>
      <c r="B677" s="1" t="s">
        <v>29</v>
      </c>
      <c r="C677" s="11">
        <v>26.04</v>
      </c>
      <c r="D677" s="11">
        <v>25.81</v>
      </c>
      <c r="E677" s="2">
        <f t="shared" si="21"/>
        <v>0.23000000000000043</v>
      </c>
      <c r="F677" s="11">
        <v>0.16</v>
      </c>
      <c r="G677" s="3">
        <f t="shared" ref="G677:G740" si="22">(E677+F677)/C677</f>
        <v>1.4976958525345641E-2</v>
      </c>
    </row>
    <row r="678" spans="1:7" customFormat="1">
      <c r="A678" s="1">
        <v>25</v>
      </c>
      <c r="B678" s="1" t="s">
        <v>29</v>
      </c>
      <c r="C678" s="11">
        <v>27.46</v>
      </c>
      <c r="D678" s="11">
        <v>27.26</v>
      </c>
      <c r="E678" s="2">
        <f t="shared" si="21"/>
        <v>0.19999999999999929</v>
      </c>
      <c r="F678" s="11">
        <v>0.16</v>
      </c>
      <c r="G678" s="3">
        <f t="shared" si="22"/>
        <v>1.3109978150036391E-2</v>
      </c>
    </row>
    <row r="679" spans="1:7" customFormat="1">
      <c r="A679" s="1">
        <v>26</v>
      </c>
      <c r="B679" s="1" t="s">
        <v>29</v>
      </c>
      <c r="C679" s="11">
        <v>30.02</v>
      </c>
      <c r="D679" s="11">
        <v>29.91</v>
      </c>
      <c r="E679" s="2">
        <f t="shared" si="21"/>
        <v>0.10999999999999943</v>
      </c>
      <c r="F679" s="11">
        <v>0.23</v>
      </c>
      <c r="G679" s="3">
        <f t="shared" si="22"/>
        <v>1.1325782811459007E-2</v>
      </c>
    </row>
    <row r="680" spans="1:7" customFormat="1">
      <c r="A680" s="1">
        <v>27</v>
      </c>
      <c r="B680" s="1" t="s">
        <v>29</v>
      </c>
      <c r="C680" s="11">
        <v>30.16</v>
      </c>
      <c r="D680" s="11">
        <v>29.93</v>
      </c>
      <c r="E680" s="2">
        <f t="shared" si="21"/>
        <v>0.23000000000000043</v>
      </c>
      <c r="F680" s="11">
        <v>0.18</v>
      </c>
      <c r="G680" s="3">
        <f t="shared" si="22"/>
        <v>1.3594164456233435E-2</v>
      </c>
    </row>
    <row r="681" spans="1:7" customFormat="1">
      <c r="A681" s="1">
        <v>28</v>
      </c>
      <c r="B681" s="1" t="s">
        <v>29</v>
      </c>
      <c r="C681" s="11">
        <v>26.76</v>
      </c>
      <c r="D681" s="11">
        <v>26.32</v>
      </c>
      <c r="E681" s="2">
        <f t="shared" si="21"/>
        <v>0.44000000000000128</v>
      </c>
      <c r="F681" s="11">
        <v>0.16500000000000001</v>
      </c>
      <c r="G681" s="3">
        <f t="shared" si="22"/>
        <v>2.2608370702541153E-2</v>
      </c>
    </row>
    <row r="682" spans="1:7" customFormat="1">
      <c r="A682" s="1">
        <v>29</v>
      </c>
      <c r="B682" s="1" t="s">
        <v>29</v>
      </c>
      <c r="C682" s="11">
        <v>48.45</v>
      </c>
      <c r="D682" s="11">
        <v>48.02</v>
      </c>
      <c r="E682" s="2">
        <f t="shared" si="21"/>
        <v>0.42999999999999972</v>
      </c>
      <c r="F682" s="11">
        <v>0.16</v>
      </c>
      <c r="G682" s="3">
        <f t="shared" si="22"/>
        <v>1.2177502579979354E-2</v>
      </c>
    </row>
    <row r="683" spans="1:7" customFormat="1">
      <c r="A683" s="1">
        <v>30</v>
      </c>
      <c r="B683" s="1" t="s">
        <v>29</v>
      </c>
      <c r="C683" s="11">
        <v>25.18</v>
      </c>
      <c r="D683" s="11">
        <v>24.97</v>
      </c>
      <c r="E683" s="2">
        <f t="shared" si="21"/>
        <v>0.21000000000000085</v>
      </c>
      <c r="F683" s="11">
        <v>0.155</v>
      </c>
      <c r="G683" s="3">
        <f t="shared" si="22"/>
        <v>1.4495631453534587E-2</v>
      </c>
    </row>
    <row r="684" spans="1:7" customFormat="1">
      <c r="A684" s="1">
        <v>31</v>
      </c>
      <c r="B684" s="1" t="s">
        <v>29</v>
      </c>
      <c r="C684" s="11">
        <v>0</v>
      </c>
      <c r="D684" s="11">
        <v>0</v>
      </c>
      <c r="E684" s="2">
        <f t="shared" si="21"/>
        <v>0</v>
      </c>
      <c r="F684" s="11">
        <v>0.16</v>
      </c>
      <c r="G684" s="3" t="e">
        <f t="shared" si="22"/>
        <v>#DIV/0!</v>
      </c>
    </row>
    <row r="685" spans="1:7" customFormat="1">
      <c r="A685" s="1">
        <v>1</v>
      </c>
      <c r="B685" s="1" t="s">
        <v>30</v>
      </c>
      <c r="C685" s="11">
        <v>0</v>
      </c>
      <c r="D685" s="11">
        <v>0</v>
      </c>
      <c r="E685" s="2">
        <f t="shared" si="21"/>
        <v>0</v>
      </c>
      <c r="F685" s="11">
        <v>0.15</v>
      </c>
      <c r="G685" s="3" t="e">
        <f t="shared" si="22"/>
        <v>#DIV/0!</v>
      </c>
    </row>
    <row r="686" spans="1:7" customFormat="1">
      <c r="A686" s="1">
        <v>2</v>
      </c>
      <c r="B686" s="1" t="s">
        <v>30</v>
      </c>
      <c r="C686" s="11">
        <v>24.69</v>
      </c>
      <c r="D686" s="11">
        <v>24.44</v>
      </c>
      <c r="E686" s="2">
        <f t="shared" si="21"/>
        <v>0.25</v>
      </c>
      <c r="F686" s="11">
        <v>0.12</v>
      </c>
      <c r="G686" s="3">
        <f t="shared" si="22"/>
        <v>1.4985824220332117E-2</v>
      </c>
    </row>
    <row r="687" spans="1:7" customFormat="1">
      <c r="A687" s="1">
        <v>3</v>
      </c>
      <c r="B687" s="1" t="s">
        <v>30</v>
      </c>
      <c r="C687" s="11">
        <v>26.13</v>
      </c>
      <c r="D687" s="11">
        <v>25.84</v>
      </c>
      <c r="E687" s="2">
        <f t="shared" si="21"/>
        <v>0.28999999999999915</v>
      </c>
      <c r="F687" s="11">
        <v>0.18</v>
      </c>
      <c r="G687" s="3">
        <f t="shared" si="22"/>
        <v>1.7986988136241836E-2</v>
      </c>
    </row>
    <row r="688" spans="1:7" customFormat="1">
      <c r="A688" s="1">
        <v>4</v>
      </c>
      <c r="B688" s="1" t="s">
        <v>30</v>
      </c>
      <c r="C688" s="11">
        <v>27.29</v>
      </c>
      <c r="D688" s="11">
        <v>27.03</v>
      </c>
      <c r="E688" s="2">
        <f t="shared" si="21"/>
        <v>0.25999999999999801</v>
      </c>
      <c r="F688" s="11">
        <v>0.08</v>
      </c>
      <c r="G688" s="3">
        <f t="shared" si="22"/>
        <v>1.2458776108464567E-2</v>
      </c>
    </row>
    <row r="689" spans="1:18">
      <c r="A689" s="1">
        <v>5</v>
      </c>
      <c r="B689" s="1" t="s">
        <v>30</v>
      </c>
      <c r="C689" s="11">
        <v>26.74</v>
      </c>
      <c r="D689" s="11">
        <v>26.57</v>
      </c>
      <c r="E689" s="2">
        <f t="shared" si="21"/>
        <v>0.16999999999999815</v>
      </c>
      <c r="F689" s="11">
        <v>9.4E-2</v>
      </c>
      <c r="G689" s="3">
        <f t="shared" si="22"/>
        <v>9.8728496634255102E-3</v>
      </c>
      <c r="R689"/>
    </row>
    <row r="690" spans="1:18">
      <c r="A690" s="1">
        <v>6</v>
      </c>
      <c r="B690" s="1" t="s">
        <v>30</v>
      </c>
      <c r="C690" s="11">
        <v>28.05</v>
      </c>
      <c r="D690" s="11">
        <v>27.75</v>
      </c>
      <c r="E690" s="2">
        <f t="shared" si="21"/>
        <v>0.30000000000000071</v>
      </c>
      <c r="F690" s="11">
        <v>0.21199999999999999</v>
      </c>
      <c r="G690" s="3">
        <f t="shared" si="22"/>
        <v>1.8253119429590042E-2</v>
      </c>
      <c r="R690"/>
    </row>
    <row r="691" spans="1:18">
      <c r="A691" s="1">
        <v>7</v>
      </c>
      <c r="B691" s="1" t="s">
        <v>30</v>
      </c>
      <c r="C691" s="11">
        <v>29.53</v>
      </c>
      <c r="D691" s="11">
        <v>29.24</v>
      </c>
      <c r="E691" s="2">
        <f t="shared" si="21"/>
        <v>0.2900000000000027</v>
      </c>
      <c r="F691" s="11">
        <v>0.1</v>
      </c>
      <c r="G691" s="3">
        <f t="shared" si="22"/>
        <v>1.3206908228919833E-2</v>
      </c>
      <c r="R691"/>
    </row>
    <row r="692" spans="1:18">
      <c r="A692" s="1">
        <v>10</v>
      </c>
      <c r="B692" s="1" t="s">
        <v>30</v>
      </c>
      <c r="C692" s="11">
        <v>21.67</v>
      </c>
      <c r="D692" s="11">
        <v>21.43</v>
      </c>
      <c r="E692" s="2">
        <f t="shared" si="21"/>
        <v>0.24000000000000199</v>
      </c>
      <c r="F692" s="11">
        <v>0.25</v>
      </c>
      <c r="G692" s="3">
        <f t="shared" si="22"/>
        <v>2.2611905860636914E-2</v>
      </c>
      <c r="R692"/>
    </row>
    <row r="693" spans="1:18">
      <c r="A693" s="1">
        <v>8</v>
      </c>
      <c r="B693" s="1" t="s">
        <v>30</v>
      </c>
      <c r="C693" s="11">
        <v>0</v>
      </c>
      <c r="D693" s="11">
        <v>0</v>
      </c>
      <c r="E693" s="2">
        <f t="shared" si="21"/>
        <v>0</v>
      </c>
      <c r="F693" s="11">
        <v>0.1</v>
      </c>
      <c r="G693" s="3" t="e">
        <f t="shared" si="22"/>
        <v>#DIV/0!</v>
      </c>
    </row>
    <row r="694" spans="1:18">
      <c r="A694" s="1">
        <v>9</v>
      </c>
      <c r="B694" s="1" t="s">
        <v>30</v>
      </c>
      <c r="C694" s="11">
        <v>0</v>
      </c>
      <c r="D694" s="11">
        <v>0</v>
      </c>
      <c r="E694" s="2">
        <f t="shared" si="21"/>
        <v>0</v>
      </c>
      <c r="F694" s="11">
        <v>0.18</v>
      </c>
      <c r="G694" s="3" t="e">
        <f t="shared" si="22"/>
        <v>#DIV/0!</v>
      </c>
      <c r="R694"/>
    </row>
    <row r="695" spans="1:18">
      <c r="A695" s="1">
        <v>11</v>
      </c>
      <c r="B695" s="1" t="s">
        <v>30</v>
      </c>
      <c r="C695" s="11">
        <v>25.91</v>
      </c>
      <c r="D695" s="11">
        <v>25.64</v>
      </c>
      <c r="E695" s="2">
        <f t="shared" si="21"/>
        <v>0.26999999999999957</v>
      </c>
      <c r="F695" s="11">
        <v>0.26</v>
      </c>
      <c r="G695" s="3">
        <f t="shared" si="22"/>
        <v>2.0455422616750273E-2</v>
      </c>
      <c r="R695"/>
    </row>
    <row r="696" spans="1:18">
      <c r="A696" s="1">
        <v>12</v>
      </c>
      <c r="B696" s="1" t="s">
        <v>30</v>
      </c>
      <c r="C696" s="11">
        <v>0</v>
      </c>
      <c r="D696" s="11">
        <v>0</v>
      </c>
      <c r="E696" s="2">
        <f t="shared" si="21"/>
        <v>0</v>
      </c>
      <c r="F696" s="11">
        <v>0.12</v>
      </c>
      <c r="G696" s="3" t="e">
        <f t="shared" si="22"/>
        <v>#DIV/0!</v>
      </c>
      <c r="R696"/>
    </row>
    <row r="697" spans="1:18">
      <c r="A697" s="1">
        <v>13</v>
      </c>
      <c r="B697" s="1" t="s">
        <v>30</v>
      </c>
      <c r="C697" s="11">
        <v>0</v>
      </c>
      <c r="D697" s="11">
        <v>0</v>
      </c>
      <c r="E697" s="2">
        <f t="shared" si="21"/>
        <v>0</v>
      </c>
      <c r="F697" s="11">
        <v>0.155</v>
      </c>
      <c r="G697" s="3" t="e">
        <f t="shared" si="22"/>
        <v>#DIV/0!</v>
      </c>
      <c r="R697"/>
    </row>
    <row r="698" spans="1:18">
      <c r="A698" s="1">
        <v>14</v>
      </c>
      <c r="B698" s="1" t="s">
        <v>30</v>
      </c>
      <c r="C698" s="11">
        <v>26.38</v>
      </c>
      <c r="D698" s="11">
        <v>26.16</v>
      </c>
      <c r="E698" s="2">
        <f t="shared" si="21"/>
        <v>0.21999999999999886</v>
      </c>
      <c r="F698" s="11">
        <v>0.27</v>
      </c>
      <c r="G698" s="3">
        <f t="shared" si="22"/>
        <v>1.8574677786201626E-2</v>
      </c>
      <c r="R698"/>
    </row>
    <row r="699" spans="1:18">
      <c r="A699" s="1">
        <v>15</v>
      </c>
      <c r="B699" s="1" t="s">
        <v>30</v>
      </c>
      <c r="C699" s="11">
        <v>0</v>
      </c>
      <c r="D699" s="11">
        <v>0</v>
      </c>
      <c r="E699" s="2">
        <f t="shared" si="21"/>
        <v>0</v>
      </c>
      <c r="F699" s="11">
        <v>0.28999999999999998</v>
      </c>
      <c r="G699" s="3" t="e">
        <f t="shared" si="22"/>
        <v>#DIV/0!</v>
      </c>
      <c r="R699"/>
    </row>
    <row r="700" spans="1:18">
      <c r="A700" s="1">
        <v>16</v>
      </c>
      <c r="B700" s="1" t="s">
        <v>30</v>
      </c>
      <c r="C700" s="11">
        <v>26.17</v>
      </c>
      <c r="D700" s="11">
        <v>25.73</v>
      </c>
      <c r="E700" s="2">
        <f t="shared" si="21"/>
        <v>0.44000000000000128</v>
      </c>
      <c r="F700" s="11">
        <v>0.37</v>
      </c>
      <c r="G700" s="3">
        <f t="shared" si="22"/>
        <v>3.0951471150171998E-2</v>
      </c>
      <c r="R700"/>
    </row>
    <row r="701" spans="1:18">
      <c r="A701" s="1">
        <v>17</v>
      </c>
      <c r="B701" s="1" t="s">
        <v>30</v>
      </c>
      <c r="C701" s="11">
        <v>0</v>
      </c>
      <c r="D701" s="11">
        <v>0</v>
      </c>
      <c r="E701" s="2">
        <f t="shared" si="21"/>
        <v>0</v>
      </c>
      <c r="F701" s="11">
        <v>0.48</v>
      </c>
      <c r="G701" s="3" t="e">
        <f t="shared" si="22"/>
        <v>#DIV/0!</v>
      </c>
      <c r="R701"/>
    </row>
    <row r="702" spans="1:18">
      <c r="A702" s="1">
        <v>18</v>
      </c>
      <c r="B702" s="1" t="s">
        <v>30</v>
      </c>
      <c r="C702" s="11">
        <v>24.68</v>
      </c>
      <c r="D702" s="11">
        <v>24.26</v>
      </c>
      <c r="E702" s="2">
        <f t="shared" si="21"/>
        <v>0.41999999999999815</v>
      </c>
      <c r="F702" s="11">
        <v>0.3</v>
      </c>
      <c r="G702" s="3">
        <f t="shared" si="22"/>
        <v>2.9173419773095552E-2</v>
      </c>
      <c r="R702"/>
    </row>
    <row r="703" spans="1:18">
      <c r="A703" s="1">
        <v>19</v>
      </c>
      <c r="B703" s="1" t="s">
        <v>30</v>
      </c>
      <c r="C703" s="11">
        <v>23</v>
      </c>
      <c r="D703" s="11">
        <v>23</v>
      </c>
      <c r="E703" s="2">
        <f t="shared" si="21"/>
        <v>0</v>
      </c>
      <c r="F703" s="11">
        <v>0.24</v>
      </c>
      <c r="G703" s="3">
        <f t="shared" si="22"/>
        <v>1.0434782608695651E-2</v>
      </c>
      <c r="R703"/>
    </row>
    <row r="704" spans="1:18">
      <c r="A704" s="1">
        <v>20</v>
      </c>
      <c r="B704" s="1" t="s">
        <v>30</v>
      </c>
      <c r="C704" s="11">
        <v>0</v>
      </c>
      <c r="D704" s="11">
        <v>0</v>
      </c>
      <c r="E704" s="2">
        <f t="shared" si="21"/>
        <v>0</v>
      </c>
      <c r="F704" s="11">
        <v>0.26</v>
      </c>
      <c r="G704" s="3" t="e">
        <f t="shared" si="22"/>
        <v>#DIV/0!</v>
      </c>
      <c r="R704"/>
    </row>
    <row r="705" spans="1:7" customFormat="1">
      <c r="A705" s="1">
        <v>21</v>
      </c>
      <c r="B705" s="1" t="s">
        <v>30</v>
      </c>
      <c r="C705" s="11">
        <v>29.12</v>
      </c>
      <c r="D705" s="11">
        <v>28.89</v>
      </c>
      <c r="E705" s="2">
        <f t="shared" si="21"/>
        <v>0.23000000000000043</v>
      </c>
      <c r="F705" s="11">
        <v>0.3</v>
      </c>
      <c r="G705" s="3">
        <f t="shared" si="22"/>
        <v>1.8200549450549466E-2</v>
      </c>
    </row>
    <row r="706" spans="1:7" customFormat="1">
      <c r="A706" s="1">
        <v>22</v>
      </c>
      <c r="B706" s="1" t="s">
        <v>30</v>
      </c>
      <c r="C706" s="11">
        <v>26.38</v>
      </c>
      <c r="D706" s="11">
        <v>26.14</v>
      </c>
      <c r="E706" s="2">
        <f t="shared" si="21"/>
        <v>0.23999999999999844</v>
      </c>
      <c r="F706" s="11">
        <v>0.32500000000000001</v>
      </c>
      <c r="G706" s="3">
        <f t="shared" si="22"/>
        <v>2.1417740712661046E-2</v>
      </c>
    </row>
    <row r="707" spans="1:7" customFormat="1">
      <c r="A707" s="1">
        <v>23</v>
      </c>
      <c r="B707" s="1" t="s">
        <v>30</v>
      </c>
      <c r="C707" s="11">
        <v>0</v>
      </c>
      <c r="D707" s="11">
        <v>0</v>
      </c>
      <c r="E707" s="2">
        <f t="shared" si="21"/>
        <v>0</v>
      </c>
      <c r="F707" s="11">
        <v>0.16500000000000001</v>
      </c>
      <c r="G707" s="3" t="e">
        <f t="shared" si="22"/>
        <v>#DIV/0!</v>
      </c>
    </row>
    <row r="708" spans="1:7" customFormat="1">
      <c r="A708" s="1">
        <v>24</v>
      </c>
      <c r="B708" s="1" t="s">
        <v>30</v>
      </c>
      <c r="C708" s="11">
        <v>27.22</v>
      </c>
      <c r="D708" s="11">
        <v>26.94</v>
      </c>
      <c r="E708" s="2">
        <f t="shared" ref="E708:E771" si="23">C708-D708</f>
        <v>0.27999999999999758</v>
      </c>
      <c r="F708" s="11">
        <v>0.26</v>
      </c>
      <c r="G708" s="3">
        <f t="shared" si="22"/>
        <v>1.9838354151359205E-2</v>
      </c>
    </row>
    <row r="709" spans="1:7" customFormat="1">
      <c r="A709" s="1">
        <v>25</v>
      </c>
      <c r="B709" s="1" t="s">
        <v>30</v>
      </c>
      <c r="C709" s="11">
        <v>10.52</v>
      </c>
      <c r="D709" s="11">
        <v>10.18</v>
      </c>
      <c r="E709" s="2">
        <f t="shared" si="23"/>
        <v>0.33999999999999986</v>
      </c>
      <c r="F709" s="11">
        <v>0.12</v>
      </c>
      <c r="G709" s="3">
        <f t="shared" si="22"/>
        <v>4.3726235741444852E-2</v>
      </c>
    </row>
    <row r="710" spans="1:7" customFormat="1">
      <c r="A710" s="1">
        <v>26</v>
      </c>
      <c r="B710" s="1" t="s">
        <v>30</v>
      </c>
      <c r="C710" s="11">
        <v>0</v>
      </c>
      <c r="D710" s="11">
        <v>0</v>
      </c>
      <c r="E710" s="2">
        <f t="shared" si="23"/>
        <v>0</v>
      </c>
      <c r="F710" s="11">
        <v>0</v>
      </c>
      <c r="G710" s="3" t="e">
        <f t="shared" si="22"/>
        <v>#DIV/0!</v>
      </c>
    </row>
    <row r="711" spans="1:7" customFormat="1">
      <c r="A711" s="1">
        <v>27</v>
      </c>
      <c r="B711" s="1" t="s">
        <v>30</v>
      </c>
      <c r="C711" s="11">
        <v>27.96</v>
      </c>
      <c r="D711" s="11">
        <v>27.73</v>
      </c>
      <c r="E711" s="2">
        <f t="shared" si="23"/>
        <v>0.23000000000000043</v>
      </c>
      <c r="F711" s="11">
        <v>0.12</v>
      </c>
      <c r="G711" s="3">
        <f t="shared" si="22"/>
        <v>1.2517882689556524E-2</v>
      </c>
    </row>
    <row r="712" spans="1:7" customFormat="1">
      <c r="A712" s="1">
        <v>28</v>
      </c>
      <c r="B712" s="1" t="s">
        <v>30</v>
      </c>
      <c r="C712" s="11">
        <v>24.45</v>
      </c>
      <c r="D712" s="11">
        <v>24.14</v>
      </c>
      <c r="E712" s="2">
        <f t="shared" si="23"/>
        <v>0.30999999999999872</v>
      </c>
      <c r="F712" s="11">
        <v>0.11</v>
      </c>
      <c r="G712" s="3">
        <f t="shared" si="22"/>
        <v>1.7177914110429394E-2</v>
      </c>
    </row>
    <row r="713" spans="1:7" customFormat="1">
      <c r="A713" s="1">
        <v>29</v>
      </c>
      <c r="B713" s="1" t="s">
        <v>30</v>
      </c>
      <c r="C713" s="11">
        <v>26.61</v>
      </c>
      <c r="D713" s="11">
        <v>26.25</v>
      </c>
      <c r="E713" s="2">
        <f t="shared" si="23"/>
        <v>0.35999999999999943</v>
      </c>
      <c r="F713" s="11">
        <v>0.17</v>
      </c>
      <c r="G713" s="3">
        <f t="shared" si="22"/>
        <v>1.9917324314167588E-2</v>
      </c>
    </row>
    <row r="714" spans="1:7" customFormat="1">
      <c r="A714" s="1">
        <v>30</v>
      </c>
      <c r="B714" s="1" t="s">
        <v>30</v>
      </c>
      <c r="C714" s="11">
        <v>24.47</v>
      </c>
      <c r="D714" s="11">
        <v>24.21</v>
      </c>
      <c r="E714" s="2">
        <f t="shared" si="23"/>
        <v>0.25999999999999801</v>
      </c>
      <c r="F714" s="11">
        <v>0.18</v>
      </c>
      <c r="G714" s="3">
        <f t="shared" si="22"/>
        <v>1.7981201471189132E-2</v>
      </c>
    </row>
    <row r="715" spans="1:7" customFormat="1">
      <c r="A715" s="1">
        <v>31</v>
      </c>
      <c r="B715" s="1" t="s">
        <v>30</v>
      </c>
      <c r="C715" s="11">
        <v>25.84</v>
      </c>
      <c r="D715" s="11">
        <v>25.58</v>
      </c>
      <c r="E715" s="2">
        <f t="shared" si="23"/>
        <v>0.26000000000000156</v>
      </c>
      <c r="F715" s="11">
        <v>0.14000000000000001</v>
      </c>
      <c r="G715" s="3">
        <f t="shared" si="22"/>
        <v>1.5479876160990773E-2</v>
      </c>
    </row>
    <row r="716" spans="1:7" customFormat="1">
      <c r="A716" s="1">
        <v>1</v>
      </c>
      <c r="B716" s="1" t="s">
        <v>31</v>
      </c>
      <c r="C716" s="11">
        <v>24.54</v>
      </c>
      <c r="D716" s="11">
        <v>24.38</v>
      </c>
      <c r="E716" s="2">
        <f t="shared" si="23"/>
        <v>0.16000000000000014</v>
      </c>
      <c r="F716" s="11">
        <v>0.129</v>
      </c>
      <c r="G716" s="3">
        <f t="shared" si="22"/>
        <v>1.1776691116544424E-2</v>
      </c>
    </row>
    <row r="717" spans="1:7" customFormat="1">
      <c r="A717" s="1">
        <v>2</v>
      </c>
      <c r="B717" s="1" t="s">
        <v>31</v>
      </c>
      <c r="C717" s="11">
        <v>26.7</v>
      </c>
      <c r="D717" s="11">
        <v>26.59</v>
      </c>
      <c r="E717" s="2">
        <f t="shared" si="23"/>
        <v>0.10999999999999943</v>
      </c>
      <c r="F717" s="11">
        <v>0.121</v>
      </c>
      <c r="G717" s="3">
        <f t="shared" si="22"/>
        <v>8.651685393258406E-3</v>
      </c>
    </row>
    <row r="718" spans="1:7" customFormat="1">
      <c r="A718" s="1">
        <v>3</v>
      </c>
      <c r="B718" s="1" t="s">
        <v>31</v>
      </c>
      <c r="C718" s="11">
        <v>49.52</v>
      </c>
      <c r="D718" s="11">
        <v>49.29</v>
      </c>
      <c r="E718" s="2">
        <f t="shared" si="23"/>
        <v>0.23000000000000398</v>
      </c>
      <c r="F718" s="11">
        <v>0.123</v>
      </c>
      <c r="G718" s="3">
        <f t="shared" si="22"/>
        <v>7.1284329563813401E-3</v>
      </c>
    </row>
    <row r="719" spans="1:7" customFormat="1">
      <c r="A719" s="1">
        <v>4</v>
      </c>
      <c r="B719" s="1" t="s">
        <v>31</v>
      </c>
      <c r="C719" s="11">
        <v>27.29</v>
      </c>
      <c r="D719" s="11">
        <v>26.36</v>
      </c>
      <c r="E719" s="2">
        <f t="shared" si="23"/>
        <v>0.92999999999999972</v>
      </c>
      <c r="F719" s="11">
        <v>0.188</v>
      </c>
      <c r="G719" s="3">
        <f t="shared" si="22"/>
        <v>4.0967387321363125E-2</v>
      </c>
    </row>
    <row r="720" spans="1:7" customFormat="1">
      <c r="A720" s="1">
        <v>5</v>
      </c>
      <c r="B720" s="1" t="s">
        <v>31</v>
      </c>
      <c r="C720" s="11">
        <v>24.75</v>
      </c>
      <c r="D720" s="11">
        <v>24.69</v>
      </c>
      <c r="E720" s="2">
        <f t="shared" si="23"/>
        <v>5.9999999999998721E-2</v>
      </c>
      <c r="F720" s="11">
        <v>0.13200000000000001</v>
      </c>
      <c r="G720" s="3">
        <f t="shared" si="22"/>
        <v>7.7575757575757062E-3</v>
      </c>
    </row>
    <row r="721" spans="1:18">
      <c r="A721" s="1">
        <v>6</v>
      </c>
      <c r="B721" s="1" t="s">
        <v>31</v>
      </c>
      <c r="C721" s="11">
        <v>0</v>
      </c>
      <c r="D721" s="11">
        <v>0</v>
      </c>
      <c r="E721" s="2">
        <f t="shared" si="23"/>
        <v>0</v>
      </c>
      <c r="F721" s="11">
        <v>0.122</v>
      </c>
      <c r="G721" s="3" t="e">
        <f t="shared" si="22"/>
        <v>#DIV/0!</v>
      </c>
      <c r="R721"/>
    </row>
    <row r="722" spans="1:18">
      <c r="A722" s="1">
        <v>7</v>
      </c>
      <c r="B722" s="1" t="s">
        <v>31</v>
      </c>
      <c r="C722" s="11">
        <v>24.9</v>
      </c>
      <c r="D722" s="11">
        <v>24.12</v>
      </c>
      <c r="E722" s="2">
        <f t="shared" si="23"/>
        <v>0.77999999999999758</v>
      </c>
      <c r="F722" s="11">
        <v>0.221</v>
      </c>
      <c r="G722" s="3">
        <f t="shared" si="22"/>
        <v>4.0200803212851313E-2</v>
      </c>
      <c r="R722"/>
    </row>
    <row r="723" spans="1:18">
      <c r="A723" s="1">
        <v>10</v>
      </c>
      <c r="B723" s="1" t="s">
        <v>31</v>
      </c>
      <c r="C723" s="11">
        <v>25.83</v>
      </c>
      <c r="D723" s="11">
        <v>25.68</v>
      </c>
      <c r="E723" s="2">
        <f t="shared" si="23"/>
        <v>0.14999999999999858</v>
      </c>
      <c r="F723" s="11">
        <v>0.21099999999999999</v>
      </c>
      <c r="G723" s="3">
        <f t="shared" si="22"/>
        <v>1.3975996902826115E-2</v>
      </c>
      <c r="R723"/>
    </row>
    <row r="724" spans="1:18">
      <c r="A724" s="1">
        <v>8</v>
      </c>
      <c r="B724" s="1" t="s">
        <v>31</v>
      </c>
      <c r="C724" s="11">
        <v>27.76</v>
      </c>
      <c r="D724" s="11">
        <v>27.58</v>
      </c>
      <c r="E724" s="2">
        <f t="shared" si="23"/>
        <v>0.18000000000000327</v>
      </c>
      <c r="F724" s="11">
        <v>0.21199999999999999</v>
      </c>
      <c r="G724" s="3">
        <f t="shared" si="22"/>
        <v>1.4121037463977061E-2</v>
      </c>
    </row>
    <row r="725" spans="1:18">
      <c r="A725" s="1">
        <v>9</v>
      </c>
      <c r="B725" s="1" t="s">
        <v>31</v>
      </c>
      <c r="C725" s="11">
        <v>25.62</v>
      </c>
      <c r="D725" s="11">
        <v>25.48</v>
      </c>
      <c r="E725" s="2">
        <f t="shared" si="23"/>
        <v>0.14000000000000057</v>
      </c>
      <c r="F725" s="11">
        <v>0.20300000000000001</v>
      </c>
      <c r="G725" s="3">
        <f t="shared" si="22"/>
        <v>1.3387978142076524E-2</v>
      </c>
      <c r="R725"/>
    </row>
    <row r="726" spans="1:18">
      <c r="A726" s="1">
        <v>11</v>
      </c>
      <c r="B726" s="1" t="s">
        <v>31</v>
      </c>
      <c r="C726" s="11">
        <v>25.42</v>
      </c>
      <c r="D726" s="11">
        <v>25.25</v>
      </c>
      <c r="E726" s="2">
        <f t="shared" si="23"/>
        <v>0.17000000000000171</v>
      </c>
      <c r="F726" s="11">
        <v>0.223</v>
      </c>
      <c r="G726" s="3">
        <f t="shared" si="22"/>
        <v>1.546026750590093E-2</v>
      </c>
      <c r="R726"/>
    </row>
    <row r="727" spans="1:18">
      <c r="A727" s="1">
        <v>12</v>
      </c>
      <c r="B727" s="1" t="s">
        <v>31</v>
      </c>
      <c r="C727" s="11">
        <v>26.91</v>
      </c>
      <c r="D727" s="11">
        <v>26.8</v>
      </c>
      <c r="E727" s="2">
        <f t="shared" si="23"/>
        <v>0.10999999999999943</v>
      </c>
      <c r="F727" s="11">
        <v>0.42099999999999999</v>
      </c>
      <c r="G727" s="3">
        <f t="shared" si="22"/>
        <v>1.9732441471571886E-2</v>
      </c>
      <c r="R727"/>
    </row>
    <row r="728" spans="1:18">
      <c r="A728" s="1">
        <v>13</v>
      </c>
      <c r="B728" s="1" t="s">
        <v>31</v>
      </c>
      <c r="C728" s="11">
        <v>52.05</v>
      </c>
      <c r="D728" s="11">
        <v>51.67</v>
      </c>
      <c r="E728" s="2">
        <f t="shared" si="23"/>
        <v>0.37999999999999545</v>
      </c>
      <c r="F728" s="11">
        <v>0.433</v>
      </c>
      <c r="G728" s="3">
        <f t="shared" si="22"/>
        <v>1.5619596541786658E-2</v>
      </c>
      <c r="R728"/>
    </row>
    <row r="729" spans="1:18">
      <c r="A729" s="1">
        <v>14</v>
      </c>
      <c r="B729" s="1" t="s">
        <v>31</v>
      </c>
      <c r="C729" s="11">
        <v>48.8</v>
      </c>
      <c r="D729" s="11">
        <v>48.32</v>
      </c>
      <c r="E729" s="2">
        <f t="shared" si="23"/>
        <v>0.47999999999999687</v>
      </c>
      <c r="F729" s="11">
        <v>0.442</v>
      </c>
      <c r="G729" s="3">
        <f t="shared" si="22"/>
        <v>1.8893442622950757E-2</v>
      </c>
      <c r="R729"/>
    </row>
    <row r="730" spans="1:18">
      <c r="A730" s="1">
        <v>15</v>
      </c>
      <c r="B730" s="1" t="s">
        <v>31</v>
      </c>
      <c r="C730" s="11">
        <v>26.7</v>
      </c>
      <c r="D730" s="11">
        <v>26.62</v>
      </c>
      <c r="E730" s="2">
        <f t="shared" si="23"/>
        <v>7.9999999999998295E-2</v>
      </c>
      <c r="F730" s="11">
        <v>0.29899999999999999</v>
      </c>
      <c r="G730" s="3">
        <f t="shared" si="22"/>
        <v>1.4194756554307053E-2</v>
      </c>
      <c r="R730"/>
    </row>
    <row r="731" spans="1:18">
      <c r="A731" s="1">
        <v>16</v>
      </c>
      <c r="B731" s="1" t="s">
        <v>31</v>
      </c>
      <c r="C731" s="11">
        <v>25</v>
      </c>
      <c r="D731" s="11">
        <v>24.95</v>
      </c>
      <c r="E731" s="2">
        <f t="shared" si="23"/>
        <v>5.0000000000000711E-2</v>
      </c>
      <c r="F731" s="11">
        <v>0.32200000000000001</v>
      </c>
      <c r="G731" s="3">
        <f t="shared" si="22"/>
        <v>1.4880000000000029E-2</v>
      </c>
      <c r="R731"/>
    </row>
    <row r="732" spans="1:18">
      <c r="A732" s="1">
        <v>17</v>
      </c>
      <c r="B732" s="1" t="s">
        <v>31</v>
      </c>
      <c r="C732" s="11">
        <v>25</v>
      </c>
      <c r="D732" s="11">
        <v>24.68</v>
      </c>
      <c r="E732" s="2">
        <f t="shared" si="23"/>
        <v>0.32000000000000028</v>
      </c>
      <c r="F732" s="11">
        <v>0.23300000000000001</v>
      </c>
      <c r="G732" s="3">
        <f t="shared" si="22"/>
        <v>2.2120000000000011E-2</v>
      </c>
      <c r="R732"/>
    </row>
    <row r="733" spans="1:18">
      <c r="A733" s="1">
        <v>18</v>
      </c>
      <c r="B733" s="1" t="s">
        <v>31</v>
      </c>
      <c r="C733" s="11">
        <v>0</v>
      </c>
      <c r="D733" s="11">
        <v>0</v>
      </c>
      <c r="E733" s="2">
        <f t="shared" si="23"/>
        <v>0</v>
      </c>
      <c r="F733" s="11">
        <v>0.32100000000000001</v>
      </c>
      <c r="G733" s="3" t="e">
        <f t="shared" si="22"/>
        <v>#DIV/0!</v>
      </c>
      <c r="R733"/>
    </row>
    <row r="734" spans="1:18">
      <c r="A734" s="1">
        <v>19</v>
      </c>
      <c r="B734" s="1" t="s">
        <v>31</v>
      </c>
      <c r="C734" s="11">
        <v>25</v>
      </c>
      <c r="D734" s="11">
        <v>24.86</v>
      </c>
      <c r="E734" s="2">
        <f t="shared" si="23"/>
        <v>0.14000000000000057</v>
      </c>
      <c r="F734" s="11">
        <v>0.221</v>
      </c>
      <c r="G734" s="3">
        <f t="shared" si="22"/>
        <v>1.4440000000000022E-2</v>
      </c>
      <c r="R734"/>
    </row>
    <row r="735" spans="1:18">
      <c r="A735" s="1">
        <v>20</v>
      </c>
      <c r="B735" s="1" t="s">
        <v>31</v>
      </c>
      <c r="C735" s="11">
        <v>26.86</v>
      </c>
      <c r="D735" s="11">
        <v>26.59</v>
      </c>
      <c r="E735" s="2">
        <f t="shared" si="23"/>
        <v>0.26999999999999957</v>
      </c>
      <c r="F735" s="11">
        <v>0.32100000000000001</v>
      </c>
      <c r="G735" s="3">
        <f t="shared" si="22"/>
        <v>2.2002978406552479E-2</v>
      </c>
      <c r="R735"/>
    </row>
    <row r="736" spans="1:18">
      <c r="A736" s="1">
        <v>21</v>
      </c>
      <c r="B736" s="1" t="s">
        <v>31</v>
      </c>
      <c r="C736" s="11">
        <v>0</v>
      </c>
      <c r="D736" s="11">
        <v>0</v>
      </c>
      <c r="E736" s="2">
        <f t="shared" si="23"/>
        <v>0</v>
      </c>
      <c r="F736" s="11">
        <v>0.21099999999999999</v>
      </c>
      <c r="G736" s="3" t="e">
        <f t="shared" si="22"/>
        <v>#DIV/0!</v>
      </c>
      <c r="R736"/>
    </row>
    <row r="737" spans="1:7" customFormat="1">
      <c r="A737" s="1">
        <v>22</v>
      </c>
      <c r="B737" s="1" t="s">
        <v>31</v>
      </c>
      <c r="C737" s="11">
        <v>24.85</v>
      </c>
      <c r="D737" s="11">
        <v>24.59</v>
      </c>
      <c r="E737" s="2">
        <f t="shared" si="23"/>
        <v>0.26000000000000156</v>
      </c>
      <c r="F737" s="11">
        <v>0.221</v>
      </c>
      <c r="G737" s="3">
        <f t="shared" si="22"/>
        <v>1.9356136820925615E-2</v>
      </c>
    </row>
    <row r="738" spans="1:7" customFormat="1">
      <c r="A738" s="1">
        <v>23</v>
      </c>
      <c r="B738" s="1" t="s">
        <v>31</v>
      </c>
      <c r="C738" s="11">
        <v>76.81</v>
      </c>
      <c r="D738" s="11">
        <v>76.290000000000006</v>
      </c>
      <c r="E738" s="2">
        <f t="shared" si="23"/>
        <v>0.51999999999999602</v>
      </c>
      <c r="F738" s="11">
        <v>0.53200000000000003</v>
      </c>
      <c r="G738" s="3">
        <f t="shared" si="22"/>
        <v>1.369613331597443E-2</v>
      </c>
    </row>
    <row r="739" spans="1:7" customFormat="1">
      <c r="A739" s="1">
        <v>24</v>
      </c>
      <c r="B739" s="1" t="s">
        <v>31</v>
      </c>
      <c r="C739" s="11">
        <v>50.7</v>
      </c>
      <c r="D739" s="11">
        <v>48.81</v>
      </c>
      <c r="E739" s="2">
        <f t="shared" si="23"/>
        <v>1.8900000000000006</v>
      </c>
      <c r="F739" s="11">
        <v>0.41199999999999998</v>
      </c>
      <c r="G739" s="3">
        <f t="shared" si="22"/>
        <v>4.54043392504931E-2</v>
      </c>
    </row>
    <row r="740" spans="1:7" customFormat="1">
      <c r="A740" s="1">
        <v>25</v>
      </c>
      <c r="B740" s="1" t="s">
        <v>31</v>
      </c>
      <c r="C740" s="11">
        <v>27.06</v>
      </c>
      <c r="D740" s="11">
        <v>26.73</v>
      </c>
      <c r="E740" s="2">
        <f t="shared" si="23"/>
        <v>0.32999999999999829</v>
      </c>
      <c r="F740" s="11">
        <v>0.309</v>
      </c>
      <c r="G740" s="3">
        <f t="shared" si="22"/>
        <v>2.3614190687361356E-2</v>
      </c>
    </row>
    <row r="741" spans="1:7" customFormat="1">
      <c r="A741" s="1">
        <v>26</v>
      </c>
      <c r="B741" s="1" t="s">
        <v>31</v>
      </c>
      <c r="C741" s="11">
        <v>23.36</v>
      </c>
      <c r="D741" s="11">
        <v>23.32</v>
      </c>
      <c r="E741" s="2">
        <f t="shared" si="23"/>
        <v>3.9999999999999147E-2</v>
      </c>
      <c r="F741" s="11">
        <v>0.23100000000000001</v>
      </c>
      <c r="G741" s="3">
        <f t="shared" ref="G741:G804" si="24">(E741+F741)/C741</f>
        <v>1.1601027397260237E-2</v>
      </c>
    </row>
    <row r="742" spans="1:7" customFormat="1">
      <c r="A742" s="1">
        <v>27</v>
      </c>
      <c r="B742" s="1" t="s">
        <v>31</v>
      </c>
      <c r="C742" s="11">
        <v>27.97</v>
      </c>
      <c r="D742" s="11">
        <v>27.75</v>
      </c>
      <c r="E742" s="2">
        <f t="shared" si="23"/>
        <v>0.21999999999999886</v>
      </c>
      <c r="F742" s="11">
        <v>0.22700000000000001</v>
      </c>
      <c r="G742" s="3">
        <f t="shared" si="24"/>
        <v>1.598140865212724E-2</v>
      </c>
    </row>
    <row r="743" spans="1:7" customFormat="1">
      <c r="A743" s="1">
        <v>28</v>
      </c>
      <c r="B743" s="1" t="s">
        <v>31</v>
      </c>
      <c r="C743" s="11">
        <v>59.07</v>
      </c>
      <c r="D743" s="11">
        <v>58.73</v>
      </c>
      <c r="E743" s="2">
        <f t="shared" si="23"/>
        <v>0.34000000000000341</v>
      </c>
      <c r="F743" s="11">
        <v>0.311</v>
      </c>
      <c r="G743" s="3">
        <f t="shared" si="24"/>
        <v>1.1020822752666385E-2</v>
      </c>
    </row>
    <row r="744" spans="1:7" customFormat="1">
      <c r="A744" s="1">
        <v>29</v>
      </c>
      <c r="B744" s="1" t="s">
        <v>31</v>
      </c>
      <c r="C744" s="11">
        <v>27.12</v>
      </c>
      <c r="D744" s="11">
        <v>27.08</v>
      </c>
      <c r="E744" s="2">
        <f t="shared" si="23"/>
        <v>4.00000000000027E-2</v>
      </c>
      <c r="F744" s="11">
        <v>0.20100000000000001</v>
      </c>
      <c r="G744" s="3">
        <f t="shared" si="24"/>
        <v>8.8864306784661763E-3</v>
      </c>
    </row>
    <row r="745" spans="1:7" customFormat="1">
      <c r="A745" s="1">
        <v>30</v>
      </c>
      <c r="B745" s="1" t="s">
        <v>31</v>
      </c>
      <c r="C745" s="11">
        <v>25.5</v>
      </c>
      <c r="D745" s="11">
        <v>25.47</v>
      </c>
      <c r="E745" s="2">
        <f t="shared" si="23"/>
        <v>3.0000000000001137E-2</v>
      </c>
      <c r="F745" s="11">
        <v>0.22600000000000001</v>
      </c>
      <c r="G745" s="3">
        <f t="shared" si="24"/>
        <v>1.0039215686274553E-2</v>
      </c>
    </row>
    <row r="746" spans="1:7" customFormat="1">
      <c r="A746" s="1">
        <v>31</v>
      </c>
      <c r="B746" s="1" t="s">
        <v>31</v>
      </c>
      <c r="C746" s="11">
        <v>82.58</v>
      </c>
      <c r="D746" s="11">
        <v>81.37</v>
      </c>
      <c r="E746" s="2">
        <f t="shared" si="23"/>
        <v>1.2099999999999937</v>
      </c>
      <c r="F746" s="11">
        <v>0.28699999999999998</v>
      </c>
      <c r="G746" s="3">
        <f t="shared" si="24"/>
        <v>1.8127875999031165E-2</v>
      </c>
    </row>
    <row r="747" spans="1:7" customFormat="1">
      <c r="A747" s="1">
        <v>1</v>
      </c>
      <c r="B747" s="1" t="s">
        <v>32</v>
      </c>
      <c r="C747" s="11">
        <v>27.96</v>
      </c>
      <c r="D747" s="11">
        <v>27.88</v>
      </c>
      <c r="E747" s="2">
        <f t="shared" si="23"/>
        <v>8.0000000000001847E-2</v>
      </c>
      <c r="F747" s="11">
        <v>0.1</v>
      </c>
      <c r="G747" s="3">
        <f t="shared" si="24"/>
        <v>6.4377682403434135E-3</v>
      </c>
    </row>
    <row r="748" spans="1:7" customFormat="1">
      <c r="A748" s="1">
        <v>2</v>
      </c>
      <c r="B748" s="1" t="s">
        <v>32</v>
      </c>
      <c r="C748" s="11">
        <v>25.11</v>
      </c>
      <c r="D748" s="11">
        <v>24.93</v>
      </c>
      <c r="E748" s="2">
        <f t="shared" si="23"/>
        <v>0.17999999999999972</v>
      </c>
      <c r="F748" s="11">
        <v>0.112</v>
      </c>
      <c r="G748" s="3">
        <f t="shared" si="24"/>
        <v>1.1628833134209466E-2</v>
      </c>
    </row>
    <row r="749" spans="1:7" customFormat="1">
      <c r="A749" s="1">
        <v>3</v>
      </c>
      <c r="B749" s="1" t="s">
        <v>32</v>
      </c>
      <c r="C749" s="11">
        <v>49.99</v>
      </c>
      <c r="D749" s="11">
        <v>49.67</v>
      </c>
      <c r="E749" s="2">
        <f t="shared" si="23"/>
        <v>0.32000000000000028</v>
      </c>
      <c r="F749" s="11">
        <v>0.13600000000000001</v>
      </c>
      <c r="G749" s="3">
        <f t="shared" si="24"/>
        <v>9.1218243648729797E-3</v>
      </c>
    </row>
    <row r="750" spans="1:7" customFormat="1">
      <c r="A750" s="1">
        <v>4</v>
      </c>
      <c r="B750" s="1" t="s">
        <v>32</v>
      </c>
      <c r="C750" s="11">
        <v>0</v>
      </c>
      <c r="D750" s="11">
        <v>0</v>
      </c>
      <c r="E750" s="2">
        <f t="shared" si="23"/>
        <v>0</v>
      </c>
      <c r="F750" s="11">
        <v>0.17599999999999999</v>
      </c>
      <c r="G750" s="3" t="e">
        <f t="shared" si="24"/>
        <v>#DIV/0!</v>
      </c>
    </row>
    <row r="751" spans="1:7" customFormat="1">
      <c r="A751" s="1">
        <v>5</v>
      </c>
      <c r="B751" s="1" t="s">
        <v>32</v>
      </c>
      <c r="C751" s="11">
        <v>29.16</v>
      </c>
      <c r="D751" s="11">
        <v>28.95</v>
      </c>
      <c r="E751" s="2">
        <f t="shared" si="23"/>
        <v>0.21000000000000085</v>
      </c>
      <c r="F751" s="11">
        <v>0.14000000000000001</v>
      </c>
      <c r="G751" s="3">
        <f t="shared" si="24"/>
        <v>1.2002743484224995E-2</v>
      </c>
    </row>
    <row r="752" spans="1:7" customFormat="1">
      <c r="A752" s="1">
        <v>6</v>
      </c>
      <c r="B752" s="1" t="s">
        <v>32</v>
      </c>
      <c r="C752" s="11">
        <v>0</v>
      </c>
      <c r="D752" s="11">
        <v>0</v>
      </c>
      <c r="E752" s="2">
        <f t="shared" si="23"/>
        <v>0</v>
      </c>
      <c r="F752" s="11">
        <v>0.17</v>
      </c>
      <c r="G752" s="3" t="e">
        <f t="shared" si="24"/>
        <v>#DIV/0!</v>
      </c>
    </row>
    <row r="753" spans="1:18">
      <c r="A753" s="1">
        <v>7</v>
      </c>
      <c r="B753" s="1" t="s">
        <v>32</v>
      </c>
      <c r="C753" s="11">
        <v>25.06</v>
      </c>
      <c r="D753" s="11">
        <v>24.85</v>
      </c>
      <c r="E753" s="2">
        <f t="shared" si="23"/>
        <v>0.2099999999999973</v>
      </c>
      <c r="F753" s="11">
        <v>0.16500000000000001</v>
      </c>
      <c r="G753" s="3">
        <f t="shared" si="24"/>
        <v>1.4964086193136368E-2</v>
      </c>
      <c r="R753"/>
    </row>
    <row r="754" spans="1:18">
      <c r="A754" s="1">
        <v>10</v>
      </c>
      <c r="B754" s="1" t="s">
        <v>32</v>
      </c>
      <c r="C754" s="11">
        <v>47.12</v>
      </c>
      <c r="D754" s="11">
        <v>46.85</v>
      </c>
      <c r="E754" s="2">
        <f t="shared" si="23"/>
        <v>0.26999999999999602</v>
      </c>
      <c r="F754" s="11">
        <v>0.158</v>
      </c>
      <c r="G754" s="3">
        <f t="shared" si="24"/>
        <v>9.0831918505941446E-3</v>
      </c>
      <c r="R754"/>
    </row>
    <row r="755" spans="1:18">
      <c r="A755" s="1">
        <v>8</v>
      </c>
      <c r="B755" s="1" t="s">
        <v>32</v>
      </c>
      <c r="C755" s="11">
        <v>24.84</v>
      </c>
      <c r="D755" s="11">
        <v>24.63</v>
      </c>
      <c r="E755" s="2">
        <f t="shared" si="23"/>
        <v>0.21000000000000085</v>
      </c>
      <c r="F755" s="11">
        <v>0.188</v>
      </c>
      <c r="G755" s="3">
        <f t="shared" si="24"/>
        <v>1.6022544283413882E-2</v>
      </c>
    </row>
    <row r="756" spans="1:18">
      <c r="A756" s="1">
        <v>9</v>
      </c>
      <c r="B756" s="1" t="s">
        <v>32</v>
      </c>
      <c r="C756" s="11">
        <v>24.02</v>
      </c>
      <c r="D756" s="11">
        <v>23.84</v>
      </c>
      <c r="E756" s="2">
        <f t="shared" si="23"/>
        <v>0.17999999999999972</v>
      </c>
      <c r="F756" s="11">
        <v>0.186</v>
      </c>
      <c r="G756" s="3">
        <f t="shared" si="24"/>
        <v>1.523730224812655E-2</v>
      </c>
      <c r="R756"/>
    </row>
    <row r="757" spans="1:18">
      <c r="A757" s="1">
        <v>11</v>
      </c>
      <c r="B757" s="1" t="s">
        <v>32</v>
      </c>
      <c r="C757" s="11">
        <v>0</v>
      </c>
      <c r="D757" s="11">
        <v>0</v>
      </c>
      <c r="E757" s="2">
        <f t="shared" si="23"/>
        <v>0</v>
      </c>
      <c r="F757" s="11">
        <v>0.16400000000000001</v>
      </c>
      <c r="G757" s="3" t="e">
        <f t="shared" si="24"/>
        <v>#DIV/0!</v>
      </c>
      <c r="R757"/>
    </row>
    <row r="758" spans="1:18">
      <c r="A758" s="1">
        <v>12</v>
      </c>
      <c r="B758" s="1" t="s">
        <v>32</v>
      </c>
      <c r="C758" s="11">
        <v>27.69</v>
      </c>
      <c r="D758" s="11">
        <v>27.47</v>
      </c>
      <c r="E758" s="2">
        <f t="shared" si="23"/>
        <v>0.22000000000000242</v>
      </c>
      <c r="F758" s="11">
        <v>0.1899999999999924</v>
      </c>
      <c r="G758" s="3">
        <f t="shared" si="24"/>
        <v>1.4806789454676591E-2</v>
      </c>
      <c r="R758"/>
    </row>
    <row r="759" spans="1:18">
      <c r="A759" s="1">
        <v>13</v>
      </c>
      <c r="B759" s="1" t="s">
        <v>32</v>
      </c>
      <c r="C759" s="11">
        <v>84.25</v>
      </c>
      <c r="D759" s="11">
        <v>83.56</v>
      </c>
      <c r="E759" s="2">
        <f t="shared" si="23"/>
        <v>0.68999999999999773</v>
      </c>
      <c r="F759" s="11">
        <v>0.124</v>
      </c>
      <c r="G759" s="3">
        <f t="shared" si="24"/>
        <v>9.6617210682492308E-3</v>
      </c>
      <c r="R759"/>
    </row>
    <row r="760" spans="1:18">
      <c r="A760" s="1">
        <v>14</v>
      </c>
      <c r="B760" s="1" t="s">
        <v>32</v>
      </c>
      <c r="C760" s="11">
        <v>26.42</v>
      </c>
      <c r="D760" s="11">
        <v>26.23</v>
      </c>
      <c r="E760" s="2">
        <f t="shared" si="23"/>
        <v>0.19000000000000128</v>
      </c>
      <c r="F760" s="11">
        <v>0.14000000000000001</v>
      </c>
      <c r="G760" s="3">
        <f t="shared" si="24"/>
        <v>1.2490537471612462E-2</v>
      </c>
      <c r="R760"/>
    </row>
    <row r="761" spans="1:18">
      <c r="A761" s="1">
        <v>15</v>
      </c>
      <c r="B761" s="1" t="s">
        <v>32</v>
      </c>
      <c r="C761" s="11">
        <v>60.62</v>
      </c>
      <c r="D761" s="11">
        <v>60.03</v>
      </c>
      <c r="E761" s="2">
        <f t="shared" si="23"/>
        <v>0.58999999999999631</v>
      </c>
      <c r="F761" s="11">
        <v>0.109</v>
      </c>
      <c r="G761" s="3">
        <f t="shared" si="24"/>
        <v>1.1530847904981793E-2</v>
      </c>
      <c r="R761"/>
    </row>
    <row r="762" spans="1:18">
      <c r="A762" s="1">
        <v>16</v>
      </c>
      <c r="B762" s="1" t="s">
        <v>32</v>
      </c>
      <c r="C762" s="11">
        <v>25.66</v>
      </c>
      <c r="D762" s="11">
        <v>25.51</v>
      </c>
      <c r="E762" s="2">
        <f t="shared" si="23"/>
        <v>0.14999999999999858</v>
      </c>
      <c r="F762" s="11">
        <v>0.124</v>
      </c>
      <c r="G762" s="3">
        <f t="shared" si="24"/>
        <v>1.0678098207326523E-2</v>
      </c>
      <c r="R762"/>
    </row>
    <row r="763" spans="1:18">
      <c r="A763" s="1">
        <v>17</v>
      </c>
      <c r="B763" s="1" t="s">
        <v>32</v>
      </c>
      <c r="C763" s="11">
        <v>23.25</v>
      </c>
      <c r="D763" s="11">
        <v>23.07</v>
      </c>
      <c r="E763" s="2">
        <f t="shared" si="23"/>
        <v>0.17999999999999972</v>
      </c>
      <c r="F763" s="11">
        <v>0.16800000000000001</v>
      </c>
      <c r="G763" s="3">
        <f t="shared" si="24"/>
        <v>1.496774193548386E-2</v>
      </c>
      <c r="R763"/>
    </row>
    <row r="764" spans="1:18">
      <c r="A764" s="1">
        <v>18</v>
      </c>
      <c r="B764" s="1" t="s">
        <v>32</v>
      </c>
      <c r="C764" s="11">
        <v>54</v>
      </c>
      <c r="D764" s="11">
        <v>53.61</v>
      </c>
      <c r="E764" s="2">
        <f t="shared" si="23"/>
        <v>0.39000000000000057</v>
      </c>
      <c r="F764" s="11">
        <v>0.13200000000000001</v>
      </c>
      <c r="G764" s="3">
        <f t="shared" si="24"/>
        <v>9.6666666666666776E-3</v>
      </c>
      <c r="R764"/>
    </row>
    <row r="765" spans="1:18">
      <c r="A765" s="1">
        <v>19</v>
      </c>
      <c r="B765" s="1" t="s">
        <v>32</v>
      </c>
      <c r="C765" s="11">
        <v>0</v>
      </c>
      <c r="D765" s="11">
        <v>0</v>
      </c>
      <c r="E765" s="2">
        <f t="shared" si="23"/>
        <v>0</v>
      </c>
      <c r="F765" s="11">
        <v>0.12</v>
      </c>
      <c r="G765" s="3" t="e">
        <f t="shared" si="24"/>
        <v>#DIV/0!</v>
      </c>
      <c r="R765"/>
    </row>
    <row r="766" spans="1:18">
      <c r="A766" s="1">
        <v>20</v>
      </c>
      <c r="B766" s="1" t="s">
        <v>32</v>
      </c>
      <c r="C766" s="11">
        <v>25.02</v>
      </c>
      <c r="D766" s="11">
        <v>24.82</v>
      </c>
      <c r="E766" s="2">
        <f t="shared" si="23"/>
        <v>0.19999999999999929</v>
      </c>
      <c r="F766" s="11">
        <v>0.112</v>
      </c>
      <c r="G766" s="3">
        <f t="shared" si="24"/>
        <v>1.247002398081532E-2</v>
      </c>
      <c r="R766"/>
    </row>
    <row r="767" spans="1:18">
      <c r="A767" s="1">
        <v>21</v>
      </c>
      <c r="B767" s="1" t="s">
        <v>32</v>
      </c>
      <c r="C767" s="11">
        <v>55.05</v>
      </c>
      <c r="D767" s="11">
        <v>54.93</v>
      </c>
      <c r="E767" s="2">
        <f t="shared" si="23"/>
        <v>0.11999999999999744</v>
      </c>
      <c r="F767" s="11">
        <v>0.16600000000000001</v>
      </c>
      <c r="G767" s="3">
        <f t="shared" si="24"/>
        <v>5.1952770208900543E-3</v>
      </c>
      <c r="R767"/>
    </row>
    <row r="768" spans="1:18">
      <c r="A768" s="1">
        <v>22</v>
      </c>
      <c r="B768" s="1" t="s">
        <v>32</v>
      </c>
      <c r="C768" s="11">
        <v>51.43</v>
      </c>
      <c r="D768" s="11">
        <v>51.22</v>
      </c>
      <c r="E768" s="2">
        <f t="shared" si="23"/>
        <v>0.21000000000000085</v>
      </c>
      <c r="F768" s="11">
        <v>0.125</v>
      </c>
      <c r="G768" s="3">
        <f t="shared" si="24"/>
        <v>6.5137079525568898E-3</v>
      </c>
      <c r="R768"/>
    </row>
    <row r="769" spans="1:7" customFormat="1">
      <c r="A769" s="1">
        <v>23</v>
      </c>
      <c r="B769" s="1" t="s">
        <v>32</v>
      </c>
      <c r="C769" s="11">
        <v>51.49</v>
      </c>
      <c r="D769" s="11">
        <v>51.12</v>
      </c>
      <c r="E769" s="2">
        <f t="shared" si="23"/>
        <v>0.37000000000000455</v>
      </c>
      <c r="F769" s="11">
        <v>0.185</v>
      </c>
      <c r="G769" s="3">
        <f t="shared" si="24"/>
        <v>1.0778791998446389E-2</v>
      </c>
    </row>
    <row r="770" spans="1:7" customFormat="1">
      <c r="A770" s="1">
        <v>24</v>
      </c>
      <c r="B770" s="1" t="s">
        <v>32</v>
      </c>
      <c r="C770" s="11">
        <v>22.79</v>
      </c>
      <c r="D770" s="11">
        <v>22.69</v>
      </c>
      <c r="E770" s="2">
        <f t="shared" si="23"/>
        <v>9.9999999999997868E-2</v>
      </c>
      <c r="F770" s="11">
        <v>0.108</v>
      </c>
      <c r="G770" s="3">
        <f t="shared" si="24"/>
        <v>9.1268100043877948E-3</v>
      </c>
    </row>
    <row r="771" spans="1:7" customFormat="1">
      <c r="A771" s="1">
        <v>25</v>
      </c>
      <c r="B771" s="1" t="s">
        <v>32</v>
      </c>
      <c r="C771" s="11">
        <v>26.88</v>
      </c>
      <c r="D771" s="11">
        <v>26.77</v>
      </c>
      <c r="E771" s="2">
        <f t="shared" si="23"/>
        <v>0.10999999999999943</v>
      </c>
      <c r="F771" s="11">
        <v>0.13</v>
      </c>
      <c r="G771" s="3">
        <f t="shared" si="24"/>
        <v>8.9285714285714073E-3</v>
      </c>
    </row>
    <row r="772" spans="1:7" customFormat="1">
      <c r="A772" s="1">
        <v>26</v>
      </c>
      <c r="B772" s="1" t="s">
        <v>32</v>
      </c>
      <c r="C772" s="11">
        <v>25.92</v>
      </c>
      <c r="D772" s="11">
        <v>25.63</v>
      </c>
      <c r="E772" s="2">
        <f t="shared" ref="E772:E835" si="25">C772-D772</f>
        <v>0.2900000000000027</v>
      </c>
      <c r="F772" s="11">
        <v>0.17599999999999999</v>
      </c>
      <c r="G772" s="3">
        <f t="shared" si="24"/>
        <v>1.7978395061728498E-2</v>
      </c>
    </row>
    <row r="773" spans="1:7" customFormat="1">
      <c r="A773" s="1">
        <v>27</v>
      </c>
      <c r="B773" s="1" t="s">
        <v>32</v>
      </c>
      <c r="C773" s="11">
        <v>26.26</v>
      </c>
      <c r="D773" s="11">
        <v>26.06</v>
      </c>
      <c r="E773" s="2">
        <f t="shared" si="25"/>
        <v>0.20000000000000284</v>
      </c>
      <c r="F773" s="11">
        <v>0.112</v>
      </c>
      <c r="G773" s="3">
        <f t="shared" si="24"/>
        <v>1.1881188118811989E-2</v>
      </c>
    </row>
    <row r="774" spans="1:7" customFormat="1">
      <c r="A774" s="1">
        <v>28</v>
      </c>
      <c r="B774" s="1" t="s">
        <v>32</v>
      </c>
      <c r="C774" s="11">
        <v>52.1</v>
      </c>
      <c r="D774" s="11">
        <v>51.86</v>
      </c>
      <c r="E774" s="2">
        <f t="shared" si="25"/>
        <v>0.24000000000000199</v>
      </c>
      <c r="F774" s="11">
        <v>0.154</v>
      </c>
      <c r="G774" s="3">
        <f t="shared" si="24"/>
        <v>7.5623800383877544E-3</v>
      </c>
    </row>
    <row r="775" spans="1:7" customFormat="1">
      <c r="A775" s="1">
        <v>29</v>
      </c>
      <c r="B775" s="1" t="s">
        <v>32</v>
      </c>
      <c r="C775" s="11">
        <v>24.27</v>
      </c>
      <c r="D775" s="11">
        <v>24.17</v>
      </c>
      <c r="E775" s="2">
        <f t="shared" si="25"/>
        <v>9.9999999999997868E-2</v>
      </c>
      <c r="F775" s="11">
        <v>0.13600000000000001</v>
      </c>
      <c r="G775" s="3">
        <f t="shared" si="24"/>
        <v>9.7239390193653852E-3</v>
      </c>
    </row>
    <row r="776" spans="1:7" customFormat="1">
      <c r="A776" s="1">
        <v>30</v>
      </c>
      <c r="B776" s="1" t="s">
        <v>32</v>
      </c>
      <c r="C776" s="11">
        <v>131.91999999999999</v>
      </c>
      <c r="D776" s="11">
        <v>130.61000000000001</v>
      </c>
      <c r="E776" s="2">
        <f t="shared" si="25"/>
        <v>1.3099999999999739</v>
      </c>
      <c r="F776" s="11">
        <v>0.126</v>
      </c>
      <c r="G776" s="3">
        <f t="shared" si="24"/>
        <v>1.08853850818676E-2</v>
      </c>
    </row>
    <row r="777" spans="1:7" customFormat="1">
      <c r="A777" s="1">
        <v>31</v>
      </c>
      <c r="B777" s="1" t="s">
        <v>32</v>
      </c>
      <c r="C777" s="11">
        <v>28.12</v>
      </c>
      <c r="D777" s="11">
        <v>28</v>
      </c>
      <c r="E777" s="2">
        <f t="shared" si="25"/>
        <v>0.12000000000000099</v>
      </c>
      <c r="F777" s="11">
        <v>0.12</v>
      </c>
      <c r="G777" s="3">
        <f t="shared" si="24"/>
        <v>8.5348506401138335E-3</v>
      </c>
    </row>
    <row r="778" spans="1:7" customFormat="1">
      <c r="A778" s="1">
        <v>1</v>
      </c>
      <c r="B778" s="1" t="s">
        <v>33</v>
      </c>
      <c r="C778" s="11">
        <v>15.4</v>
      </c>
      <c r="D778" s="11">
        <v>15.27</v>
      </c>
      <c r="E778" s="2">
        <f t="shared" si="25"/>
        <v>0.13000000000000078</v>
      </c>
      <c r="F778" s="11">
        <v>0.27600000000000002</v>
      </c>
      <c r="G778" s="3">
        <f t="shared" si="24"/>
        <v>2.6363636363636415E-2</v>
      </c>
    </row>
    <row r="779" spans="1:7" customFormat="1">
      <c r="A779" s="1">
        <v>2</v>
      </c>
      <c r="B779" s="1" t="s">
        <v>33</v>
      </c>
      <c r="C779" s="11">
        <v>24.5</v>
      </c>
      <c r="D779" s="11">
        <v>24.39</v>
      </c>
      <c r="E779" s="2">
        <f t="shared" si="25"/>
        <v>0.10999999999999943</v>
      </c>
      <c r="F779" s="11">
        <v>0.36399999999999999</v>
      </c>
      <c r="G779" s="3">
        <f t="shared" si="24"/>
        <v>1.9346938775510181E-2</v>
      </c>
    </row>
    <row r="780" spans="1:7" customFormat="1">
      <c r="A780" s="1">
        <v>3</v>
      </c>
      <c r="B780" s="1" t="s">
        <v>33</v>
      </c>
      <c r="C780" s="11">
        <v>27.31</v>
      </c>
      <c r="D780" s="11">
        <v>27.17</v>
      </c>
      <c r="E780" s="2">
        <f t="shared" si="25"/>
        <v>0.13999999999999702</v>
      </c>
      <c r="F780" s="11">
        <v>0.61199999999999999</v>
      </c>
      <c r="G780" s="3">
        <f t="shared" si="24"/>
        <v>2.7535701208348484E-2</v>
      </c>
    </row>
    <row r="781" spans="1:7" customFormat="1">
      <c r="A781" s="1">
        <v>4</v>
      </c>
      <c r="B781" s="1" t="s">
        <v>33</v>
      </c>
      <c r="C781" s="11">
        <v>0</v>
      </c>
      <c r="D781" s="11">
        <v>0</v>
      </c>
      <c r="E781" s="2">
        <f t="shared" si="25"/>
        <v>0</v>
      </c>
      <c r="F781" s="11">
        <v>0.188</v>
      </c>
      <c r="G781" s="3" t="e">
        <f t="shared" si="24"/>
        <v>#DIV/0!</v>
      </c>
    </row>
    <row r="782" spans="1:7" customFormat="1">
      <c r="A782" s="1">
        <v>5</v>
      </c>
      <c r="B782" s="1" t="s">
        <v>33</v>
      </c>
      <c r="C782" s="11">
        <v>26.26</v>
      </c>
      <c r="D782" s="11">
        <v>26.15</v>
      </c>
      <c r="E782" s="2">
        <f t="shared" si="25"/>
        <v>0.11000000000000298</v>
      </c>
      <c r="F782" s="11">
        <v>0.73199999999999998</v>
      </c>
      <c r="G782" s="3">
        <f t="shared" si="24"/>
        <v>3.2063975628332173E-2</v>
      </c>
    </row>
    <row r="783" spans="1:7" customFormat="1">
      <c r="A783" s="1">
        <v>6</v>
      </c>
      <c r="B783" s="1" t="s">
        <v>33</v>
      </c>
      <c r="C783" s="11">
        <v>28.91</v>
      </c>
      <c r="D783" s="11">
        <v>28.86</v>
      </c>
      <c r="E783" s="2">
        <f t="shared" si="25"/>
        <v>5.0000000000000711E-2</v>
      </c>
      <c r="F783" s="11">
        <v>0.30499999999999999</v>
      </c>
      <c r="G783" s="3">
        <f t="shared" si="24"/>
        <v>1.2279488066413029E-2</v>
      </c>
    </row>
    <row r="784" spans="1:7" customFormat="1">
      <c r="A784" s="1">
        <v>7</v>
      </c>
      <c r="B784" s="1" t="s">
        <v>33</v>
      </c>
      <c r="C784" s="11">
        <v>24.85</v>
      </c>
      <c r="D784" s="11">
        <v>24.73</v>
      </c>
      <c r="E784" s="2">
        <f t="shared" si="25"/>
        <v>0.12000000000000099</v>
      </c>
      <c r="F784" s="11">
        <v>0.48299999999999998</v>
      </c>
      <c r="G784" s="3">
        <f t="shared" si="24"/>
        <v>2.4265593561368249E-2</v>
      </c>
    </row>
    <row r="785" spans="1:18">
      <c r="A785" s="1">
        <v>10</v>
      </c>
      <c r="B785" s="1" t="s">
        <v>33</v>
      </c>
      <c r="C785" s="11">
        <v>24.84</v>
      </c>
      <c r="D785" s="11">
        <v>24.73</v>
      </c>
      <c r="E785" s="2">
        <f t="shared" si="25"/>
        <v>0.10999999999999943</v>
      </c>
      <c r="F785" s="11">
        <v>0.61199999999999999</v>
      </c>
      <c r="G785" s="3">
        <f t="shared" si="24"/>
        <v>2.906602254428339E-2</v>
      </c>
      <c r="R785"/>
    </row>
    <row r="786" spans="1:18">
      <c r="A786" s="1">
        <v>8</v>
      </c>
      <c r="B786" s="1" t="s">
        <v>33</v>
      </c>
      <c r="C786" s="11">
        <v>0</v>
      </c>
      <c r="D786" s="11">
        <v>0</v>
      </c>
      <c r="E786" s="2">
        <f t="shared" si="25"/>
        <v>0</v>
      </c>
      <c r="F786" s="11">
        <v>0.30299999999999999</v>
      </c>
      <c r="G786" s="3" t="e">
        <f t="shared" si="24"/>
        <v>#DIV/0!</v>
      </c>
    </row>
    <row r="787" spans="1:18">
      <c r="A787" s="1">
        <v>9</v>
      </c>
      <c r="B787" s="1" t="s">
        <v>33</v>
      </c>
      <c r="C787" s="11">
        <v>27.53</v>
      </c>
      <c r="D787" s="11">
        <v>27.42</v>
      </c>
      <c r="E787" s="2">
        <f t="shared" si="25"/>
        <v>0.10999999999999943</v>
      </c>
      <c r="F787" s="11">
        <v>0.504</v>
      </c>
      <c r="G787" s="3">
        <f t="shared" si="24"/>
        <v>2.2302942244823806E-2</v>
      </c>
      <c r="R787"/>
    </row>
    <row r="788" spans="1:18">
      <c r="A788" s="1">
        <v>11</v>
      </c>
      <c r="B788" s="1" t="s">
        <v>33</v>
      </c>
      <c r="C788" s="11">
        <v>25.71</v>
      </c>
      <c r="D788" s="11">
        <v>25.62</v>
      </c>
      <c r="E788" s="2">
        <f t="shared" si="25"/>
        <v>8.9999999999999858E-2</v>
      </c>
      <c r="F788" s="11">
        <v>0.498</v>
      </c>
      <c r="G788" s="3">
        <f t="shared" si="24"/>
        <v>2.2870478413068839E-2</v>
      </c>
      <c r="R788"/>
    </row>
    <row r="789" spans="1:18">
      <c r="A789" s="1">
        <v>12</v>
      </c>
      <c r="B789" s="1" t="s">
        <v>33</v>
      </c>
      <c r="C789" s="11">
        <v>0</v>
      </c>
      <c r="D789" s="11">
        <v>0</v>
      </c>
      <c r="E789" s="2">
        <f t="shared" si="25"/>
        <v>0</v>
      </c>
      <c r="F789" s="11">
        <v>0.48099999999999998</v>
      </c>
      <c r="G789" s="3" t="e">
        <f t="shared" si="24"/>
        <v>#DIV/0!</v>
      </c>
      <c r="R789"/>
    </row>
    <row r="790" spans="1:18">
      <c r="A790" s="1">
        <v>13</v>
      </c>
      <c r="B790" s="1" t="s">
        <v>33</v>
      </c>
      <c r="C790" s="11">
        <v>0</v>
      </c>
      <c r="D790" s="11">
        <v>0</v>
      </c>
      <c r="E790" s="2">
        <f t="shared" si="25"/>
        <v>0</v>
      </c>
      <c r="F790" s="11">
        <v>0.42199999999999999</v>
      </c>
      <c r="G790" s="3" t="e">
        <f t="shared" si="24"/>
        <v>#DIV/0!</v>
      </c>
      <c r="R790"/>
    </row>
    <row r="791" spans="1:18">
      <c r="A791" s="1">
        <v>14</v>
      </c>
      <c r="B791" s="1" t="s">
        <v>33</v>
      </c>
      <c r="C791" s="11">
        <v>0</v>
      </c>
      <c r="D791" s="11">
        <v>0</v>
      </c>
      <c r="E791" s="2">
        <f t="shared" si="25"/>
        <v>0</v>
      </c>
      <c r="F791" s="11">
        <v>0.29799999999999999</v>
      </c>
      <c r="G791" s="3" t="e">
        <f t="shared" si="24"/>
        <v>#DIV/0!</v>
      </c>
      <c r="R791"/>
    </row>
    <row r="792" spans="1:18">
      <c r="A792" s="1">
        <v>15</v>
      </c>
      <c r="B792" s="1" t="s">
        <v>33</v>
      </c>
      <c r="C792" s="11">
        <v>28.48</v>
      </c>
      <c r="D792" s="11">
        <v>28.13</v>
      </c>
      <c r="E792" s="2">
        <f t="shared" si="25"/>
        <v>0.35000000000000142</v>
      </c>
      <c r="F792" s="11">
        <v>0.502</v>
      </c>
      <c r="G792" s="3">
        <f t="shared" si="24"/>
        <v>2.99157303370787E-2</v>
      </c>
      <c r="R792"/>
    </row>
    <row r="793" spans="1:18">
      <c r="A793" s="1">
        <v>16</v>
      </c>
      <c r="B793" s="1" t="s">
        <v>33</v>
      </c>
      <c r="C793" s="11">
        <v>0</v>
      </c>
      <c r="D793" s="11">
        <v>0</v>
      </c>
      <c r="E793" s="2">
        <f t="shared" si="25"/>
        <v>0</v>
      </c>
      <c r="F793" s="11">
        <v>0.52100000000000002</v>
      </c>
      <c r="G793" s="3" t="e">
        <f t="shared" si="24"/>
        <v>#DIV/0!</v>
      </c>
      <c r="R793"/>
    </row>
    <row r="794" spans="1:18">
      <c r="A794" s="1">
        <v>17</v>
      </c>
      <c r="B794" s="1" t="s">
        <v>33</v>
      </c>
      <c r="C794" s="11">
        <v>26.18</v>
      </c>
      <c r="D794" s="11">
        <v>25.67</v>
      </c>
      <c r="E794" s="2">
        <f t="shared" si="25"/>
        <v>0.50999999999999801</v>
      </c>
      <c r="F794" s="11">
        <v>0.432</v>
      </c>
      <c r="G794" s="3">
        <f t="shared" si="24"/>
        <v>3.5981665393430021E-2</v>
      </c>
      <c r="R794"/>
    </row>
    <row r="795" spans="1:18">
      <c r="A795" s="1">
        <v>18</v>
      </c>
      <c r="B795" s="1" t="s">
        <v>33</v>
      </c>
      <c r="C795" s="11">
        <v>26.87</v>
      </c>
      <c r="D795" s="11">
        <v>26.75</v>
      </c>
      <c r="E795" s="2">
        <f t="shared" si="25"/>
        <v>0.12000000000000099</v>
      </c>
      <c r="F795" s="11">
        <v>0.29799999999999999</v>
      </c>
      <c r="G795" s="3">
        <f t="shared" si="24"/>
        <v>1.5556382582806139E-2</v>
      </c>
      <c r="R795"/>
    </row>
    <row r="796" spans="1:18">
      <c r="A796" s="1">
        <v>19</v>
      </c>
      <c r="B796" s="1" t="s">
        <v>33</v>
      </c>
      <c r="C796" s="11">
        <v>25.26</v>
      </c>
      <c r="D796" s="11">
        <v>24.73</v>
      </c>
      <c r="E796" s="2">
        <f t="shared" si="25"/>
        <v>0.53000000000000114</v>
      </c>
      <c r="F796" s="11">
        <v>0.60299999999999998</v>
      </c>
      <c r="G796" s="3">
        <f t="shared" si="24"/>
        <v>4.4853523357086346E-2</v>
      </c>
      <c r="R796"/>
    </row>
    <row r="797" spans="1:18">
      <c r="A797" s="1">
        <v>20</v>
      </c>
      <c r="B797" s="1" t="s">
        <v>33</v>
      </c>
      <c r="C797" s="11">
        <v>0</v>
      </c>
      <c r="D797" s="11">
        <v>0</v>
      </c>
      <c r="E797" s="2">
        <f t="shared" si="25"/>
        <v>0</v>
      </c>
      <c r="F797" s="11">
        <v>0.24099999999999999</v>
      </c>
      <c r="G797" s="3" t="e">
        <f t="shared" si="24"/>
        <v>#DIV/0!</v>
      </c>
      <c r="R797"/>
    </row>
    <row r="798" spans="1:18">
      <c r="A798" s="1">
        <v>21</v>
      </c>
      <c r="B798" s="1" t="s">
        <v>33</v>
      </c>
      <c r="C798" s="11">
        <v>23.16</v>
      </c>
      <c r="D798" s="11">
        <v>22.75</v>
      </c>
      <c r="E798" s="2">
        <f t="shared" si="25"/>
        <v>0.41000000000000014</v>
      </c>
      <c r="F798" s="11">
        <v>0.55000000000000004</v>
      </c>
      <c r="G798" s="3">
        <f t="shared" si="24"/>
        <v>4.1450777202072547E-2</v>
      </c>
      <c r="R798"/>
    </row>
    <row r="799" spans="1:18">
      <c r="A799" s="1">
        <v>22</v>
      </c>
      <c r="B799" s="1" t="s">
        <v>33</v>
      </c>
      <c r="C799" s="11">
        <v>26.22</v>
      </c>
      <c r="D799" s="11">
        <v>26.07</v>
      </c>
      <c r="E799" s="2">
        <f t="shared" si="25"/>
        <v>0.14999999999999858</v>
      </c>
      <c r="F799" s="11">
        <v>0.54300000000000004</v>
      </c>
      <c r="G799" s="3">
        <f t="shared" si="24"/>
        <v>2.6430205949656699E-2</v>
      </c>
      <c r="R799"/>
    </row>
    <row r="800" spans="1:18">
      <c r="A800" s="1">
        <v>23</v>
      </c>
      <c r="B800" s="1" t="s">
        <v>33</v>
      </c>
      <c r="C800" s="11">
        <v>25.37</v>
      </c>
      <c r="D800" s="11">
        <v>25.22</v>
      </c>
      <c r="E800" s="2">
        <f t="shared" si="25"/>
        <v>0.15000000000000213</v>
      </c>
      <c r="F800" s="11">
        <v>0.376</v>
      </c>
      <c r="G800" s="3">
        <f t="shared" si="24"/>
        <v>2.073314938904226E-2</v>
      </c>
      <c r="R800"/>
    </row>
    <row r="801" spans="1:7" customFormat="1">
      <c r="A801" s="1">
        <v>24</v>
      </c>
      <c r="B801" s="1" t="s">
        <v>33</v>
      </c>
      <c r="C801" s="11">
        <v>31.8</v>
      </c>
      <c r="D801" s="11">
        <v>31.39</v>
      </c>
      <c r="E801" s="2">
        <f t="shared" si="25"/>
        <v>0.41000000000000014</v>
      </c>
      <c r="F801" s="11">
        <v>0.85099999999999998</v>
      </c>
      <c r="G801" s="3">
        <f t="shared" si="24"/>
        <v>3.9654088050314465E-2</v>
      </c>
    </row>
    <row r="802" spans="1:7" customFormat="1">
      <c r="A802" s="1">
        <v>25</v>
      </c>
      <c r="B802" s="1" t="s">
        <v>33</v>
      </c>
      <c r="C802" s="11">
        <v>52.32</v>
      </c>
      <c r="D802" s="11">
        <v>52.05</v>
      </c>
      <c r="E802" s="2">
        <f t="shared" si="25"/>
        <v>0.27000000000000313</v>
      </c>
      <c r="F802" s="11">
        <v>0.63200000000000001</v>
      </c>
      <c r="G802" s="3">
        <f t="shared" si="24"/>
        <v>1.7240061162079569E-2</v>
      </c>
    </row>
    <row r="803" spans="1:7" customFormat="1">
      <c r="A803" s="1">
        <v>26</v>
      </c>
      <c r="B803" s="1" t="s">
        <v>33</v>
      </c>
      <c r="C803" s="11">
        <v>21.33</v>
      </c>
      <c r="D803" s="11">
        <v>21.04</v>
      </c>
      <c r="E803" s="2">
        <f t="shared" si="25"/>
        <v>0.28999999999999915</v>
      </c>
      <c r="F803" s="11">
        <v>0.59799999999999998</v>
      </c>
      <c r="G803" s="3">
        <f t="shared" si="24"/>
        <v>4.1631504922644127E-2</v>
      </c>
    </row>
    <row r="804" spans="1:7" customFormat="1">
      <c r="A804" s="1">
        <v>27</v>
      </c>
      <c r="B804" s="1" t="s">
        <v>33</v>
      </c>
      <c r="C804" s="11">
        <v>128.29</v>
      </c>
      <c r="D804" s="11">
        <v>126.05</v>
      </c>
      <c r="E804" s="2">
        <f t="shared" si="25"/>
        <v>2.2399999999999949</v>
      </c>
      <c r="F804" s="11">
        <v>2.31</v>
      </c>
      <c r="G804" s="3">
        <f t="shared" si="24"/>
        <v>3.5466521162990067E-2</v>
      </c>
    </row>
    <row r="805" spans="1:7" customFormat="1">
      <c r="A805" s="1">
        <v>28</v>
      </c>
      <c r="B805" s="1" t="s">
        <v>33</v>
      </c>
      <c r="C805" s="11">
        <v>26.9</v>
      </c>
      <c r="D805" s="11">
        <v>26.56</v>
      </c>
      <c r="E805" s="2">
        <f t="shared" si="25"/>
        <v>0.33999999999999986</v>
      </c>
      <c r="F805" s="11">
        <v>0.62</v>
      </c>
      <c r="G805" s="3">
        <f t="shared" ref="G805:G868" si="26">(E805+F805)/C805</f>
        <v>3.5687732342007429E-2</v>
      </c>
    </row>
    <row r="806" spans="1:7" customFormat="1">
      <c r="A806" s="1">
        <v>29</v>
      </c>
      <c r="B806" s="1" t="s">
        <v>33</v>
      </c>
      <c r="C806" s="11">
        <v>31.44</v>
      </c>
      <c r="D806" s="11">
        <v>31.3</v>
      </c>
      <c r="E806" s="2">
        <f t="shared" si="25"/>
        <v>0.14000000000000057</v>
      </c>
      <c r="F806" s="11">
        <v>0.49399999999999999</v>
      </c>
      <c r="G806" s="3">
        <f t="shared" si="26"/>
        <v>2.0165394402035641E-2</v>
      </c>
    </row>
    <row r="807" spans="1:7" customFormat="1">
      <c r="A807" s="1">
        <v>30</v>
      </c>
      <c r="B807" s="1" t="s">
        <v>33</v>
      </c>
      <c r="C807" s="11">
        <v>0</v>
      </c>
      <c r="D807" s="11">
        <v>0</v>
      </c>
      <c r="E807" s="2">
        <f t="shared" si="25"/>
        <v>0</v>
      </c>
      <c r="F807" s="11">
        <v>0.373</v>
      </c>
      <c r="G807" s="3" t="e">
        <f t="shared" si="26"/>
        <v>#DIV/0!</v>
      </c>
    </row>
    <row r="808" spans="1:7" customFormat="1">
      <c r="A808" s="1">
        <v>31</v>
      </c>
      <c r="B808" s="1" t="s">
        <v>33</v>
      </c>
      <c r="C808" s="11">
        <v>26.7</v>
      </c>
      <c r="D808" s="11">
        <v>26.32</v>
      </c>
      <c r="E808" s="2">
        <f t="shared" si="25"/>
        <v>0.37999999999999901</v>
      </c>
      <c r="F808" s="11">
        <v>0.73799999999999999</v>
      </c>
      <c r="G808" s="3">
        <f t="shared" si="26"/>
        <v>4.1872659176029926E-2</v>
      </c>
    </row>
    <row r="809" spans="1:7" customFormat="1">
      <c r="A809" s="1">
        <v>1</v>
      </c>
      <c r="B809" s="1" t="s">
        <v>34</v>
      </c>
      <c r="C809" s="11">
        <v>0</v>
      </c>
      <c r="D809" s="11">
        <v>0</v>
      </c>
      <c r="E809" s="2">
        <f t="shared" si="25"/>
        <v>0</v>
      </c>
      <c r="F809" s="11">
        <v>5.7000000000000002E-2</v>
      </c>
      <c r="G809" s="3" t="e">
        <f t="shared" si="26"/>
        <v>#DIV/0!</v>
      </c>
    </row>
    <row r="810" spans="1:7" customFormat="1">
      <c r="A810" s="1">
        <v>2</v>
      </c>
      <c r="B810" s="1" t="s">
        <v>34</v>
      </c>
      <c r="C810" s="11">
        <v>19.670000000000002</v>
      </c>
      <c r="D810" s="11">
        <v>19.38</v>
      </c>
      <c r="E810" s="2">
        <f t="shared" si="25"/>
        <v>0.2900000000000027</v>
      </c>
      <c r="F810" s="11">
        <v>7.8E-2</v>
      </c>
      <c r="G810" s="3">
        <f t="shared" si="26"/>
        <v>1.8708693441789662E-2</v>
      </c>
    </row>
    <row r="811" spans="1:7" customFormat="1">
      <c r="A811" s="1">
        <v>3</v>
      </c>
      <c r="B811" s="1" t="s">
        <v>34</v>
      </c>
      <c r="C811" s="11">
        <v>79.06</v>
      </c>
      <c r="D811" s="11">
        <v>78.27</v>
      </c>
      <c r="E811" s="2">
        <f t="shared" si="25"/>
        <v>0.79000000000000625</v>
      </c>
      <c r="F811" s="11">
        <v>0.08</v>
      </c>
      <c r="G811" s="3">
        <f t="shared" si="26"/>
        <v>1.1004300531242173E-2</v>
      </c>
    </row>
    <row r="812" spans="1:7" customFormat="1">
      <c r="A812" s="1">
        <v>4</v>
      </c>
      <c r="B812" s="1" t="s">
        <v>34</v>
      </c>
      <c r="C812" s="11">
        <v>24.03</v>
      </c>
      <c r="D812" s="11">
        <v>23.73</v>
      </c>
      <c r="E812" s="2">
        <f t="shared" si="25"/>
        <v>0.30000000000000071</v>
      </c>
      <c r="F812" s="11">
        <v>7.2999999999999995E-2</v>
      </c>
      <c r="G812" s="3">
        <f t="shared" si="26"/>
        <v>1.5522263836870607E-2</v>
      </c>
    </row>
    <row r="813" spans="1:7" customFormat="1">
      <c r="A813" s="1">
        <v>5</v>
      </c>
      <c r="B813" s="1" t="s">
        <v>34</v>
      </c>
      <c r="C813" s="11">
        <v>24.03</v>
      </c>
      <c r="D813" s="11">
        <v>23.73</v>
      </c>
      <c r="E813" s="2">
        <f t="shared" si="25"/>
        <v>0.30000000000000071</v>
      </c>
      <c r="F813" s="11">
        <v>7.0000000000000007E-2</v>
      </c>
      <c r="G813" s="3">
        <f t="shared" si="26"/>
        <v>1.5397419891801944E-2</v>
      </c>
    </row>
    <row r="814" spans="1:7" customFormat="1">
      <c r="A814" s="1">
        <v>6</v>
      </c>
      <c r="B814" s="1" t="s">
        <v>34</v>
      </c>
      <c r="C814" s="11">
        <v>0</v>
      </c>
      <c r="D814" s="11">
        <v>0</v>
      </c>
      <c r="E814" s="2">
        <f t="shared" si="25"/>
        <v>0</v>
      </c>
      <c r="F814" s="11">
        <v>0.03</v>
      </c>
      <c r="G814" s="3" t="e">
        <f t="shared" si="26"/>
        <v>#DIV/0!</v>
      </c>
    </row>
    <row r="815" spans="1:7" customFormat="1">
      <c r="A815" s="1">
        <v>7</v>
      </c>
      <c r="B815" s="1" t="s">
        <v>34</v>
      </c>
      <c r="C815" s="11">
        <v>22.24</v>
      </c>
      <c r="D815" s="11">
        <v>21.89</v>
      </c>
      <c r="E815" s="2">
        <f t="shared" si="25"/>
        <v>0.34999999999999787</v>
      </c>
      <c r="F815" s="11">
        <v>7.3999999999999996E-2</v>
      </c>
      <c r="G815" s="3">
        <f t="shared" si="26"/>
        <v>1.9064748201438754E-2</v>
      </c>
    </row>
    <row r="816" spans="1:7" customFormat="1">
      <c r="A816" s="1">
        <v>10</v>
      </c>
      <c r="B816" s="1" t="s">
        <v>34</v>
      </c>
      <c r="C816" s="11">
        <v>0</v>
      </c>
      <c r="D816" s="11">
        <v>0</v>
      </c>
      <c r="E816" s="2">
        <f t="shared" si="25"/>
        <v>0</v>
      </c>
      <c r="F816" s="11">
        <v>5.2999999999999999E-2</v>
      </c>
      <c r="G816" s="3" t="e">
        <f t="shared" si="26"/>
        <v>#DIV/0!</v>
      </c>
    </row>
    <row r="817" spans="1:18">
      <c r="A817" s="1">
        <v>8</v>
      </c>
      <c r="B817" s="1" t="s">
        <v>34</v>
      </c>
      <c r="C817" s="11">
        <v>0</v>
      </c>
      <c r="D817" s="11">
        <v>0</v>
      </c>
      <c r="E817" s="2">
        <f t="shared" si="25"/>
        <v>0</v>
      </c>
      <c r="F817" s="11">
        <v>6.6000000000000003E-2</v>
      </c>
      <c r="G817" s="3" t="e">
        <f t="shared" si="26"/>
        <v>#DIV/0!</v>
      </c>
    </row>
    <row r="818" spans="1:18">
      <c r="A818" s="1">
        <v>9</v>
      </c>
      <c r="B818" s="1" t="s">
        <v>34</v>
      </c>
      <c r="C818" s="11">
        <v>0</v>
      </c>
      <c r="D818" s="11">
        <v>0</v>
      </c>
      <c r="E818" s="2">
        <f t="shared" si="25"/>
        <v>0</v>
      </c>
      <c r="F818" s="11">
        <v>3.7999999999999999E-2</v>
      </c>
      <c r="G818" s="3" t="e">
        <f t="shared" si="26"/>
        <v>#DIV/0!</v>
      </c>
      <c r="R818"/>
    </row>
    <row r="819" spans="1:18">
      <c r="A819" s="1">
        <v>11</v>
      </c>
      <c r="B819" s="1" t="s">
        <v>34</v>
      </c>
      <c r="C819" s="11">
        <v>24.1</v>
      </c>
      <c r="D819" s="11">
        <v>23.78</v>
      </c>
      <c r="E819" s="2">
        <f t="shared" si="25"/>
        <v>0.32000000000000028</v>
      </c>
      <c r="F819" s="11">
        <v>6.0999999999999999E-2</v>
      </c>
      <c r="G819" s="3">
        <f t="shared" si="26"/>
        <v>1.5809128630705407E-2</v>
      </c>
      <c r="R819"/>
    </row>
    <row r="820" spans="1:18">
      <c r="A820" s="1">
        <v>12</v>
      </c>
      <c r="B820" s="1" t="s">
        <v>34</v>
      </c>
      <c r="C820" s="11">
        <v>0</v>
      </c>
      <c r="D820" s="11">
        <v>0</v>
      </c>
      <c r="E820" s="2">
        <f t="shared" si="25"/>
        <v>0</v>
      </c>
      <c r="F820" s="11">
        <v>6.2E-2</v>
      </c>
      <c r="G820" s="3" t="e">
        <f t="shared" si="26"/>
        <v>#DIV/0!</v>
      </c>
      <c r="R820"/>
    </row>
    <row r="821" spans="1:18">
      <c r="A821" s="1">
        <v>13</v>
      </c>
      <c r="B821" s="1" t="s">
        <v>34</v>
      </c>
      <c r="C821" s="11">
        <v>24.65</v>
      </c>
      <c r="D821" s="11">
        <v>24.33</v>
      </c>
      <c r="E821" s="2">
        <f t="shared" si="25"/>
        <v>0.32000000000000028</v>
      </c>
      <c r="F821" s="11">
        <v>0.05</v>
      </c>
      <c r="G821" s="3">
        <f t="shared" si="26"/>
        <v>1.5010141987829627E-2</v>
      </c>
      <c r="R821"/>
    </row>
    <row r="822" spans="1:18">
      <c r="A822" s="1">
        <v>14</v>
      </c>
      <c r="B822" s="1" t="s">
        <v>34</v>
      </c>
      <c r="C822" s="11">
        <v>27.15</v>
      </c>
      <c r="D822" s="11">
        <v>26.8</v>
      </c>
      <c r="E822" s="2">
        <f t="shared" si="25"/>
        <v>0.34999999999999787</v>
      </c>
      <c r="F822" s="11">
        <v>5.7000000000000002E-2</v>
      </c>
      <c r="G822" s="3">
        <f t="shared" si="26"/>
        <v>1.4990791896869167E-2</v>
      </c>
      <c r="R822"/>
    </row>
    <row r="823" spans="1:18">
      <c r="A823" s="1">
        <v>15</v>
      </c>
      <c r="B823" s="1" t="s">
        <v>34</v>
      </c>
      <c r="C823" s="11">
        <v>0</v>
      </c>
      <c r="D823" s="11">
        <v>0</v>
      </c>
      <c r="E823" s="2">
        <f t="shared" si="25"/>
        <v>0</v>
      </c>
      <c r="F823" s="11">
        <v>7.0999999999999994E-2</v>
      </c>
      <c r="G823" s="3" t="e">
        <f t="shared" si="26"/>
        <v>#DIV/0!</v>
      </c>
      <c r="R823"/>
    </row>
    <row r="824" spans="1:18">
      <c r="A824" s="1">
        <v>16</v>
      </c>
      <c r="B824" s="1" t="s">
        <v>34</v>
      </c>
      <c r="C824" s="11">
        <v>0</v>
      </c>
      <c r="D824" s="11">
        <v>0</v>
      </c>
      <c r="E824" s="2">
        <f t="shared" si="25"/>
        <v>0</v>
      </c>
      <c r="F824" s="11">
        <v>0.06</v>
      </c>
      <c r="G824" s="3" t="e">
        <f t="shared" si="26"/>
        <v>#DIV/0!</v>
      </c>
      <c r="R824"/>
    </row>
    <row r="825" spans="1:18">
      <c r="A825" s="1">
        <v>17</v>
      </c>
      <c r="B825" s="1" t="s">
        <v>34</v>
      </c>
      <c r="C825" s="11">
        <v>0</v>
      </c>
      <c r="D825" s="11">
        <v>0</v>
      </c>
      <c r="E825" s="2">
        <f t="shared" si="25"/>
        <v>0</v>
      </c>
      <c r="F825" s="11">
        <v>8.1000000000000003E-2</v>
      </c>
      <c r="G825" s="3" t="e">
        <f t="shared" si="26"/>
        <v>#DIV/0!</v>
      </c>
      <c r="R825"/>
    </row>
    <row r="826" spans="1:18">
      <c r="A826" s="1">
        <v>18</v>
      </c>
      <c r="B826" s="1" t="s">
        <v>34</v>
      </c>
      <c r="C826" s="11">
        <v>25.45</v>
      </c>
      <c r="D826" s="11">
        <v>25.14</v>
      </c>
      <c r="E826" s="2">
        <f t="shared" si="25"/>
        <v>0.30999999999999872</v>
      </c>
      <c r="F826" s="11">
        <v>8.5000000000000006E-2</v>
      </c>
      <c r="G826" s="3">
        <f t="shared" si="26"/>
        <v>1.5520628683693468E-2</v>
      </c>
      <c r="R826"/>
    </row>
    <row r="827" spans="1:18">
      <c r="A827" s="1">
        <v>19</v>
      </c>
      <c r="B827" s="1" t="s">
        <v>34</v>
      </c>
      <c r="C827" s="11">
        <v>0</v>
      </c>
      <c r="D827" s="11">
        <v>0</v>
      </c>
      <c r="E827" s="2">
        <f t="shared" si="25"/>
        <v>0</v>
      </c>
      <c r="F827" s="11">
        <v>6.7000000000000004E-2</v>
      </c>
      <c r="G827" s="3" t="e">
        <f t="shared" si="26"/>
        <v>#DIV/0!</v>
      </c>
      <c r="R827"/>
    </row>
    <row r="828" spans="1:18">
      <c r="A828" s="1">
        <v>20</v>
      </c>
      <c r="B828" s="1" t="s">
        <v>34</v>
      </c>
      <c r="C828" s="11">
        <v>25.44</v>
      </c>
      <c r="D828" s="11">
        <v>25.09</v>
      </c>
      <c r="E828" s="2">
        <f t="shared" si="25"/>
        <v>0.35000000000000142</v>
      </c>
      <c r="F828" s="11">
        <v>5.3999999999999999E-2</v>
      </c>
      <c r="G828" s="3">
        <f t="shared" si="26"/>
        <v>1.5880503144654144E-2</v>
      </c>
      <c r="R828"/>
    </row>
    <row r="829" spans="1:18">
      <c r="A829" s="1">
        <v>21</v>
      </c>
      <c r="B829" s="1" t="s">
        <v>34</v>
      </c>
      <c r="C829" s="11">
        <v>0</v>
      </c>
      <c r="D829" s="11">
        <v>0</v>
      </c>
      <c r="E829" s="2">
        <f t="shared" si="25"/>
        <v>0</v>
      </c>
      <c r="F829" s="11">
        <v>5.8000000000000003E-2</v>
      </c>
      <c r="G829" s="3" t="e">
        <f t="shared" si="26"/>
        <v>#DIV/0!</v>
      </c>
      <c r="R829"/>
    </row>
    <row r="830" spans="1:18">
      <c r="A830" s="1">
        <v>22</v>
      </c>
      <c r="B830" s="1" t="s">
        <v>34</v>
      </c>
      <c r="C830" s="11">
        <v>27.21</v>
      </c>
      <c r="D830" s="11">
        <v>26.91</v>
      </c>
      <c r="E830" s="2">
        <f t="shared" si="25"/>
        <v>0.30000000000000071</v>
      </c>
      <c r="F830" s="11">
        <v>5.5E-2</v>
      </c>
      <c r="G830" s="3">
        <f t="shared" si="26"/>
        <v>1.3046674016905575E-2</v>
      </c>
      <c r="R830"/>
    </row>
    <row r="831" spans="1:18">
      <c r="A831" s="1">
        <v>23</v>
      </c>
      <c r="B831" s="1" t="s">
        <v>34</v>
      </c>
      <c r="C831" s="11">
        <v>0</v>
      </c>
      <c r="D831" s="11">
        <v>0</v>
      </c>
      <c r="E831" s="2">
        <f t="shared" si="25"/>
        <v>0</v>
      </c>
      <c r="F831" s="11">
        <v>7.9000000000000001E-2</v>
      </c>
      <c r="G831" s="3" t="e">
        <f t="shared" si="26"/>
        <v>#DIV/0!</v>
      </c>
      <c r="R831"/>
    </row>
    <row r="832" spans="1:18">
      <c r="A832" s="1">
        <v>24</v>
      </c>
      <c r="B832" s="1" t="s">
        <v>34</v>
      </c>
      <c r="C832" s="11">
        <v>25.37</v>
      </c>
      <c r="D832" s="11">
        <v>25.02</v>
      </c>
      <c r="E832" s="2">
        <f t="shared" si="25"/>
        <v>0.35000000000000142</v>
      </c>
      <c r="F832" s="11">
        <v>7.9000000000000001E-2</v>
      </c>
      <c r="G832" s="3">
        <f t="shared" si="26"/>
        <v>1.6909735908553464E-2</v>
      </c>
      <c r="R832"/>
    </row>
    <row r="833" spans="1:18">
      <c r="A833" s="1">
        <v>25</v>
      </c>
      <c r="B833" s="1" t="s">
        <v>34</v>
      </c>
      <c r="C833" s="11">
        <v>26.58</v>
      </c>
      <c r="D833" s="11">
        <v>26.28</v>
      </c>
      <c r="E833" s="2">
        <f t="shared" si="25"/>
        <v>0.29999999999999716</v>
      </c>
      <c r="F833" s="11">
        <v>5.8000000000000003E-2</v>
      </c>
      <c r="G833" s="3">
        <f t="shared" si="26"/>
        <v>1.3468773513920134E-2</v>
      </c>
      <c r="R833"/>
    </row>
    <row r="834" spans="1:18">
      <c r="A834" s="1">
        <v>26</v>
      </c>
      <c r="B834" s="1" t="s">
        <v>34</v>
      </c>
      <c r="C834" s="11">
        <v>0</v>
      </c>
      <c r="D834" s="11">
        <v>0</v>
      </c>
      <c r="E834" s="2">
        <f t="shared" si="25"/>
        <v>0</v>
      </c>
      <c r="F834" s="11">
        <v>6.2E-2</v>
      </c>
      <c r="G834" s="3" t="e">
        <f t="shared" si="26"/>
        <v>#DIV/0!</v>
      </c>
      <c r="R834"/>
    </row>
    <row r="835" spans="1:18">
      <c r="A835" s="1">
        <v>27</v>
      </c>
      <c r="B835" s="1" t="s">
        <v>34</v>
      </c>
      <c r="C835" s="11">
        <v>27.67</v>
      </c>
      <c r="D835" s="11">
        <v>27.32</v>
      </c>
      <c r="E835" s="2">
        <f t="shared" si="25"/>
        <v>0.35000000000000142</v>
      </c>
      <c r="F835" s="11">
        <v>7.9000000000000001E-2</v>
      </c>
      <c r="G835" s="3">
        <f t="shared" si="26"/>
        <v>1.5504156125768031E-2</v>
      </c>
      <c r="R835"/>
    </row>
    <row r="836" spans="1:18">
      <c r="A836" s="1">
        <v>28</v>
      </c>
      <c r="B836" s="1" t="s">
        <v>34</v>
      </c>
      <c r="C836" s="11">
        <v>30.35</v>
      </c>
      <c r="D836" s="11">
        <v>30.02</v>
      </c>
      <c r="E836" s="2">
        <f t="shared" ref="E836:E899" si="27">C836-D836</f>
        <v>0.33000000000000185</v>
      </c>
      <c r="F836" s="11">
        <v>0.08</v>
      </c>
      <c r="G836" s="3">
        <f t="shared" si="26"/>
        <v>1.3509060955519006E-2</v>
      </c>
      <c r="R836"/>
    </row>
    <row r="837" spans="1:18">
      <c r="A837" s="1">
        <v>29</v>
      </c>
      <c r="B837" s="1" t="s">
        <v>34</v>
      </c>
      <c r="C837" s="11">
        <v>30.35</v>
      </c>
      <c r="D837" s="11">
        <v>30.02</v>
      </c>
      <c r="E837" s="2">
        <f t="shared" si="27"/>
        <v>0.33000000000000185</v>
      </c>
      <c r="F837" s="11">
        <v>5.8000000000000003E-2</v>
      </c>
      <c r="G837" s="3">
        <f t="shared" si="26"/>
        <v>1.2784184514003354E-2</v>
      </c>
      <c r="R837"/>
    </row>
    <row r="838" spans="1:18">
      <c r="A838" s="1">
        <v>30</v>
      </c>
      <c r="B838" s="1" t="s">
        <v>34</v>
      </c>
      <c r="C838" s="11">
        <v>28.42</v>
      </c>
      <c r="D838" s="11">
        <v>28.12</v>
      </c>
      <c r="E838" s="2">
        <f t="shared" si="27"/>
        <v>0.30000000000000071</v>
      </c>
      <c r="F838" s="11">
        <v>7.1999999999999995E-2</v>
      </c>
      <c r="G838" s="3">
        <f t="shared" si="26"/>
        <v>1.308937368050671E-2</v>
      </c>
      <c r="R838"/>
    </row>
    <row r="839" spans="1:18">
      <c r="A839" s="1">
        <v>31</v>
      </c>
      <c r="B839" s="1" t="s">
        <v>34</v>
      </c>
      <c r="C839" s="11">
        <v>0</v>
      </c>
      <c r="D839" s="11">
        <v>0</v>
      </c>
      <c r="E839" s="2">
        <f t="shared" si="27"/>
        <v>0</v>
      </c>
      <c r="F839" s="11">
        <v>6.5000000000000002E-2</v>
      </c>
      <c r="G839" s="3" t="e">
        <f t="shared" si="26"/>
        <v>#DIV/0!</v>
      </c>
      <c r="R839"/>
    </row>
    <row r="840" spans="1:18">
      <c r="A840" s="1">
        <v>1</v>
      </c>
      <c r="B840" s="1" t="s">
        <v>35</v>
      </c>
      <c r="C840" s="11">
        <v>147.94999999999999</v>
      </c>
      <c r="D840" s="11">
        <v>146.47</v>
      </c>
      <c r="E840" s="2">
        <f t="shared" si="27"/>
        <v>1.4799999999999898</v>
      </c>
      <c r="F840" s="11">
        <v>0.252</v>
      </c>
      <c r="G840" s="3">
        <f t="shared" si="26"/>
        <v>1.1706657654612977E-2</v>
      </c>
      <c r="R840"/>
    </row>
    <row r="841" spans="1:18">
      <c r="A841" s="1">
        <v>2</v>
      </c>
      <c r="B841" s="1" t="s">
        <v>35</v>
      </c>
      <c r="C841" s="11">
        <v>53.1</v>
      </c>
      <c r="D841" s="11">
        <v>52.52</v>
      </c>
      <c r="E841" s="2">
        <f t="shared" si="27"/>
        <v>0.57999999999999829</v>
      </c>
      <c r="F841" s="11">
        <v>0.19800000000000001</v>
      </c>
      <c r="G841" s="3">
        <f t="shared" si="26"/>
        <v>1.4651600753295635E-2</v>
      </c>
      <c r="R841"/>
    </row>
    <row r="842" spans="1:18">
      <c r="A842" s="1">
        <v>3</v>
      </c>
      <c r="B842" s="1" t="s">
        <v>35</v>
      </c>
      <c r="C842" s="11">
        <v>29.56</v>
      </c>
      <c r="D842" s="11">
        <v>29.33</v>
      </c>
      <c r="E842" s="2">
        <f t="shared" si="27"/>
        <v>0.23000000000000043</v>
      </c>
      <c r="F842" s="11">
        <v>0.104</v>
      </c>
      <c r="G842" s="3">
        <f t="shared" si="26"/>
        <v>1.1299052774018959E-2</v>
      </c>
      <c r="R842"/>
    </row>
    <row r="843" spans="1:18">
      <c r="A843" s="1">
        <v>4</v>
      </c>
      <c r="B843" s="1" t="s">
        <v>35</v>
      </c>
      <c r="C843" s="11">
        <v>124.72</v>
      </c>
      <c r="D843" s="11">
        <v>123.33</v>
      </c>
      <c r="E843" s="2">
        <f t="shared" si="27"/>
        <v>1.3900000000000006</v>
      </c>
      <c r="F843" s="11">
        <v>0.22800000000000001</v>
      </c>
      <c r="G843" s="3">
        <f t="shared" si="26"/>
        <v>1.2973059653624122E-2</v>
      </c>
      <c r="R843"/>
    </row>
    <row r="844" spans="1:18">
      <c r="A844" s="1">
        <v>5</v>
      </c>
      <c r="B844" s="1" t="s">
        <v>35</v>
      </c>
      <c r="C844" s="11">
        <v>52.21</v>
      </c>
      <c r="D844" s="11">
        <v>51.78</v>
      </c>
      <c r="E844" s="2">
        <f t="shared" si="27"/>
        <v>0.42999999999999972</v>
      </c>
      <c r="F844" s="11">
        <v>0.16700000000000001</v>
      </c>
      <c r="G844" s="3">
        <f t="shared" si="26"/>
        <v>1.1434591074506794E-2</v>
      </c>
      <c r="R844"/>
    </row>
    <row r="845" spans="1:18">
      <c r="A845" s="1">
        <v>6</v>
      </c>
      <c r="B845" s="1" t="s">
        <v>35</v>
      </c>
      <c r="C845" s="11">
        <v>28.05</v>
      </c>
      <c r="D845" s="11">
        <v>27.75</v>
      </c>
      <c r="E845" s="2">
        <f t="shared" si="27"/>
        <v>0.30000000000000071</v>
      </c>
      <c r="F845" s="11">
        <v>0.21199999999999999</v>
      </c>
      <c r="G845" s="3">
        <f t="shared" si="26"/>
        <v>1.8253119429590042E-2</v>
      </c>
      <c r="R845"/>
    </row>
    <row r="846" spans="1:18">
      <c r="A846" s="1">
        <v>7</v>
      </c>
      <c r="B846" s="1" t="s">
        <v>35</v>
      </c>
      <c r="C846" s="11">
        <v>25</v>
      </c>
      <c r="D846" s="11">
        <v>24.76</v>
      </c>
      <c r="E846" s="2">
        <f t="shared" si="27"/>
        <v>0.23999999999999844</v>
      </c>
      <c r="F846" s="11">
        <v>0.13100000000000001</v>
      </c>
      <c r="G846" s="3">
        <f t="shared" si="26"/>
        <v>1.4839999999999938E-2</v>
      </c>
      <c r="R846"/>
    </row>
    <row r="847" spans="1:18">
      <c r="A847" s="1">
        <v>10</v>
      </c>
      <c r="B847" s="1" t="s">
        <v>35</v>
      </c>
      <c r="C847" s="11">
        <v>28.49</v>
      </c>
      <c r="D847" s="11">
        <v>28.25</v>
      </c>
      <c r="E847" s="2">
        <f t="shared" si="27"/>
        <v>0.23999999999999844</v>
      </c>
      <c r="F847" s="11">
        <v>0.2</v>
      </c>
      <c r="G847" s="3">
        <f t="shared" si="26"/>
        <v>1.5444015444015391E-2</v>
      </c>
      <c r="R847"/>
    </row>
    <row r="848" spans="1:18">
      <c r="A848" s="1">
        <v>8</v>
      </c>
      <c r="B848" s="1" t="s">
        <v>35</v>
      </c>
      <c r="C848" s="11">
        <v>75</v>
      </c>
      <c r="D848" s="11">
        <v>74.19</v>
      </c>
      <c r="E848" s="2">
        <f t="shared" si="27"/>
        <v>0.81000000000000227</v>
      </c>
      <c r="F848" s="11">
        <v>0.187</v>
      </c>
      <c r="G848" s="3">
        <f t="shared" si="26"/>
        <v>1.3293333333333364E-2</v>
      </c>
    </row>
    <row r="849" spans="1:7" customFormat="1">
      <c r="A849" s="1">
        <v>9</v>
      </c>
      <c r="B849" s="1" t="s">
        <v>35</v>
      </c>
      <c r="C849" s="11">
        <v>77.64</v>
      </c>
      <c r="D849" s="11">
        <v>76.95</v>
      </c>
      <c r="E849" s="2">
        <f t="shared" si="27"/>
        <v>0.68999999999999773</v>
      </c>
      <c r="F849" s="11">
        <v>0.214</v>
      </c>
      <c r="G849" s="3">
        <f t="shared" si="26"/>
        <v>1.16434827408552E-2</v>
      </c>
    </row>
    <row r="850" spans="1:7" customFormat="1">
      <c r="A850" s="1">
        <v>11</v>
      </c>
      <c r="B850" s="1" t="s">
        <v>35</v>
      </c>
      <c r="C850" s="11">
        <v>102.42</v>
      </c>
      <c r="D850" s="11">
        <v>101.45</v>
      </c>
      <c r="E850" s="2">
        <f t="shared" si="27"/>
        <v>0.96999999999999886</v>
      </c>
      <c r="F850" s="11">
        <v>0.30099999999999999</v>
      </c>
      <c r="G850" s="3">
        <f t="shared" si="26"/>
        <v>1.2409685608279621E-2</v>
      </c>
    </row>
    <row r="851" spans="1:7" customFormat="1">
      <c r="A851" s="1">
        <v>12</v>
      </c>
      <c r="B851" s="1" t="s">
        <v>35</v>
      </c>
      <c r="C851" s="11">
        <v>105.96</v>
      </c>
      <c r="D851" s="11">
        <v>104.95</v>
      </c>
      <c r="E851" s="2">
        <f t="shared" si="27"/>
        <v>1.0099999999999909</v>
      </c>
      <c r="F851" s="11">
        <v>0.14499999999999999</v>
      </c>
      <c r="G851" s="3">
        <f t="shared" si="26"/>
        <v>1.0900339750849293E-2</v>
      </c>
    </row>
    <row r="852" spans="1:7" customFormat="1">
      <c r="A852" s="1">
        <v>13</v>
      </c>
      <c r="B852" s="1" t="s">
        <v>35</v>
      </c>
      <c r="C852" s="11">
        <v>160.18</v>
      </c>
      <c r="D852" s="11">
        <v>158.69</v>
      </c>
      <c r="E852" s="2">
        <f t="shared" si="27"/>
        <v>1.4900000000000091</v>
      </c>
      <c r="F852" s="11">
        <v>0.122</v>
      </c>
      <c r="G852" s="3">
        <f t="shared" si="26"/>
        <v>1.0063678361842982E-2</v>
      </c>
    </row>
    <row r="853" spans="1:7" customFormat="1">
      <c r="A853" s="1">
        <v>14</v>
      </c>
      <c r="B853" s="1" t="s">
        <v>35</v>
      </c>
      <c r="C853" s="11">
        <v>96.09</v>
      </c>
      <c r="D853" s="11">
        <v>95.25</v>
      </c>
      <c r="E853" s="2">
        <f t="shared" si="27"/>
        <v>0.84000000000000341</v>
      </c>
      <c r="F853" s="11">
        <v>0.15</v>
      </c>
      <c r="G853" s="3">
        <f t="shared" si="26"/>
        <v>1.0302841086481459E-2</v>
      </c>
    </row>
    <row r="854" spans="1:7" customFormat="1">
      <c r="A854" s="1">
        <v>15</v>
      </c>
      <c r="B854" s="1" t="s">
        <v>35</v>
      </c>
      <c r="C854" s="11">
        <v>25</v>
      </c>
      <c r="D854" s="11">
        <v>24.59</v>
      </c>
      <c r="E854" s="2">
        <f t="shared" si="27"/>
        <v>0.41000000000000014</v>
      </c>
      <c r="F854" s="11">
        <v>0.219</v>
      </c>
      <c r="G854" s="3">
        <f t="shared" si="26"/>
        <v>2.5160000000000005E-2</v>
      </c>
    </row>
    <row r="855" spans="1:7" customFormat="1">
      <c r="A855" s="1">
        <v>16</v>
      </c>
      <c r="B855" s="1" t="s">
        <v>35</v>
      </c>
      <c r="C855" s="11">
        <v>24.22</v>
      </c>
      <c r="D855" s="11">
        <v>23.94</v>
      </c>
      <c r="E855" s="2">
        <f t="shared" si="27"/>
        <v>0.27999999999999758</v>
      </c>
      <c r="F855" s="11">
        <v>0.125</v>
      </c>
      <c r="G855" s="3">
        <f t="shared" si="26"/>
        <v>1.6721717588769513E-2</v>
      </c>
    </row>
    <row r="856" spans="1:7" customFormat="1">
      <c r="A856" s="1">
        <v>17</v>
      </c>
      <c r="B856" s="1" t="s">
        <v>35</v>
      </c>
      <c r="C856" s="11">
        <v>51.67</v>
      </c>
      <c r="D856" s="11">
        <v>51.34</v>
      </c>
      <c r="E856" s="2">
        <f t="shared" si="27"/>
        <v>0.32999999999999829</v>
      </c>
      <c r="F856" s="11">
        <v>0.13900000000000001</v>
      </c>
      <c r="G856" s="3">
        <f t="shared" si="26"/>
        <v>9.0768337526610857E-3</v>
      </c>
    </row>
    <row r="857" spans="1:7" customFormat="1">
      <c r="A857" s="1">
        <v>18</v>
      </c>
      <c r="B857" s="1" t="s">
        <v>35</v>
      </c>
      <c r="C857" s="11">
        <v>48.39</v>
      </c>
      <c r="D857" s="11">
        <v>47.89</v>
      </c>
      <c r="E857" s="2">
        <f t="shared" si="27"/>
        <v>0.5</v>
      </c>
      <c r="F857" s="11">
        <v>0.13</v>
      </c>
      <c r="G857" s="3">
        <f t="shared" si="26"/>
        <v>1.3019218846869188E-2</v>
      </c>
    </row>
    <row r="858" spans="1:7" customFormat="1">
      <c r="A858" s="1">
        <v>19</v>
      </c>
      <c r="B858" s="1" t="s">
        <v>35</v>
      </c>
      <c r="C858" s="11">
        <v>47.82</v>
      </c>
      <c r="D858" s="11">
        <v>46.9</v>
      </c>
      <c r="E858" s="2">
        <f t="shared" si="27"/>
        <v>0.92000000000000171</v>
      </c>
      <c r="F858" s="11">
        <v>0.17699999999999999</v>
      </c>
      <c r="G858" s="3">
        <f t="shared" si="26"/>
        <v>2.2940192388122161E-2</v>
      </c>
    </row>
    <row r="859" spans="1:7" customFormat="1">
      <c r="A859" s="1">
        <v>20</v>
      </c>
      <c r="B859" s="1" t="s">
        <v>35</v>
      </c>
      <c r="C859" s="11">
        <v>52.81</v>
      </c>
      <c r="D859" s="11">
        <v>52.22</v>
      </c>
      <c r="E859" s="2">
        <f t="shared" si="27"/>
        <v>0.59000000000000341</v>
      </c>
      <c r="F859" s="11">
        <v>0.187</v>
      </c>
      <c r="G859" s="3">
        <f t="shared" si="26"/>
        <v>1.4713122514675317E-2</v>
      </c>
    </row>
    <row r="860" spans="1:7" customFormat="1">
      <c r="A860" s="1">
        <v>21</v>
      </c>
      <c r="B860" s="1" t="s">
        <v>35</v>
      </c>
      <c r="C860" s="11">
        <v>67.790000000000006</v>
      </c>
      <c r="D860" s="11">
        <v>66.95</v>
      </c>
      <c r="E860" s="2">
        <f t="shared" si="27"/>
        <v>0.84000000000000341</v>
      </c>
      <c r="F860" s="11">
        <v>0.13800000000000001</v>
      </c>
      <c r="G860" s="3">
        <f t="shared" si="26"/>
        <v>1.442690662339583E-2</v>
      </c>
    </row>
    <row r="861" spans="1:7" customFormat="1">
      <c r="A861" s="1">
        <v>22</v>
      </c>
      <c r="B861" s="1" t="s">
        <v>35</v>
      </c>
      <c r="C861" s="11">
        <v>75.23</v>
      </c>
      <c r="D861" s="11">
        <v>74.540000000000006</v>
      </c>
      <c r="E861" s="2">
        <f t="shared" si="27"/>
        <v>0.68999999999999773</v>
      </c>
      <c r="F861" s="11">
        <v>0.20100000000000001</v>
      </c>
      <c r="G861" s="3">
        <f t="shared" si="26"/>
        <v>1.1843679383224748E-2</v>
      </c>
    </row>
    <row r="862" spans="1:7" customFormat="1">
      <c r="A862" s="1">
        <v>23</v>
      </c>
      <c r="B862" s="1" t="s">
        <v>35</v>
      </c>
      <c r="C862" s="11">
        <v>120.48</v>
      </c>
      <c r="D862" s="11">
        <v>119.28</v>
      </c>
      <c r="E862" s="2">
        <f t="shared" si="27"/>
        <v>1.2000000000000028</v>
      </c>
      <c r="F862" s="11">
        <v>0.223</v>
      </c>
      <c r="G862" s="3">
        <f t="shared" si="26"/>
        <v>1.1811088977423662E-2</v>
      </c>
    </row>
    <row r="863" spans="1:7" customFormat="1">
      <c r="A863" s="1">
        <v>24</v>
      </c>
      <c r="B863" s="1" t="s">
        <v>35</v>
      </c>
      <c r="C863" s="11">
        <v>98.74</v>
      </c>
      <c r="D863" s="11">
        <v>96.82</v>
      </c>
      <c r="E863" s="2">
        <f t="shared" si="27"/>
        <v>1.9200000000000017</v>
      </c>
      <c r="F863" s="11">
        <v>0.26</v>
      </c>
      <c r="G863" s="3">
        <f t="shared" si="26"/>
        <v>2.2078185132671679E-2</v>
      </c>
    </row>
    <row r="864" spans="1:7" customFormat="1">
      <c r="A864" s="1">
        <v>25</v>
      </c>
      <c r="B864" s="1" t="s">
        <v>35</v>
      </c>
      <c r="C864" s="11">
        <v>51.58</v>
      </c>
      <c r="D864" s="11">
        <v>51</v>
      </c>
      <c r="E864" s="2">
        <f t="shared" si="27"/>
        <v>0.57999999999999829</v>
      </c>
      <c r="F864" s="11">
        <v>0.23499999999999999</v>
      </c>
      <c r="G864" s="3">
        <f t="shared" si="26"/>
        <v>1.5800697944939865E-2</v>
      </c>
    </row>
    <row r="865" spans="1:18">
      <c r="A865" s="1">
        <v>26</v>
      </c>
      <c r="B865" s="1" t="s">
        <v>35</v>
      </c>
      <c r="C865" s="11">
        <v>30.13</v>
      </c>
      <c r="D865" s="11">
        <v>29.74</v>
      </c>
      <c r="E865" s="2">
        <f t="shared" si="27"/>
        <v>0.39000000000000057</v>
      </c>
      <c r="F865" s="11">
        <v>0.24299999999999999</v>
      </c>
      <c r="G865" s="3">
        <f t="shared" si="26"/>
        <v>2.1008961168270845E-2</v>
      </c>
      <c r="R865"/>
    </row>
    <row r="866" spans="1:18">
      <c r="A866" s="1">
        <v>27</v>
      </c>
      <c r="B866" s="1" t="s">
        <v>35</v>
      </c>
      <c r="C866" s="11">
        <v>56.55</v>
      </c>
      <c r="D866" s="11">
        <v>56.1</v>
      </c>
      <c r="E866" s="2">
        <f t="shared" si="27"/>
        <v>0.44999999999999574</v>
      </c>
      <c r="F866" s="11">
        <v>0.192</v>
      </c>
      <c r="G866" s="3">
        <f t="shared" si="26"/>
        <v>1.1352785145888519E-2</v>
      </c>
      <c r="R866"/>
    </row>
    <row r="867" spans="1:18">
      <c r="A867" s="1">
        <v>28</v>
      </c>
      <c r="B867" s="1" t="s">
        <v>35</v>
      </c>
      <c r="C867" s="11">
        <v>100.36</v>
      </c>
      <c r="D867" s="11">
        <v>99.4</v>
      </c>
      <c r="E867" s="2">
        <f t="shared" si="27"/>
        <v>0.95999999999999375</v>
      </c>
      <c r="F867" s="11">
        <v>0.17599999999999999</v>
      </c>
      <c r="G867" s="3">
        <f t="shared" si="26"/>
        <v>1.1319250697488976E-2</v>
      </c>
      <c r="R867"/>
    </row>
    <row r="868" spans="1:18">
      <c r="A868" s="1">
        <v>29</v>
      </c>
      <c r="B868" s="1" t="s">
        <v>35</v>
      </c>
      <c r="C868" s="11">
        <v>77.38</v>
      </c>
      <c r="D868" s="11">
        <v>76.680000000000007</v>
      </c>
      <c r="E868" s="2">
        <f t="shared" si="27"/>
        <v>0.69999999999998863</v>
      </c>
      <c r="F868" s="11">
        <v>0.16600000000000001</v>
      </c>
      <c r="G868" s="3">
        <f t="shared" si="26"/>
        <v>1.1191522357198096E-2</v>
      </c>
      <c r="R868"/>
    </row>
    <row r="869" spans="1:18">
      <c r="A869" s="1">
        <v>30</v>
      </c>
      <c r="B869" s="1" t="s">
        <v>35</v>
      </c>
      <c r="C869" s="11">
        <v>83.8</v>
      </c>
      <c r="D869" s="11">
        <v>82.91</v>
      </c>
      <c r="E869" s="2">
        <f t="shared" si="27"/>
        <v>0.89000000000000057</v>
      </c>
      <c r="F869" s="11">
        <v>0.223</v>
      </c>
      <c r="G869" s="3">
        <f t="shared" ref="G869:G932" si="28">(E869+F869)/C869</f>
        <v>1.3281622911694518E-2</v>
      </c>
      <c r="R869"/>
    </row>
    <row r="870" spans="1:18">
      <c r="A870" s="1">
        <v>31</v>
      </c>
      <c r="B870" s="1" t="s">
        <v>35</v>
      </c>
      <c r="C870" s="11">
        <v>88.62</v>
      </c>
      <c r="D870" s="11">
        <v>88.12</v>
      </c>
      <c r="E870" s="2">
        <f t="shared" si="27"/>
        <v>0.5</v>
      </c>
      <c r="F870" s="11">
        <v>0.29699999999999999</v>
      </c>
      <c r="G870" s="3">
        <f t="shared" si="28"/>
        <v>8.9934552019860069E-3</v>
      </c>
      <c r="R870"/>
    </row>
    <row r="871" spans="1:18">
      <c r="A871" s="1">
        <v>1</v>
      </c>
      <c r="B871" s="1" t="s">
        <v>36</v>
      </c>
      <c r="C871" s="11">
        <v>2.58</v>
      </c>
      <c r="D871" s="11">
        <v>2.5499999999999998</v>
      </c>
      <c r="E871" s="2">
        <f t="shared" si="27"/>
        <v>3.0000000000000249E-2</v>
      </c>
      <c r="F871" s="11">
        <v>0.02</v>
      </c>
      <c r="G871" s="3">
        <f t="shared" si="28"/>
        <v>1.9379844961240407E-2</v>
      </c>
      <c r="R871"/>
    </row>
    <row r="872" spans="1:18">
      <c r="A872" s="1">
        <v>2</v>
      </c>
      <c r="B872" s="1" t="s">
        <v>36</v>
      </c>
      <c r="C872" s="11">
        <v>19.48</v>
      </c>
      <c r="D872" s="11">
        <v>19.36</v>
      </c>
      <c r="E872" s="2">
        <f t="shared" si="27"/>
        <v>0.12000000000000099</v>
      </c>
      <c r="F872" s="11">
        <v>0.28000000000000003</v>
      </c>
      <c r="G872" s="3">
        <f t="shared" si="28"/>
        <v>2.0533880903490811E-2</v>
      </c>
      <c r="R872"/>
    </row>
    <row r="873" spans="1:18">
      <c r="A873" s="1">
        <v>3</v>
      </c>
      <c r="B873" s="1" t="s">
        <v>36</v>
      </c>
      <c r="C873" s="11">
        <v>11.81</v>
      </c>
      <c r="D873" s="11">
        <v>11.73</v>
      </c>
      <c r="E873" s="2">
        <f t="shared" si="27"/>
        <v>8.0000000000000071E-2</v>
      </c>
      <c r="F873" s="11">
        <v>9.5000000000000001E-2</v>
      </c>
      <c r="G873" s="3">
        <f t="shared" si="28"/>
        <v>1.4817950889077058E-2</v>
      </c>
      <c r="R873"/>
    </row>
    <row r="874" spans="1:18">
      <c r="A874" s="1">
        <v>4</v>
      </c>
      <c r="B874" s="1" t="s">
        <v>36</v>
      </c>
      <c r="C874" s="11">
        <v>3.99</v>
      </c>
      <c r="D874" s="11">
        <v>3.98</v>
      </c>
      <c r="E874" s="2">
        <f t="shared" si="27"/>
        <v>1.0000000000000231E-2</v>
      </c>
      <c r="F874" s="11">
        <v>0.13</v>
      </c>
      <c r="G874" s="3">
        <f t="shared" si="28"/>
        <v>3.5087719298245675E-2</v>
      </c>
      <c r="R874"/>
    </row>
    <row r="875" spans="1:18">
      <c r="A875" s="1">
        <v>5</v>
      </c>
      <c r="B875" s="1" t="s">
        <v>36</v>
      </c>
      <c r="C875" s="11">
        <v>0</v>
      </c>
      <c r="D875" s="11">
        <v>0</v>
      </c>
      <c r="E875" s="2">
        <f t="shared" si="27"/>
        <v>0</v>
      </c>
      <c r="F875" s="11">
        <v>0.14000000000000001</v>
      </c>
      <c r="G875" s="3" t="e">
        <f t="shared" si="28"/>
        <v>#DIV/0!</v>
      </c>
      <c r="R875"/>
    </row>
    <row r="876" spans="1:18">
      <c r="A876" s="1">
        <v>6</v>
      </c>
      <c r="B876" s="1" t="s">
        <v>36</v>
      </c>
      <c r="C876" s="11">
        <v>0</v>
      </c>
      <c r="D876" s="11">
        <v>0</v>
      </c>
      <c r="E876" s="2">
        <f t="shared" si="27"/>
        <v>0</v>
      </c>
      <c r="F876" s="11">
        <v>0.17</v>
      </c>
      <c r="G876" s="3" t="e">
        <f t="shared" si="28"/>
        <v>#DIV/0!</v>
      </c>
      <c r="R876"/>
    </row>
    <row r="877" spans="1:18">
      <c r="A877" s="1">
        <v>7</v>
      </c>
      <c r="B877" s="1" t="s">
        <v>36</v>
      </c>
      <c r="C877" s="11">
        <v>0</v>
      </c>
      <c r="D877" s="11">
        <v>0</v>
      </c>
      <c r="E877" s="2">
        <f t="shared" si="27"/>
        <v>0</v>
      </c>
      <c r="F877" s="11">
        <v>0.125</v>
      </c>
      <c r="G877" s="3" t="e">
        <f t="shared" si="28"/>
        <v>#DIV/0!</v>
      </c>
      <c r="R877"/>
    </row>
    <row r="878" spans="1:18">
      <c r="A878" s="1">
        <v>10</v>
      </c>
      <c r="B878" s="1" t="s">
        <v>36</v>
      </c>
      <c r="C878" s="11">
        <v>0</v>
      </c>
      <c r="D878" s="11">
        <v>0</v>
      </c>
      <c r="E878" s="2">
        <f t="shared" si="27"/>
        <v>0</v>
      </c>
      <c r="F878" s="11">
        <v>0.01</v>
      </c>
      <c r="G878" s="3" t="e">
        <f t="shared" si="28"/>
        <v>#DIV/0!</v>
      </c>
      <c r="R878"/>
    </row>
    <row r="879" spans="1:18">
      <c r="A879" s="1">
        <v>8</v>
      </c>
      <c r="B879" s="1" t="s">
        <v>36</v>
      </c>
      <c r="C879" s="11">
        <v>13.860000000000001</v>
      </c>
      <c r="D879" s="11">
        <v>13.734999999999999</v>
      </c>
      <c r="E879" s="2">
        <f t="shared" si="27"/>
        <v>0.12500000000000178</v>
      </c>
      <c r="F879" s="11">
        <v>0</v>
      </c>
      <c r="G879" s="3">
        <f t="shared" si="28"/>
        <v>9.0187590187591465E-3</v>
      </c>
    </row>
    <row r="880" spans="1:18">
      <c r="A880" s="1">
        <v>9</v>
      </c>
      <c r="B880" s="1" t="s">
        <v>36</v>
      </c>
      <c r="C880" s="11">
        <v>11.45</v>
      </c>
      <c r="D880" s="11">
        <v>11.3</v>
      </c>
      <c r="E880" s="2">
        <f t="shared" si="27"/>
        <v>0.14999999999999858</v>
      </c>
      <c r="F880" s="11">
        <v>0.05</v>
      </c>
      <c r="G880" s="3">
        <f t="shared" si="28"/>
        <v>1.7467248908296821E-2</v>
      </c>
      <c r="R880"/>
    </row>
    <row r="881" spans="1:7" customFormat="1">
      <c r="A881" s="1">
        <v>11</v>
      </c>
      <c r="B881" s="1" t="s">
        <v>36</v>
      </c>
      <c r="C881" s="11">
        <v>8.6</v>
      </c>
      <c r="D881" s="11">
        <v>8.5500000000000007</v>
      </c>
      <c r="E881" s="2">
        <f t="shared" si="27"/>
        <v>4.9999999999998934E-2</v>
      </c>
      <c r="F881" s="11">
        <v>9.5000000000000001E-2</v>
      </c>
      <c r="G881" s="3">
        <f t="shared" si="28"/>
        <v>1.6860465116278946E-2</v>
      </c>
    </row>
    <row r="882" spans="1:7" customFormat="1">
      <c r="A882" s="1">
        <v>12</v>
      </c>
      <c r="B882" s="1" t="s">
        <v>36</v>
      </c>
      <c r="C882" s="11">
        <v>0</v>
      </c>
      <c r="D882" s="11">
        <v>0</v>
      </c>
      <c r="E882" s="2">
        <f t="shared" si="27"/>
        <v>0</v>
      </c>
      <c r="F882" s="11">
        <v>0.16</v>
      </c>
      <c r="G882" s="3" t="e">
        <f t="shared" si="28"/>
        <v>#DIV/0!</v>
      </c>
    </row>
    <row r="883" spans="1:7" customFormat="1">
      <c r="A883" s="1">
        <v>13</v>
      </c>
      <c r="B883" s="1" t="s">
        <v>36</v>
      </c>
      <c r="C883" s="11">
        <v>0</v>
      </c>
      <c r="D883" s="11">
        <v>0</v>
      </c>
      <c r="E883" s="2">
        <f t="shared" si="27"/>
        <v>0</v>
      </c>
      <c r="F883" s="11">
        <v>7.4999999999999997E-2</v>
      </c>
      <c r="G883" s="3" t="e">
        <f t="shared" si="28"/>
        <v>#DIV/0!</v>
      </c>
    </row>
    <row r="884" spans="1:7" customFormat="1">
      <c r="A884" s="1">
        <v>14</v>
      </c>
      <c r="B884" s="1" t="s">
        <v>36</v>
      </c>
      <c r="C884" s="11">
        <v>0</v>
      </c>
      <c r="D884" s="11">
        <v>0</v>
      </c>
      <c r="E884" s="2">
        <f t="shared" si="27"/>
        <v>0</v>
      </c>
      <c r="F884" s="11">
        <v>0.15</v>
      </c>
      <c r="G884" s="3" t="e">
        <f t="shared" si="28"/>
        <v>#DIV/0!</v>
      </c>
    </row>
    <row r="885" spans="1:7" customFormat="1">
      <c r="A885" s="1">
        <v>15</v>
      </c>
      <c r="B885" s="1" t="s">
        <v>36</v>
      </c>
      <c r="C885" s="11">
        <v>16.75</v>
      </c>
      <c r="D885" s="11">
        <v>16.649999999999999</v>
      </c>
      <c r="E885" s="2">
        <f t="shared" si="27"/>
        <v>0.10000000000000142</v>
      </c>
      <c r="F885" s="11">
        <v>0.06</v>
      </c>
      <c r="G885" s="3">
        <f t="shared" si="28"/>
        <v>9.5522388059702344E-3</v>
      </c>
    </row>
    <row r="886" spans="1:7" customFormat="1">
      <c r="A886" s="1">
        <v>16</v>
      </c>
      <c r="B886" s="1" t="s">
        <v>36</v>
      </c>
      <c r="C886" s="11">
        <v>3.45</v>
      </c>
      <c r="D886" s="11">
        <v>3.45</v>
      </c>
      <c r="E886" s="2">
        <f t="shared" si="27"/>
        <v>0</v>
      </c>
      <c r="F886" s="11">
        <v>0.14000000000000001</v>
      </c>
      <c r="G886" s="3">
        <f t="shared" si="28"/>
        <v>4.057971014492754E-2</v>
      </c>
    </row>
    <row r="887" spans="1:7" customFormat="1">
      <c r="A887" s="1">
        <v>17</v>
      </c>
      <c r="B887" s="1" t="s">
        <v>36</v>
      </c>
      <c r="C887" s="11">
        <v>0</v>
      </c>
      <c r="D887" s="11">
        <v>0</v>
      </c>
      <c r="E887" s="2">
        <f t="shared" si="27"/>
        <v>0</v>
      </c>
      <c r="F887" s="11">
        <v>0.2</v>
      </c>
      <c r="G887" s="3" t="e">
        <f t="shared" si="28"/>
        <v>#DIV/0!</v>
      </c>
    </row>
    <row r="888" spans="1:7" customFormat="1">
      <c r="A888" s="1">
        <v>18</v>
      </c>
      <c r="B888" s="1" t="s">
        <v>36</v>
      </c>
      <c r="C888" s="11">
        <v>0</v>
      </c>
      <c r="D888" s="11">
        <v>0</v>
      </c>
      <c r="E888" s="2">
        <f t="shared" si="27"/>
        <v>0</v>
      </c>
      <c r="F888" s="11">
        <v>0.20499999999999829</v>
      </c>
      <c r="G888" s="3" t="e">
        <f t="shared" si="28"/>
        <v>#DIV/0!</v>
      </c>
    </row>
    <row r="889" spans="1:7" customFormat="1">
      <c r="A889" s="1">
        <v>19</v>
      </c>
      <c r="B889" s="1" t="s">
        <v>36</v>
      </c>
      <c r="C889" s="11">
        <v>0</v>
      </c>
      <c r="D889" s="11">
        <v>0</v>
      </c>
      <c r="E889" s="2">
        <f t="shared" si="27"/>
        <v>0</v>
      </c>
      <c r="F889" s="11">
        <v>0.31</v>
      </c>
      <c r="G889" s="3" t="e">
        <f t="shared" si="28"/>
        <v>#DIV/0!</v>
      </c>
    </row>
    <row r="890" spans="1:7" customFormat="1">
      <c r="A890" s="1">
        <v>20</v>
      </c>
      <c r="B890" s="1" t="s">
        <v>36</v>
      </c>
      <c r="C890" s="11">
        <v>9.5</v>
      </c>
      <c r="D890" s="11">
        <v>9.4499999999999993</v>
      </c>
      <c r="E890" s="2">
        <f t="shared" si="27"/>
        <v>5.0000000000000711E-2</v>
      </c>
      <c r="F890" s="11">
        <v>0.36</v>
      </c>
      <c r="G890" s="3">
        <f t="shared" si="28"/>
        <v>4.315789473684218E-2</v>
      </c>
    </row>
    <row r="891" spans="1:7" customFormat="1">
      <c r="A891" s="1">
        <v>21</v>
      </c>
      <c r="B891" s="1" t="s">
        <v>36</v>
      </c>
      <c r="C891" s="11">
        <v>0</v>
      </c>
      <c r="D891" s="11">
        <v>0</v>
      </c>
      <c r="E891" s="2">
        <f t="shared" si="27"/>
        <v>0</v>
      </c>
      <c r="F891" s="11">
        <v>0.17</v>
      </c>
      <c r="G891" s="3" t="e">
        <f t="shared" si="28"/>
        <v>#DIV/0!</v>
      </c>
    </row>
    <row r="892" spans="1:7" customFormat="1">
      <c r="A892" s="1">
        <v>22</v>
      </c>
      <c r="B892" s="1" t="s">
        <v>36</v>
      </c>
      <c r="C892" s="11">
        <v>0</v>
      </c>
      <c r="D892" s="11">
        <v>0</v>
      </c>
      <c r="E892" s="2">
        <f t="shared" si="27"/>
        <v>0</v>
      </c>
      <c r="F892" s="11">
        <v>10.75</v>
      </c>
      <c r="G892" s="3" t="e">
        <f t="shared" si="28"/>
        <v>#DIV/0!</v>
      </c>
    </row>
    <row r="893" spans="1:7" customFormat="1">
      <c r="A893" s="1">
        <v>23</v>
      </c>
      <c r="B893" s="1" t="s">
        <v>36</v>
      </c>
      <c r="C893" s="11">
        <v>0</v>
      </c>
      <c r="D893" s="11">
        <v>0</v>
      </c>
      <c r="E893" s="2">
        <f t="shared" si="27"/>
        <v>0</v>
      </c>
      <c r="F893" s="11">
        <v>0</v>
      </c>
      <c r="G893" s="3" t="e">
        <f t="shared" si="28"/>
        <v>#DIV/0!</v>
      </c>
    </row>
    <row r="894" spans="1:7" customFormat="1">
      <c r="A894" s="1">
        <v>24</v>
      </c>
      <c r="B894" s="1" t="s">
        <v>36</v>
      </c>
      <c r="C894" s="11">
        <v>11.7</v>
      </c>
      <c r="D894" s="11">
        <v>11.6</v>
      </c>
      <c r="E894" s="2">
        <f t="shared" si="27"/>
        <v>9.9999999999999645E-2</v>
      </c>
      <c r="F894" s="11">
        <v>0.12</v>
      </c>
      <c r="G894" s="3">
        <f t="shared" si="28"/>
        <v>1.8803418803418775E-2</v>
      </c>
    </row>
    <row r="895" spans="1:7" customFormat="1">
      <c r="A895" s="1">
        <v>25</v>
      </c>
      <c r="B895" s="1" t="s">
        <v>36</v>
      </c>
      <c r="C895" s="11">
        <v>0</v>
      </c>
      <c r="D895" s="11">
        <v>0</v>
      </c>
      <c r="E895" s="2">
        <f t="shared" si="27"/>
        <v>0</v>
      </c>
      <c r="F895" s="11">
        <v>0.19500000000000001</v>
      </c>
      <c r="G895" s="3" t="e">
        <f t="shared" si="28"/>
        <v>#DIV/0!</v>
      </c>
    </row>
    <row r="896" spans="1:7" customFormat="1">
      <c r="A896" s="1">
        <v>26</v>
      </c>
      <c r="B896" s="1" t="s">
        <v>36</v>
      </c>
      <c r="C896" s="11">
        <v>0</v>
      </c>
      <c r="D896" s="11">
        <v>0</v>
      </c>
      <c r="E896" s="2">
        <f t="shared" si="27"/>
        <v>0</v>
      </c>
      <c r="F896" s="11">
        <v>0.14000000000000001</v>
      </c>
      <c r="G896" s="3" t="e">
        <f t="shared" si="28"/>
        <v>#DIV/0!</v>
      </c>
    </row>
    <row r="897" spans="1:18">
      <c r="A897" s="1">
        <v>27</v>
      </c>
      <c r="B897" s="1" t="s">
        <v>36</v>
      </c>
      <c r="C897" s="11">
        <v>0</v>
      </c>
      <c r="D897" s="11">
        <v>0</v>
      </c>
      <c r="E897" s="2">
        <f t="shared" si="27"/>
        <v>0</v>
      </c>
      <c r="F897" s="11">
        <v>0.09</v>
      </c>
      <c r="G897" s="3" t="e">
        <f t="shared" si="28"/>
        <v>#DIV/0!</v>
      </c>
      <c r="R897"/>
    </row>
    <row r="898" spans="1:18">
      <c r="A898" s="1">
        <v>28</v>
      </c>
      <c r="B898" s="1" t="s">
        <v>36</v>
      </c>
      <c r="C898" s="11">
        <v>0</v>
      </c>
      <c r="D898" s="11">
        <v>0</v>
      </c>
      <c r="E898" s="2">
        <f t="shared" si="27"/>
        <v>0</v>
      </c>
      <c r="F898" s="11">
        <v>0.05</v>
      </c>
      <c r="G898" s="3" t="e">
        <f t="shared" si="28"/>
        <v>#DIV/0!</v>
      </c>
      <c r="R898"/>
    </row>
    <row r="899" spans="1:18">
      <c r="A899" s="1">
        <v>29</v>
      </c>
      <c r="B899" s="1" t="s">
        <v>36</v>
      </c>
      <c r="C899" s="11">
        <v>0</v>
      </c>
      <c r="D899" s="11">
        <v>0</v>
      </c>
      <c r="E899" s="2">
        <f t="shared" si="27"/>
        <v>0</v>
      </c>
      <c r="F899" s="11">
        <v>0</v>
      </c>
      <c r="G899" s="3" t="e">
        <f t="shared" si="28"/>
        <v>#DIV/0!</v>
      </c>
      <c r="R899"/>
    </row>
    <row r="900" spans="1:18">
      <c r="A900" s="1">
        <v>30</v>
      </c>
      <c r="B900" s="1" t="s">
        <v>36</v>
      </c>
      <c r="C900" s="11">
        <v>0</v>
      </c>
      <c r="D900" s="11">
        <v>0</v>
      </c>
      <c r="E900" s="2">
        <f t="shared" ref="E900:E963" si="29">C900-D900</f>
        <v>0</v>
      </c>
      <c r="F900" s="11">
        <v>0.16</v>
      </c>
      <c r="G900" s="3" t="e">
        <f t="shared" si="28"/>
        <v>#DIV/0!</v>
      </c>
      <c r="R900"/>
    </row>
    <row r="901" spans="1:18">
      <c r="A901" s="1">
        <v>31</v>
      </c>
      <c r="B901" s="1" t="s">
        <v>36</v>
      </c>
      <c r="C901" s="11">
        <v>0</v>
      </c>
      <c r="D901" s="11">
        <v>0</v>
      </c>
      <c r="E901" s="2">
        <f t="shared" si="29"/>
        <v>0</v>
      </c>
      <c r="F901" s="11">
        <v>0</v>
      </c>
      <c r="G901" s="3" t="e">
        <f t="shared" si="28"/>
        <v>#DIV/0!</v>
      </c>
      <c r="R901"/>
    </row>
    <row r="902" spans="1:18">
      <c r="A902" s="1">
        <v>1</v>
      </c>
      <c r="B902" s="1" t="s">
        <v>37</v>
      </c>
      <c r="C902" s="11">
        <v>0</v>
      </c>
      <c r="D902" s="11">
        <v>0</v>
      </c>
      <c r="E902" s="2">
        <f t="shared" si="29"/>
        <v>0</v>
      </c>
      <c r="F902" s="11">
        <v>0.19400000000000001</v>
      </c>
      <c r="G902" s="3" t="e">
        <f t="shared" si="28"/>
        <v>#DIV/0!</v>
      </c>
      <c r="R902"/>
    </row>
    <row r="903" spans="1:18">
      <c r="A903" s="1">
        <v>2</v>
      </c>
      <c r="B903" s="1" t="s">
        <v>37</v>
      </c>
      <c r="C903" s="11">
        <v>44.3</v>
      </c>
      <c r="D903" s="11">
        <v>44.12</v>
      </c>
      <c r="E903" s="2">
        <f t="shared" si="29"/>
        <v>0.17999999999999972</v>
      </c>
      <c r="F903" s="11">
        <v>0.27400000000000002</v>
      </c>
      <c r="G903" s="3">
        <f t="shared" si="28"/>
        <v>1.0248306997742658E-2</v>
      </c>
      <c r="R903"/>
    </row>
    <row r="904" spans="1:18">
      <c r="A904" s="1">
        <v>3</v>
      </c>
      <c r="B904" s="1" t="s">
        <v>37</v>
      </c>
      <c r="C904" s="11">
        <v>25.16</v>
      </c>
      <c r="D904" s="11">
        <v>25.09</v>
      </c>
      <c r="E904" s="2">
        <f t="shared" si="29"/>
        <v>7.0000000000000284E-2</v>
      </c>
      <c r="F904" s="11">
        <v>0.27300000000000002</v>
      </c>
      <c r="G904" s="3">
        <f t="shared" si="28"/>
        <v>1.3632750397456293E-2</v>
      </c>
      <c r="R904"/>
    </row>
    <row r="905" spans="1:18">
      <c r="A905" s="1">
        <v>4</v>
      </c>
      <c r="B905" s="1" t="s">
        <v>37</v>
      </c>
      <c r="C905" s="11">
        <v>25.79</v>
      </c>
      <c r="D905" s="11">
        <v>25.74</v>
      </c>
      <c r="E905" s="2">
        <f t="shared" si="29"/>
        <v>5.0000000000000711E-2</v>
      </c>
      <c r="F905" s="11">
        <v>0.46800000000000003</v>
      </c>
      <c r="G905" s="3">
        <f t="shared" si="28"/>
        <v>2.0085304381543261E-2</v>
      </c>
      <c r="R905"/>
    </row>
    <row r="906" spans="1:18">
      <c r="A906" s="1">
        <v>5</v>
      </c>
      <c r="B906" s="1" t="s">
        <v>37</v>
      </c>
      <c r="C906" s="11">
        <v>0</v>
      </c>
      <c r="D906" s="11">
        <v>0</v>
      </c>
      <c r="E906" s="2">
        <f t="shared" si="29"/>
        <v>0</v>
      </c>
      <c r="F906" s="11">
        <v>0</v>
      </c>
      <c r="G906" s="3" t="e">
        <f t="shared" si="28"/>
        <v>#DIV/0!</v>
      </c>
      <c r="R906"/>
    </row>
    <row r="907" spans="1:18">
      <c r="A907" s="1">
        <v>6</v>
      </c>
      <c r="B907" s="1" t="s">
        <v>37</v>
      </c>
      <c r="C907" s="11">
        <v>0</v>
      </c>
      <c r="D907" s="11">
        <v>0</v>
      </c>
      <c r="E907" s="2">
        <f t="shared" si="29"/>
        <v>0</v>
      </c>
      <c r="F907" s="11">
        <v>0</v>
      </c>
      <c r="G907" s="3" t="e">
        <f t="shared" si="28"/>
        <v>#DIV/0!</v>
      </c>
      <c r="R907"/>
    </row>
    <row r="908" spans="1:18">
      <c r="A908" s="1">
        <v>7</v>
      </c>
      <c r="B908" s="1" t="s">
        <v>37</v>
      </c>
      <c r="C908" s="11">
        <v>0</v>
      </c>
      <c r="D908" s="11">
        <v>0</v>
      </c>
      <c r="E908" s="2">
        <f t="shared" si="29"/>
        <v>0</v>
      </c>
      <c r="F908" s="11">
        <v>1.7000000000000001E-2</v>
      </c>
      <c r="G908" s="3" t="e">
        <f t="shared" si="28"/>
        <v>#DIV/0!</v>
      </c>
      <c r="R908"/>
    </row>
    <row r="909" spans="1:18">
      <c r="A909" s="1">
        <v>10</v>
      </c>
      <c r="B909" s="1" t="s">
        <v>37</v>
      </c>
      <c r="C909" s="11">
        <v>49.54</v>
      </c>
      <c r="D909" s="11">
        <v>49.38</v>
      </c>
      <c r="E909" s="2">
        <f t="shared" si="29"/>
        <v>0.15999999999999659</v>
      </c>
      <c r="F909" s="11">
        <v>0.498</v>
      </c>
      <c r="G909" s="3">
        <f t="shared" si="28"/>
        <v>1.328219620508673E-2</v>
      </c>
      <c r="R909"/>
    </row>
    <row r="910" spans="1:18">
      <c r="A910" s="1">
        <v>8</v>
      </c>
      <c r="B910" s="1" t="s">
        <v>37</v>
      </c>
      <c r="C910" s="11">
        <v>25</v>
      </c>
      <c r="D910" s="11">
        <v>24.92</v>
      </c>
      <c r="E910" s="2">
        <f t="shared" si="29"/>
        <v>7.9999999999998295E-2</v>
      </c>
      <c r="F910" s="11">
        <v>0.113</v>
      </c>
      <c r="G910" s="3">
        <f t="shared" si="28"/>
        <v>7.7199999999999318E-3</v>
      </c>
    </row>
    <row r="911" spans="1:18">
      <c r="A911" s="1">
        <v>9</v>
      </c>
      <c r="B911" s="1" t="s">
        <v>37</v>
      </c>
      <c r="C911" s="11">
        <v>24.21</v>
      </c>
      <c r="D911" s="11">
        <v>24.13</v>
      </c>
      <c r="E911" s="2">
        <f t="shared" si="29"/>
        <v>8.0000000000001847E-2</v>
      </c>
      <c r="F911" s="11">
        <v>0.38200000000000001</v>
      </c>
      <c r="G911" s="3">
        <f t="shared" si="28"/>
        <v>1.9083023543990163E-2</v>
      </c>
      <c r="R911"/>
    </row>
    <row r="912" spans="1:18">
      <c r="A912" s="1">
        <v>11</v>
      </c>
      <c r="B912" s="1" t="s">
        <v>37</v>
      </c>
      <c r="C912" s="11">
        <v>75.16</v>
      </c>
      <c r="D912" s="11">
        <v>74.91</v>
      </c>
      <c r="E912" s="2">
        <f t="shared" si="29"/>
        <v>0.25</v>
      </c>
      <c r="F912" s="11">
        <v>0.48299999999999998</v>
      </c>
      <c r="G912" s="3">
        <f t="shared" si="28"/>
        <v>9.7525279403938275E-3</v>
      </c>
      <c r="R912"/>
    </row>
    <row r="913" spans="1:7" customFormat="1">
      <c r="A913" s="1">
        <v>12</v>
      </c>
      <c r="B913" s="1" t="s">
        <v>37</v>
      </c>
      <c r="C913" s="11">
        <v>50.83</v>
      </c>
      <c r="D913" s="11">
        <v>50.61</v>
      </c>
      <c r="E913" s="2">
        <f t="shared" si="29"/>
        <v>0.21999999999999886</v>
      </c>
      <c r="F913" s="11">
        <v>0.47799999999999998</v>
      </c>
      <c r="G913" s="3">
        <f t="shared" si="28"/>
        <v>1.3732048003147725E-2</v>
      </c>
    </row>
    <row r="914" spans="1:7" customFormat="1">
      <c r="A914" s="1">
        <v>13</v>
      </c>
      <c r="B914" s="1" t="s">
        <v>37</v>
      </c>
      <c r="C914" s="11">
        <v>0</v>
      </c>
      <c r="D914" s="11">
        <v>0</v>
      </c>
      <c r="E914" s="2">
        <f t="shared" si="29"/>
        <v>0</v>
      </c>
      <c r="F914" s="11">
        <v>0</v>
      </c>
      <c r="G914" s="3" t="e">
        <f t="shared" si="28"/>
        <v>#DIV/0!</v>
      </c>
    </row>
    <row r="915" spans="1:7" customFormat="1">
      <c r="A915" s="1">
        <v>14</v>
      </c>
      <c r="B915" s="1" t="s">
        <v>37</v>
      </c>
      <c r="C915" s="11">
        <v>25</v>
      </c>
      <c r="D915" s="11">
        <v>24.96</v>
      </c>
      <c r="E915" s="2">
        <f t="shared" si="29"/>
        <v>3.9999999999999147E-2</v>
      </c>
      <c r="F915" s="11">
        <v>0</v>
      </c>
      <c r="G915" s="3">
        <f t="shared" si="28"/>
        <v>1.5999999999999658E-3</v>
      </c>
    </row>
    <row r="916" spans="1:7" customFormat="1">
      <c r="A916" s="1">
        <v>15</v>
      </c>
      <c r="B916" s="1" t="s">
        <v>37</v>
      </c>
      <c r="C916" s="11">
        <v>73.680000000000007</v>
      </c>
      <c r="D916" s="11">
        <v>73.48</v>
      </c>
      <c r="E916" s="2">
        <f t="shared" si="29"/>
        <v>0.20000000000000284</v>
      </c>
      <c r="F916" s="11">
        <v>0.38100000000000001</v>
      </c>
      <c r="G916" s="3">
        <f t="shared" si="28"/>
        <v>7.8854505971770201E-3</v>
      </c>
    </row>
    <row r="917" spans="1:7" customFormat="1">
      <c r="A917" s="1">
        <v>16</v>
      </c>
      <c r="B917" s="1" t="s">
        <v>37</v>
      </c>
      <c r="C917" s="11">
        <v>20.329999999999998</v>
      </c>
      <c r="D917" s="11">
        <v>20.28</v>
      </c>
      <c r="E917" s="2">
        <f t="shared" si="29"/>
        <v>4.9999999999997158E-2</v>
      </c>
      <c r="F917" s="11">
        <v>0.19700000000000001</v>
      </c>
      <c r="G917" s="3">
        <f t="shared" si="28"/>
        <v>1.2149532710280235E-2</v>
      </c>
    </row>
    <row r="918" spans="1:7" customFormat="1">
      <c r="A918" s="1">
        <v>17</v>
      </c>
      <c r="B918" s="1" t="s">
        <v>37</v>
      </c>
      <c r="C918" s="11">
        <v>93.19</v>
      </c>
      <c r="D918" s="11">
        <v>92.78</v>
      </c>
      <c r="E918" s="2">
        <f t="shared" si="29"/>
        <v>0.40999999999999659</v>
      </c>
      <c r="F918" s="11">
        <v>0</v>
      </c>
      <c r="G918" s="3">
        <f t="shared" si="28"/>
        <v>4.3996136924562357E-3</v>
      </c>
    </row>
    <row r="919" spans="1:7" customFormat="1">
      <c r="A919" s="1">
        <v>18</v>
      </c>
      <c r="B919" s="1" t="s">
        <v>37</v>
      </c>
      <c r="C919" s="11">
        <v>53.02</v>
      </c>
      <c r="D919" s="11">
        <v>52.9</v>
      </c>
      <c r="E919" s="2">
        <f t="shared" si="29"/>
        <v>0.12000000000000455</v>
      </c>
      <c r="F919" s="11" t="s">
        <v>128</v>
      </c>
      <c r="G919" s="3" t="e">
        <f t="shared" si="28"/>
        <v>#VALUE!</v>
      </c>
    </row>
    <row r="920" spans="1:7" customFormat="1">
      <c r="A920" s="1">
        <v>19</v>
      </c>
      <c r="B920" s="1" t="s">
        <v>37</v>
      </c>
      <c r="C920" s="11">
        <v>50.89</v>
      </c>
      <c r="D920" s="11">
        <v>50.69</v>
      </c>
      <c r="E920" s="2">
        <f t="shared" si="29"/>
        <v>0.20000000000000284</v>
      </c>
      <c r="F920" s="11">
        <v>0</v>
      </c>
      <c r="G920" s="3">
        <f t="shared" si="28"/>
        <v>3.9300451955198044E-3</v>
      </c>
    </row>
    <row r="921" spans="1:7" customFormat="1">
      <c r="A921" s="1">
        <v>20</v>
      </c>
      <c r="B921" s="1" t="s">
        <v>37</v>
      </c>
      <c r="C921" s="11">
        <v>0</v>
      </c>
      <c r="D921" s="11">
        <v>0</v>
      </c>
      <c r="E921" s="2">
        <f t="shared" si="29"/>
        <v>0</v>
      </c>
      <c r="F921" s="11">
        <v>0.14199999999999999</v>
      </c>
      <c r="G921" s="3" t="e">
        <f t="shared" si="28"/>
        <v>#DIV/0!</v>
      </c>
    </row>
    <row r="922" spans="1:7" customFormat="1">
      <c r="A922" s="1">
        <v>21</v>
      </c>
      <c r="B922" s="1" t="s">
        <v>37</v>
      </c>
      <c r="C922" s="11">
        <v>27.74</v>
      </c>
      <c r="D922" s="11">
        <v>27.65</v>
      </c>
      <c r="E922" s="2">
        <f t="shared" si="29"/>
        <v>8.9999999999999858E-2</v>
      </c>
      <c r="F922" s="11">
        <v>0.308</v>
      </c>
      <c r="G922" s="3">
        <f t="shared" si="28"/>
        <v>1.4347512617159332E-2</v>
      </c>
    </row>
    <row r="923" spans="1:7" customFormat="1">
      <c r="A923" s="1">
        <v>22</v>
      </c>
      <c r="B923" s="1" t="s">
        <v>37</v>
      </c>
      <c r="C923" s="11">
        <v>24.96</v>
      </c>
      <c r="D923" s="11">
        <v>24.8</v>
      </c>
      <c r="E923" s="2">
        <f t="shared" si="29"/>
        <v>0.16000000000000014</v>
      </c>
      <c r="F923" s="11">
        <v>0.32500000000000001</v>
      </c>
      <c r="G923" s="3">
        <f t="shared" si="28"/>
        <v>1.9431089743589747E-2</v>
      </c>
    </row>
    <row r="924" spans="1:7" customFormat="1">
      <c r="A924" s="1">
        <v>23</v>
      </c>
      <c r="B924" s="1" t="s">
        <v>37</v>
      </c>
      <c r="C924" s="11">
        <v>31.13</v>
      </c>
      <c r="D924" s="11">
        <v>30.96</v>
      </c>
      <c r="E924" s="2">
        <f t="shared" si="29"/>
        <v>0.16999999999999815</v>
      </c>
      <c r="F924" s="11">
        <v>0.155</v>
      </c>
      <c r="G924" s="3">
        <f t="shared" si="28"/>
        <v>1.0440089945390241E-2</v>
      </c>
    </row>
    <row r="925" spans="1:7" customFormat="1">
      <c r="A925" s="1">
        <v>24</v>
      </c>
      <c r="B925" s="1" t="s">
        <v>37</v>
      </c>
      <c r="C925" s="11">
        <v>18.46</v>
      </c>
      <c r="D925" s="11">
        <v>18.37</v>
      </c>
      <c r="E925" s="2">
        <f t="shared" si="29"/>
        <v>8.9999999999999858E-2</v>
      </c>
      <c r="F925" s="11">
        <v>0.29199999999999998</v>
      </c>
      <c r="G925" s="3">
        <f t="shared" si="28"/>
        <v>2.0693391115926319E-2</v>
      </c>
    </row>
    <row r="926" spans="1:7" customFormat="1">
      <c r="A926" s="1">
        <v>25</v>
      </c>
      <c r="B926" s="1" t="s">
        <v>37</v>
      </c>
      <c r="C926" s="11">
        <v>72.23</v>
      </c>
      <c r="D926" s="11">
        <v>71.94</v>
      </c>
      <c r="E926" s="2">
        <f t="shared" si="29"/>
        <v>0.29000000000000625</v>
      </c>
      <c r="F926" s="11">
        <v>0.41299999999999998</v>
      </c>
      <c r="G926" s="3">
        <f t="shared" si="28"/>
        <v>9.7327980063686322E-3</v>
      </c>
    </row>
    <row r="927" spans="1:7" customFormat="1">
      <c r="A927" s="1">
        <v>26</v>
      </c>
      <c r="B927" s="1" t="s">
        <v>37</v>
      </c>
      <c r="C927" s="11">
        <v>24.69</v>
      </c>
      <c r="D927" s="11">
        <v>24.54</v>
      </c>
      <c r="E927" s="2">
        <f t="shared" si="29"/>
        <v>0.15000000000000213</v>
      </c>
      <c r="F927" s="11">
        <v>0.4</v>
      </c>
      <c r="G927" s="3">
        <f t="shared" si="28"/>
        <v>2.2276225192385667E-2</v>
      </c>
    </row>
    <row r="928" spans="1:7" customFormat="1">
      <c r="A928" s="1">
        <v>27</v>
      </c>
      <c r="B928" s="1" t="s">
        <v>37</v>
      </c>
      <c r="C928" s="11">
        <v>25</v>
      </c>
      <c r="D928" s="11">
        <v>24.96</v>
      </c>
      <c r="E928" s="2">
        <f t="shared" si="29"/>
        <v>3.9999999999999147E-2</v>
      </c>
      <c r="F928" s="11">
        <v>0</v>
      </c>
      <c r="G928" s="3">
        <f t="shared" si="28"/>
        <v>1.5999999999999658E-3</v>
      </c>
    </row>
    <row r="929" spans="1:18">
      <c r="A929" s="1">
        <v>28</v>
      </c>
      <c r="B929" s="1" t="s">
        <v>37</v>
      </c>
      <c r="C929" s="11">
        <v>25</v>
      </c>
      <c r="D929" s="11">
        <v>24.96</v>
      </c>
      <c r="E929" s="2">
        <f t="shared" si="29"/>
        <v>3.9999999999999147E-2</v>
      </c>
      <c r="F929" s="11">
        <v>0.43099999999999999</v>
      </c>
      <c r="G929" s="3">
        <f t="shared" si="28"/>
        <v>1.8839999999999964E-2</v>
      </c>
      <c r="R929"/>
    </row>
    <row r="930" spans="1:18">
      <c r="A930" s="1">
        <v>29</v>
      </c>
      <c r="B930" s="1" t="s">
        <v>37</v>
      </c>
      <c r="C930" s="11">
        <v>25.56</v>
      </c>
      <c r="D930" s="11">
        <v>25.44</v>
      </c>
      <c r="E930" s="2">
        <f t="shared" si="29"/>
        <v>0.11999999999999744</v>
      </c>
      <c r="F930" s="11">
        <v>0.30399999999999999</v>
      </c>
      <c r="G930" s="3">
        <f t="shared" si="28"/>
        <v>1.6588419405320715E-2</v>
      </c>
      <c r="R930"/>
    </row>
    <row r="931" spans="1:18">
      <c r="A931" s="1">
        <v>30</v>
      </c>
      <c r="B931" s="1" t="s">
        <v>37</v>
      </c>
      <c r="C931" s="11">
        <v>28.56</v>
      </c>
      <c r="D931" s="11">
        <v>28.45</v>
      </c>
      <c r="E931" s="2">
        <f t="shared" si="29"/>
        <v>0.10999999999999943</v>
      </c>
      <c r="F931" s="11">
        <v>0</v>
      </c>
      <c r="G931" s="3">
        <f t="shared" si="28"/>
        <v>3.8515406162464788E-3</v>
      </c>
      <c r="R931"/>
    </row>
    <row r="932" spans="1:18">
      <c r="A932" s="1">
        <v>31</v>
      </c>
      <c r="B932" s="1" t="s">
        <v>37</v>
      </c>
      <c r="C932" s="11">
        <v>24.76</v>
      </c>
      <c r="D932" s="11">
        <v>24.69</v>
      </c>
      <c r="E932" s="2">
        <f t="shared" si="29"/>
        <v>7.0000000000000284E-2</v>
      </c>
      <c r="F932" s="11">
        <v>0.19</v>
      </c>
      <c r="G932" s="3">
        <f t="shared" si="28"/>
        <v>1.050080775444266E-2</v>
      </c>
      <c r="R932"/>
    </row>
    <row r="933" spans="1:18">
      <c r="A933" s="1">
        <v>1</v>
      </c>
      <c r="B933" s="1" t="s">
        <v>38</v>
      </c>
      <c r="C933" s="11">
        <v>24.11</v>
      </c>
      <c r="D933" s="11">
        <v>23.79</v>
      </c>
      <c r="E933" s="2">
        <f t="shared" si="29"/>
        <v>0.32000000000000028</v>
      </c>
      <c r="F933" s="11">
        <v>0.16400000000000001</v>
      </c>
      <c r="G933" s="3">
        <f t="shared" ref="G933:G996" si="30">(E933+F933)/C933</f>
        <v>2.0074657818332654E-2</v>
      </c>
      <c r="R933"/>
    </row>
    <row r="934" spans="1:18">
      <c r="A934" s="1">
        <v>2</v>
      </c>
      <c r="B934" s="1" t="s">
        <v>38</v>
      </c>
      <c r="C934" s="11">
        <v>0</v>
      </c>
      <c r="D934" s="11">
        <v>0</v>
      </c>
      <c r="E934" s="2">
        <f t="shared" si="29"/>
        <v>0</v>
      </c>
      <c r="F934" s="11">
        <v>0.29199999999999998</v>
      </c>
      <c r="G934" s="3" t="e">
        <f t="shared" si="30"/>
        <v>#DIV/0!</v>
      </c>
      <c r="R934"/>
    </row>
    <row r="935" spans="1:18">
      <c r="A935" s="1">
        <v>3</v>
      </c>
      <c r="B935" s="1" t="s">
        <v>38</v>
      </c>
      <c r="C935" s="11">
        <v>26.02</v>
      </c>
      <c r="D935" s="11">
        <v>25.87</v>
      </c>
      <c r="E935" s="2">
        <f t="shared" si="29"/>
        <v>0.14999999999999858</v>
      </c>
      <c r="F935" s="11">
        <v>0.443</v>
      </c>
      <c r="G935" s="3">
        <f t="shared" si="30"/>
        <v>2.2790161414296642E-2</v>
      </c>
      <c r="R935"/>
    </row>
    <row r="936" spans="1:18">
      <c r="A936" s="1">
        <v>4</v>
      </c>
      <c r="B936" s="1" t="s">
        <v>38</v>
      </c>
      <c r="C936" s="11">
        <v>0</v>
      </c>
      <c r="D936" s="11">
        <v>0</v>
      </c>
      <c r="E936" s="2">
        <f t="shared" si="29"/>
        <v>0</v>
      </c>
      <c r="F936" s="11">
        <v>0.54400000000000004</v>
      </c>
      <c r="G936" s="3" t="e">
        <f t="shared" si="30"/>
        <v>#DIV/0!</v>
      </c>
      <c r="R936"/>
    </row>
    <row r="937" spans="1:18">
      <c r="A937" s="1">
        <v>5</v>
      </c>
      <c r="B937" s="1" t="s">
        <v>38</v>
      </c>
      <c r="C937" s="11">
        <v>0</v>
      </c>
      <c r="D937" s="11">
        <v>0</v>
      </c>
      <c r="E937" s="2">
        <f t="shared" si="29"/>
        <v>0</v>
      </c>
      <c r="F937" s="11">
        <v>6.3E-2</v>
      </c>
      <c r="G937" s="3" t="e">
        <f t="shared" si="30"/>
        <v>#DIV/0!</v>
      </c>
      <c r="R937"/>
    </row>
    <row r="938" spans="1:18">
      <c r="A938" s="1">
        <v>6</v>
      </c>
      <c r="B938" s="1" t="s">
        <v>38</v>
      </c>
      <c r="C938" s="11">
        <v>30.22</v>
      </c>
      <c r="D938" s="11">
        <v>29.68</v>
      </c>
      <c r="E938" s="2">
        <f t="shared" si="29"/>
        <v>0.53999999999999915</v>
      </c>
      <c r="F938" s="11">
        <v>0.255</v>
      </c>
      <c r="G938" s="3">
        <f t="shared" si="30"/>
        <v>2.6307081403044313E-2</v>
      </c>
      <c r="R938"/>
    </row>
    <row r="939" spans="1:18">
      <c r="A939" s="1">
        <v>7</v>
      </c>
      <c r="B939" s="1" t="s">
        <v>38</v>
      </c>
      <c r="C939" s="11">
        <v>0</v>
      </c>
      <c r="D939" s="11">
        <v>0</v>
      </c>
      <c r="E939" s="2">
        <f t="shared" si="29"/>
        <v>0</v>
      </c>
      <c r="F939" s="11">
        <v>0.187</v>
      </c>
      <c r="G939" s="3" t="e">
        <f t="shared" si="30"/>
        <v>#DIV/0!</v>
      </c>
      <c r="R939"/>
    </row>
    <row r="940" spans="1:18">
      <c r="A940" s="1">
        <v>10</v>
      </c>
      <c r="B940" s="1" t="s">
        <v>38</v>
      </c>
      <c r="C940" s="11">
        <v>0</v>
      </c>
      <c r="D940" s="11">
        <v>0</v>
      </c>
      <c r="E940" s="2">
        <f t="shared" si="29"/>
        <v>0</v>
      </c>
      <c r="F940" s="11">
        <v>0.56200000000000006</v>
      </c>
      <c r="G940" s="3" t="e">
        <f t="shared" si="30"/>
        <v>#DIV/0!</v>
      </c>
      <c r="R940"/>
    </row>
    <row r="941" spans="1:18">
      <c r="A941" s="1">
        <v>8</v>
      </c>
      <c r="B941" s="1" t="s">
        <v>38</v>
      </c>
      <c r="C941" s="11">
        <v>0</v>
      </c>
      <c r="D941" s="11">
        <v>0</v>
      </c>
      <c r="E941" s="2">
        <f t="shared" si="29"/>
        <v>0</v>
      </c>
      <c r="F941" s="11">
        <v>0.46800000000000003</v>
      </c>
      <c r="G941" s="3" t="e">
        <f t="shared" si="30"/>
        <v>#DIV/0!</v>
      </c>
    </row>
    <row r="942" spans="1:18">
      <c r="A942" s="1">
        <v>9</v>
      </c>
      <c r="B942" s="1" t="s">
        <v>38</v>
      </c>
      <c r="C942" s="11">
        <v>21.94</v>
      </c>
      <c r="D942" s="11">
        <v>21.47</v>
      </c>
      <c r="E942" s="2">
        <f t="shared" si="29"/>
        <v>0.47000000000000242</v>
      </c>
      <c r="F942" s="11">
        <v>0.14399999999999999</v>
      </c>
      <c r="G942" s="3">
        <f t="shared" si="30"/>
        <v>2.7985414767547966E-2</v>
      </c>
      <c r="R942"/>
    </row>
    <row r="943" spans="1:18">
      <c r="A943" s="1">
        <v>11</v>
      </c>
      <c r="B943" s="1" t="s">
        <v>38</v>
      </c>
      <c r="C943" s="11">
        <v>0</v>
      </c>
      <c r="D943" s="11">
        <v>0</v>
      </c>
      <c r="E943" s="2">
        <f t="shared" si="29"/>
        <v>0</v>
      </c>
      <c r="F943" s="11">
        <v>0.43</v>
      </c>
      <c r="G943" s="3" t="e">
        <f t="shared" si="30"/>
        <v>#DIV/0!</v>
      </c>
      <c r="R943"/>
    </row>
    <row r="944" spans="1:18">
      <c r="A944" s="1">
        <v>12</v>
      </c>
      <c r="B944" s="1" t="s">
        <v>38</v>
      </c>
      <c r="C944" s="11">
        <v>24.35</v>
      </c>
      <c r="D944" s="11">
        <v>24.21</v>
      </c>
      <c r="E944" s="2">
        <f t="shared" si="29"/>
        <v>0.14000000000000057</v>
      </c>
      <c r="F944" s="11">
        <v>0.35499999999999998</v>
      </c>
      <c r="G944" s="3">
        <f t="shared" si="30"/>
        <v>2.0328542094455875E-2</v>
      </c>
      <c r="R944"/>
    </row>
    <row r="945" spans="1:7" customFormat="1">
      <c r="A945" s="1">
        <v>13</v>
      </c>
      <c r="B945" s="1" t="s">
        <v>38</v>
      </c>
      <c r="C945" s="11">
        <v>41.82</v>
      </c>
      <c r="D945" s="11">
        <v>41.23</v>
      </c>
      <c r="E945" s="2">
        <f t="shared" si="29"/>
        <v>0.59000000000000341</v>
      </c>
      <c r="F945" s="11">
        <v>0.54300000000000004</v>
      </c>
      <c r="G945" s="3">
        <f t="shared" si="30"/>
        <v>2.709230033476814E-2</v>
      </c>
    </row>
    <row r="946" spans="1:7" customFormat="1">
      <c r="A946" s="1">
        <v>14</v>
      </c>
      <c r="B946" s="1" t="s">
        <v>38</v>
      </c>
      <c r="C946" s="11">
        <v>0</v>
      </c>
      <c r="D946" s="11">
        <v>0</v>
      </c>
      <c r="E946" s="2">
        <f t="shared" si="29"/>
        <v>0</v>
      </c>
      <c r="F946" s="11">
        <v>0.53</v>
      </c>
      <c r="G946" s="3" t="e">
        <f t="shared" si="30"/>
        <v>#DIV/0!</v>
      </c>
    </row>
    <row r="947" spans="1:7" customFormat="1">
      <c r="A947" s="1">
        <v>15</v>
      </c>
      <c r="B947" s="1" t="s">
        <v>38</v>
      </c>
      <c r="C947" s="11">
        <v>23.02</v>
      </c>
      <c r="D947" s="11">
        <v>22.89</v>
      </c>
      <c r="E947" s="2">
        <f t="shared" si="29"/>
        <v>0.12999999999999901</v>
      </c>
      <c r="F947" s="11">
        <v>0.217</v>
      </c>
      <c r="G947" s="3">
        <f t="shared" si="30"/>
        <v>1.507384882710682E-2</v>
      </c>
    </row>
    <row r="948" spans="1:7" customFormat="1">
      <c r="A948" s="1">
        <v>16</v>
      </c>
      <c r="B948" s="1" t="s">
        <v>38</v>
      </c>
      <c r="C948" s="11">
        <v>26.26</v>
      </c>
      <c r="D948" s="11">
        <v>25.58</v>
      </c>
      <c r="E948" s="2">
        <f t="shared" si="29"/>
        <v>0.68000000000000327</v>
      </c>
      <c r="F948" s="11">
        <v>5.8000000000000003E-2</v>
      </c>
      <c r="G948" s="3">
        <f t="shared" si="30"/>
        <v>2.8103579588728229E-2</v>
      </c>
    </row>
    <row r="949" spans="1:7" customFormat="1">
      <c r="A949" s="1">
        <v>17</v>
      </c>
      <c r="B949" s="1" t="s">
        <v>38</v>
      </c>
      <c r="C949" s="11">
        <v>0</v>
      </c>
      <c r="D949" s="11">
        <v>0</v>
      </c>
      <c r="E949" s="2">
        <f t="shared" si="29"/>
        <v>0</v>
      </c>
      <c r="F949" s="11">
        <v>0.45700000000000002</v>
      </c>
      <c r="G949" s="3" t="e">
        <f t="shared" si="30"/>
        <v>#DIV/0!</v>
      </c>
    </row>
    <row r="950" spans="1:7" customFormat="1">
      <c r="A950" s="1">
        <v>18</v>
      </c>
      <c r="B950" s="1" t="s">
        <v>38</v>
      </c>
      <c r="C950" s="11">
        <v>0</v>
      </c>
      <c r="D950" s="11">
        <v>0</v>
      </c>
      <c r="E950" s="2">
        <f t="shared" si="29"/>
        <v>0</v>
      </c>
      <c r="F950" s="11">
        <v>0.52800000000000002</v>
      </c>
      <c r="G950" s="3" t="e">
        <f t="shared" si="30"/>
        <v>#DIV/0!</v>
      </c>
    </row>
    <row r="951" spans="1:7" customFormat="1">
      <c r="A951" s="1">
        <v>19</v>
      </c>
      <c r="B951" s="1" t="s">
        <v>38</v>
      </c>
      <c r="C951" s="11">
        <v>49.28</v>
      </c>
      <c r="D951" s="11">
        <v>47.74</v>
      </c>
      <c r="E951" s="2">
        <f t="shared" si="29"/>
        <v>1.5399999999999991</v>
      </c>
      <c r="F951" s="11">
        <v>1.7000000000000001E-2</v>
      </c>
      <c r="G951" s="3">
        <f t="shared" si="30"/>
        <v>3.1594967532467509E-2</v>
      </c>
    </row>
    <row r="952" spans="1:7" customFormat="1">
      <c r="A952" s="1">
        <v>20</v>
      </c>
      <c r="B952" s="1" t="s">
        <v>38</v>
      </c>
      <c r="C952" s="11">
        <v>0</v>
      </c>
      <c r="D952" s="11">
        <v>0</v>
      </c>
      <c r="E952" s="2">
        <f t="shared" si="29"/>
        <v>0</v>
      </c>
      <c r="F952" s="11">
        <v>0.60599999999999998</v>
      </c>
      <c r="G952" s="3" t="e">
        <f t="shared" si="30"/>
        <v>#DIV/0!</v>
      </c>
    </row>
    <row r="953" spans="1:7" customFormat="1">
      <c r="A953" s="1">
        <v>21</v>
      </c>
      <c r="B953" s="1" t="s">
        <v>38</v>
      </c>
      <c r="C953" s="11">
        <v>24.35</v>
      </c>
      <c r="D953" s="11">
        <v>24.21</v>
      </c>
      <c r="E953" s="2">
        <f t="shared" si="29"/>
        <v>0.14000000000000057</v>
      </c>
      <c r="F953" s="11">
        <v>0.28899999999999998</v>
      </c>
      <c r="G953" s="3">
        <f t="shared" si="30"/>
        <v>1.7618069815195092E-2</v>
      </c>
    </row>
    <row r="954" spans="1:7" customFormat="1">
      <c r="A954" s="1">
        <v>22</v>
      </c>
      <c r="B954" s="1" t="s">
        <v>38</v>
      </c>
      <c r="C954" s="11">
        <v>0</v>
      </c>
      <c r="D954" s="11">
        <v>0</v>
      </c>
      <c r="E954" s="2">
        <f t="shared" si="29"/>
        <v>0</v>
      </c>
      <c r="F954" s="11">
        <v>0.34200000000000003</v>
      </c>
      <c r="G954" s="3" t="e">
        <f t="shared" si="30"/>
        <v>#DIV/0!</v>
      </c>
    </row>
    <row r="955" spans="1:7" customFormat="1">
      <c r="A955" s="1">
        <v>23</v>
      </c>
      <c r="B955" s="1" t="s">
        <v>38</v>
      </c>
      <c r="C955" s="11">
        <v>26.16</v>
      </c>
      <c r="D955" s="11">
        <v>25.57</v>
      </c>
      <c r="E955" s="2">
        <f t="shared" si="29"/>
        <v>0.58999999999999986</v>
      </c>
      <c r="F955" s="11">
        <v>0.109</v>
      </c>
      <c r="G955" s="3">
        <f t="shared" si="30"/>
        <v>2.6720183486238527E-2</v>
      </c>
    </row>
    <row r="956" spans="1:7" customFormat="1">
      <c r="A956" s="1">
        <v>24</v>
      </c>
      <c r="B956" s="1" t="s">
        <v>38</v>
      </c>
      <c r="C956" s="11">
        <v>0</v>
      </c>
      <c r="D956" s="11">
        <v>0</v>
      </c>
      <c r="E956" s="2">
        <f t="shared" si="29"/>
        <v>0</v>
      </c>
      <c r="F956" s="11">
        <v>0.215</v>
      </c>
      <c r="G956" s="3" t="e">
        <f t="shared" si="30"/>
        <v>#DIV/0!</v>
      </c>
    </row>
    <row r="957" spans="1:7" customFormat="1">
      <c r="A957" s="1">
        <v>25</v>
      </c>
      <c r="B957" s="1" t="s">
        <v>38</v>
      </c>
      <c r="C957" s="11">
        <v>26.53</v>
      </c>
      <c r="D957" s="11">
        <v>26.2</v>
      </c>
      <c r="E957" s="2">
        <f t="shared" si="29"/>
        <v>0.33000000000000185</v>
      </c>
      <c r="F957" s="11">
        <v>0.316</v>
      </c>
      <c r="G957" s="3">
        <f t="shared" si="30"/>
        <v>2.434979268752363E-2</v>
      </c>
    </row>
    <row r="958" spans="1:7" customFormat="1">
      <c r="A958" s="1">
        <v>26</v>
      </c>
      <c r="B958" s="1" t="s">
        <v>38</v>
      </c>
      <c r="C958" s="11">
        <v>25.58</v>
      </c>
      <c r="D958" s="11">
        <v>25.26</v>
      </c>
      <c r="E958" s="2">
        <f t="shared" si="29"/>
        <v>0.31999999999999673</v>
      </c>
      <c r="F958" s="11">
        <v>0.19</v>
      </c>
      <c r="G958" s="3">
        <f t="shared" si="30"/>
        <v>1.9937451133698072E-2</v>
      </c>
    </row>
    <row r="959" spans="1:7" customFormat="1">
      <c r="A959" s="1">
        <v>27</v>
      </c>
      <c r="B959" s="1" t="s">
        <v>38</v>
      </c>
      <c r="C959" s="11">
        <v>0</v>
      </c>
      <c r="D959" s="11">
        <v>0</v>
      </c>
      <c r="E959" s="2">
        <f t="shared" si="29"/>
        <v>0</v>
      </c>
      <c r="F959" s="11">
        <v>0.23699999999999999</v>
      </c>
      <c r="G959" s="3" t="e">
        <f t="shared" si="30"/>
        <v>#DIV/0!</v>
      </c>
    </row>
    <row r="960" spans="1:7" customFormat="1">
      <c r="A960" s="1">
        <v>28</v>
      </c>
      <c r="B960" s="1" t="s">
        <v>38</v>
      </c>
      <c r="C960" s="11">
        <v>27.9</v>
      </c>
      <c r="D960" s="11">
        <v>27.44</v>
      </c>
      <c r="E960" s="2">
        <f t="shared" si="29"/>
        <v>0.4599999999999973</v>
      </c>
      <c r="F960" s="11">
        <v>0.126</v>
      </c>
      <c r="G960" s="3">
        <f t="shared" si="30"/>
        <v>2.1003584229390585E-2</v>
      </c>
    </row>
    <row r="961" spans="1:18">
      <c r="A961" s="1">
        <v>29</v>
      </c>
      <c r="B961" s="1" t="s">
        <v>38</v>
      </c>
      <c r="C961" s="11">
        <v>24.73</v>
      </c>
      <c r="D961" s="11">
        <v>24.21</v>
      </c>
      <c r="E961" s="2">
        <f t="shared" si="29"/>
        <v>0.51999999999999957</v>
      </c>
      <c r="F961" s="11">
        <v>0.151</v>
      </c>
      <c r="G961" s="3">
        <f t="shared" si="30"/>
        <v>2.7133036797412035E-2</v>
      </c>
      <c r="R961"/>
    </row>
    <row r="962" spans="1:18">
      <c r="A962" s="1">
        <v>30</v>
      </c>
      <c r="B962" s="1" t="s">
        <v>38</v>
      </c>
      <c r="C962" s="11">
        <v>0</v>
      </c>
      <c r="D962" s="11">
        <v>0</v>
      </c>
      <c r="E962" s="2">
        <f t="shared" si="29"/>
        <v>0</v>
      </c>
      <c r="F962" s="11">
        <v>0.21299999999999999</v>
      </c>
      <c r="G962" s="3" t="e">
        <f t="shared" si="30"/>
        <v>#DIV/0!</v>
      </c>
      <c r="R962"/>
    </row>
    <row r="963" spans="1:18">
      <c r="A963" s="1">
        <v>31</v>
      </c>
      <c r="B963" s="1" t="s">
        <v>38</v>
      </c>
      <c r="C963" s="11">
        <v>26.64</v>
      </c>
      <c r="D963" s="11">
        <v>26.08</v>
      </c>
      <c r="E963" s="2">
        <f t="shared" si="29"/>
        <v>0.56000000000000227</v>
      </c>
      <c r="F963" s="11">
        <v>0.111</v>
      </c>
      <c r="G963" s="3">
        <f t="shared" si="30"/>
        <v>2.5187687687687772E-2</v>
      </c>
      <c r="R963"/>
    </row>
    <row r="964" spans="1:18">
      <c r="A964" s="1">
        <v>1</v>
      </c>
      <c r="B964" s="1" t="s">
        <v>39</v>
      </c>
      <c r="C964" s="11">
        <v>30.43</v>
      </c>
      <c r="D964" s="11">
        <v>29.72</v>
      </c>
      <c r="E964" s="2">
        <f t="shared" ref="E964:E1027" si="31">C964-D964</f>
        <v>0.71000000000000085</v>
      </c>
      <c r="F964" s="11">
        <v>0.44800000000000001</v>
      </c>
      <c r="G964" s="3">
        <f t="shared" si="30"/>
        <v>3.8054551429510378E-2</v>
      </c>
      <c r="R964"/>
    </row>
    <row r="965" spans="1:18">
      <c r="A965" s="1">
        <v>2</v>
      </c>
      <c r="B965" s="1" t="s">
        <v>39</v>
      </c>
      <c r="C965" s="11">
        <v>0</v>
      </c>
      <c r="D965" s="11">
        <v>0</v>
      </c>
      <c r="E965" s="2">
        <f t="shared" si="31"/>
        <v>0</v>
      </c>
      <c r="F965" s="11">
        <v>0.17299999999999999</v>
      </c>
      <c r="G965" s="3" t="e">
        <f t="shared" si="30"/>
        <v>#DIV/0!</v>
      </c>
      <c r="R965"/>
    </row>
    <row r="966" spans="1:18">
      <c r="A966" s="1">
        <v>3</v>
      </c>
      <c r="B966" s="1" t="s">
        <v>39</v>
      </c>
      <c r="C966" s="11">
        <v>28.69</v>
      </c>
      <c r="D966" s="11">
        <v>27.93</v>
      </c>
      <c r="E966" s="2">
        <f t="shared" si="31"/>
        <v>0.76000000000000156</v>
      </c>
      <c r="F966" s="11">
        <v>0.32300000000000001</v>
      </c>
      <c r="G966" s="3">
        <f t="shared" si="30"/>
        <v>3.7748344370860977E-2</v>
      </c>
      <c r="R966"/>
    </row>
    <row r="967" spans="1:18">
      <c r="A967" s="1">
        <v>4</v>
      </c>
      <c r="B967" s="1" t="s">
        <v>39</v>
      </c>
      <c r="C967" s="11">
        <v>25.93</v>
      </c>
      <c r="D967" s="11">
        <v>25.38</v>
      </c>
      <c r="E967" s="2">
        <f t="shared" si="31"/>
        <v>0.55000000000000071</v>
      </c>
      <c r="F967" s="11">
        <v>0.17499999999999999</v>
      </c>
      <c r="G967" s="3">
        <f t="shared" si="30"/>
        <v>2.7959892016968791E-2</v>
      </c>
      <c r="R967"/>
    </row>
    <row r="968" spans="1:18">
      <c r="A968" s="1">
        <v>5</v>
      </c>
      <c r="B968" s="1" t="s">
        <v>39</v>
      </c>
      <c r="C968" s="11">
        <v>24.91</v>
      </c>
      <c r="D968" s="11">
        <v>24.23</v>
      </c>
      <c r="E968" s="2">
        <f t="shared" si="31"/>
        <v>0.67999999999999972</v>
      </c>
      <c r="F968" s="11">
        <v>0.24299999999999999</v>
      </c>
      <c r="G968" s="3">
        <f t="shared" si="30"/>
        <v>3.7053392211963056E-2</v>
      </c>
      <c r="R968"/>
    </row>
    <row r="969" spans="1:18">
      <c r="A969" s="1">
        <v>6</v>
      </c>
      <c r="B969" s="1" t="s">
        <v>39</v>
      </c>
      <c r="C969" s="11">
        <v>0</v>
      </c>
      <c r="D969" s="11">
        <v>0</v>
      </c>
      <c r="E969" s="2">
        <f t="shared" si="31"/>
        <v>0</v>
      </c>
      <c r="F969" s="11">
        <v>0.19500000000000001</v>
      </c>
      <c r="G969" s="3" t="e">
        <f t="shared" si="30"/>
        <v>#DIV/0!</v>
      </c>
      <c r="R969"/>
    </row>
    <row r="970" spans="1:18">
      <c r="A970" s="1">
        <v>7</v>
      </c>
      <c r="B970" s="1" t="s">
        <v>39</v>
      </c>
      <c r="C970" s="11">
        <v>0</v>
      </c>
      <c r="D970" s="11">
        <v>0</v>
      </c>
      <c r="E970" s="2">
        <f t="shared" si="31"/>
        <v>0</v>
      </c>
      <c r="F970" s="11">
        <v>0.17199999999999999</v>
      </c>
      <c r="G970" s="3" t="e">
        <f t="shared" si="30"/>
        <v>#DIV/0!</v>
      </c>
      <c r="R970"/>
    </row>
    <row r="971" spans="1:18">
      <c r="A971" s="1">
        <v>10</v>
      </c>
      <c r="B971" s="1" t="s">
        <v>39</v>
      </c>
      <c r="C971" s="11">
        <v>0</v>
      </c>
      <c r="D971" s="11">
        <v>0</v>
      </c>
      <c r="E971" s="2">
        <f t="shared" si="31"/>
        <v>0</v>
      </c>
      <c r="F971" s="11">
        <v>0</v>
      </c>
      <c r="G971" s="3" t="e">
        <f t="shared" si="30"/>
        <v>#DIV/0!</v>
      </c>
      <c r="R971"/>
    </row>
    <row r="972" spans="1:18">
      <c r="A972" s="1">
        <v>8</v>
      </c>
      <c r="B972" s="1" t="s">
        <v>39</v>
      </c>
      <c r="C972" s="11">
        <v>0</v>
      </c>
      <c r="D972" s="11">
        <v>0</v>
      </c>
      <c r="E972" s="2">
        <f t="shared" si="31"/>
        <v>0</v>
      </c>
      <c r="F972" s="11">
        <v>0.155</v>
      </c>
      <c r="G972" s="3" t="e">
        <f t="shared" si="30"/>
        <v>#DIV/0!</v>
      </c>
    </row>
    <row r="973" spans="1:18">
      <c r="A973" s="1">
        <v>9</v>
      </c>
      <c r="B973" s="1" t="s">
        <v>39</v>
      </c>
      <c r="C973" s="11">
        <v>28.69</v>
      </c>
      <c r="D973" s="11">
        <v>28</v>
      </c>
      <c r="E973" s="2">
        <f t="shared" si="31"/>
        <v>0.69000000000000128</v>
      </c>
      <c r="F973" s="11">
        <v>0.26500000000000001</v>
      </c>
      <c r="G973" s="3">
        <f t="shared" si="30"/>
        <v>3.3286859532938348E-2</v>
      </c>
      <c r="R973"/>
    </row>
    <row r="974" spans="1:18">
      <c r="A974" s="1">
        <v>11</v>
      </c>
      <c r="B974" s="1" t="s">
        <v>39</v>
      </c>
      <c r="C974" s="11">
        <v>28.18</v>
      </c>
      <c r="D974" s="11">
        <v>27.83</v>
      </c>
      <c r="E974" s="2">
        <f t="shared" si="31"/>
        <v>0.35000000000000142</v>
      </c>
      <c r="F974" s="11">
        <v>0.33400000000000002</v>
      </c>
      <c r="G974" s="3">
        <f t="shared" si="30"/>
        <v>2.427253371185243E-2</v>
      </c>
      <c r="R974"/>
    </row>
    <row r="975" spans="1:18">
      <c r="A975" s="1">
        <v>12</v>
      </c>
      <c r="B975" s="1" t="s">
        <v>39</v>
      </c>
      <c r="C975" s="11">
        <v>24.53</v>
      </c>
      <c r="D975" s="11">
        <v>23.88</v>
      </c>
      <c r="E975" s="2">
        <f t="shared" si="31"/>
        <v>0.65000000000000213</v>
      </c>
      <c r="F975" s="11">
        <v>0.33300000000000002</v>
      </c>
      <c r="G975" s="3">
        <f t="shared" si="30"/>
        <v>4.0073379535263028E-2</v>
      </c>
      <c r="R975"/>
    </row>
    <row r="976" spans="1:18">
      <c r="A976" s="1">
        <v>13</v>
      </c>
      <c r="B976" s="1" t="s">
        <v>39</v>
      </c>
      <c r="C976" s="11">
        <v>26.14</v>
      </c>
      <c r="D976" s="11">
        <v>25.55</v>
      </c>
      <c r="E976" s="2">
        <f t="shared" si="31"/>
        <v>0.58999999999999986</v>
      </c>
      <c r="F976" s="11">
        <v>0.32300000000000001</v>
      </c>
      <c r="G976" s="3">
        <f t="shared" si="30"/>
        <v>3.4927314460596777E-2</v>
      </c>
      <c r="R976"/>
    </row>
    <row r="977" spans="1:7" customFormat="1">
      <c r="A977" s="1">
        <v>14</v>
      </c>
      <c r="B977" s="1" t="s">
        <v>39</v>
      </c>
      <c r="C977" s="11">
        <v>28.05</v>
      </c>
      <c r="D977" s="11">
        <v>27.91</v>
      </c>
      <c r="E977" s="2">
        <f t="shared" si="31"/>
        <v>0.14000000000000057</v>
      </c>
      <c r="F977" s="11">
        <v>0.35499999999999998</v>
      </c>
      <c r="G977" s="3">
        <f t="shared" si="30"/>
        <v>1.7647058823529432E-2</v>
      </c>
    </row>
    <row r="978" spans="1:7" customFormat="1">
      <c r="A978" s="1">
        <v>15</v>
      </c>
      <c r="B978" s="1" t="s">
        <v>39</v>
      </c>
      <c r="C978" s="11">
        <v>26.76</v>
      </c>
      <c r="D978" s="11">
        <v>25.8</v>
      </c>
      <c r="E978" s="2">
        <f t="shared" si="31"/>
        <v>0.96000000000000085</v>
      </c>
      <c r="F978" s="11">
        <v>0.317</v>
      </c>
      <c r="G978" s="3">
        <f t="shared" si="30"/>
        <v>4.7720478325859517E-2</v>
      </c>
    </row>
    <row r="979" spans="1:7" customFormat="1">
      <c r="A979" s="1">
        <v>16</v>
      </c>
      <c r="B979" s="1" t="s">
        <v>39</v>
      </c>
      <c r="C979" s="11">
        <v>22.85</v>
      </c>
      <c r="D979" s="11">
        <v>21.98</v>
      </c>
      <c r="E979" s="2">
        <f t="shared" si="31"/>
        <v>0.87000000000000099</v>
      </c>
      <c r="F979" s="11">
        <v>0.45600000000000002</v>
      </c>
      <c r="G979" s="3">
        <f t="shared" si="30"/>
        <v>5.8030634573304193E-2</v>
      </c>
    </row>
    <row r="980" spans="1:7" customFormat="1">
      <c r="A980" s="1">
        <v>17</v>
      </c>
      <c r="B980" s="1" t="s">
        <v>39</v>
      </c>
      <c r="C980" s="11">
        <v>50.22</v>
      </c>
      <c r="D980" s="11">
        <v>48.81</v>
      </c>
      <c r="E980" s="2">
        <f t="shared" si="31"/>
        <v>1.4099999999999966</v>
      </c>
      <c r="F980" s="11">
        <v>0.47399999999999998</v>
      </c>
      <c r="G980" s="3">
        <f t="shared" si="30"/>
        <v>3.751493428912777E-2</v>
      </c>
    </row>
    <row r="981" spans="1:7" customFormat="1">
      <c r="A981" s="1">
        <v>18</v>
      </c>
      <c r="B981" s="1" t="s">
        <v>39</v>
      </c>
      <c r="C981" s="11">
        <v>25.64</v>
      </c>
      <c r="D981" s="11">
        <v>25.69</v>
      </c>
      <c r="E981" s="2">
        <f t="shared" si="31"/>
        <v>-5.0000000000000711E-2</v>
      </c>
      <c r="F981" s="11">
        <v>0.36799999999999999</v>
      </c>
      <c r="G981" s="3">
        <f t="shared" si="30"/>
        <v>1.2402496099843965E-2</v>
      </c>
    </row>
    <row r="982" spans="1:7" customFormat="1">
      <c r="A982" s="1">
        <v>19</v>
      </c>
      <c r="B982" s="1" t="s">
        <v>39</v>
      </c>
      <c r="C982" s="11">
        <v>0</v>
      </c>
      <c r="D982" s="11">
        <v>0</v>
      </c>
      <c r="E982" s="2">
        <f t="shared" si="31"/>
        <v>0</v>
      </c>
      <c r="F982" s="11">
        <v>0.34799999999999998</v>
      </c>
      <c r="G982" s="3" t="e">
        <f t="shared" si="30"/>
        <v>#DIV/0!</v>
      </c>
    </row>
    <row r="983" spans="1:7" customFormat="1">
      <c r="A983" s="1">
        <v>20</v>
      </c>
      <c r="B983" s="1" t="s">
        <v>39</v>
      </c>
      <c r="C983" s="11">
        <v>0</v>
      </c>
      <c r="D983" s="11">
        <v>0</v>
      </c>
      <c r="E983" s="2">
        <f t="shared" si="31"/>
        <v>0</v>
      </c>
      <c r="F983" s="11">
        <v>0.106</v>
      </c>
      <c r="G983" s="3" t="e">
        <f t="shared" si="30"/>
        <v>#DIV/0!</v>
      </c>
    </row>
    <row r="984" spans="1:7" customFormat="1">
      <c r="A984" s="1">
        <v>21</v>
      </c>
      <c r="B984" s="1" t="s">
        <v>39</v>
      </c>
      <c r="C984" s="11">
        <v>0</v>
      </c>
      <c r="D984" s="11">
        <v>0</v>
      </c>
      <c r="E984" s="2">
        <f t="shared" si="31"/>
        <v>0</v>
      </c>
      <c r="F984" s="11">
        <v>7.5999999999999998E-2</v>
      </c>
      <c r="G984" s="3" t="e">
        <f t="shared" si="30"/>
        <v>#DIV/0!</v>
      </c>
    </row>
    <row r="985" spans="1:7" customFormat="1">
      <c r="A985" s="1">
        <v>22</v>
      </c>
      <c r="B985" s="1" t="s">
        <v>39</v>
      </c>
      <c r="C985" s="11">
        <v>39.74</v>
      </c>
      <c r="D985" s="11">
        <v>38.15</v>
      </c>
      <c r="E985" s="2">
        <f t="shared" si="31"/>
        <v>1.5900000000000034</v>
      </c>
      <c r="F985" s="11">
        <v>0.315</v>
      </c>
      <c r="G985" s="3">
        <f t="shared" si="30"/>
        <v>4.7936587820835513E-2</v>
      </c>
    </row>
    <row r="986" spans="1:7" customFormat="1">
      <c r="A986" s="1">
        <v>23</v>
      </c>
      <c r="B986" s="1" t="s">
        <v>39</v>
      </c>
      <c r="C986" s="11">
        <v>24.23</v>
      </c>
      <c r="D986" s="11">
        <v>24.03</v>
      </c>
      <c r="E986" s="2">
        <f t="shared" si="31"/>
        <v>0.19999999999999929</v>
      </c>
      <c r="F986" s="11">
        <v>0.33700000000000002</v>
      </c>
      <c r="G986" s="3">
        <f t="shared" si="30"/>
        <v>2.2162608336772565E-2</v>
      </c>
    </row>
    <row r="987" spans="1:7" customFormat="1">
      <c r="A987" s="1">
        <v>24</v>
      </c>
      <c r="B987" s="1" t="s">
        <v>39</v>
      </c>
      <c r="C987" s="11">
        <v>22.93</v>
      </c>
      <c r="D987" s="11">
        <v>22.4</v>
      </c>
      <c r="E987" s="2">
        <f t="shared" si="31"/>
        <v>0.53000000000000114</v>
      </c>
      <c r="F987" s="11">
        <v>0.34300000000000003</v>
      </c>
      <c r="G987" s="3">
        <f t="shared" si="30"/>
        <v>3.8072394243349371E-2</v>
      </c>
    </row>
    <row r="988" spans="1:7" customFormat="1">
      <c r="A988" s="1">
        <v>25</v>
      </c>
      <c r="B988" s="1" t="s">
        <v>39</v>
      </c>
      <c r="C988" s="11">
        <v>28.87</v>
      </c>
      <c r="D988" s="11">
        <v>28.66</v>
      </c>
      <c r="E988" s="2">
        <f t="shared" si="31"/>
        <v>0.21000000000000085</v>
      </c>
      <c r="F988" s="11">
        <v>0.26800000000000002</v>
      </c>
      <c r="G988" s="3">
        <f t="shared" si="30"/>
        <v>1.6556979563560819E-2</v>
      </c>
    </row>
    <row r="989" spans="1:7" customFormat="1">
      <c r="A989" s="1">
        <v>26</v>
      </c>
      <c r="B989" s="1" t="s">
        <v>39</v>
      </c>
      <c r="C989" s="11">
        <v>52.4</v>
      </c>
      <c r="D989" s="11">
        <v>51.11</v>
      </c>
      <c r="E989" s="2">
        <f t="shared" si="31"/>
        <v>1.2899999999999991</v>
      </c>
      <c r="F989" s="11">
        <v>0.251</v>
      </c>
      <c r="G989" s="3">
        <f t="shared" si="30"/>
        <v>2.9408396946564868E-2</v>
      </c>
    </row>
    <row r="990" spans="1:7" customFormat="1">
      <c r="A990" s="1">
        <v>27</v>
      </c>
      <c r="B990" s="1" t="s">
        <v>39</v>
      </c>
      <c r="C990" s="11">
        <v>0</v>
      </c>
      <c r="D990" s="11">
        <v>0</v>
      </c>
      <c r="E990" s="2">
        <f t="shared" si="31"/>
        <v>0</v>
      </c>
      <c r="F990" s="11">
        <v>0.32700000000000173</v>
      </c>
      <c r="G990" s="3" t="e">
        <f t="shared" si="30"/>
        <v>#DIV/0!</v>
      </c>
    </row>
    <row r="991" spans="1:7" customFormat="1">
      <c r="A991" s="1">
        <v>28</v>
      </c>
      <c r="B991" s="1" t="s">
        <v>39</v>
      </c>
      <c r="C991" s="11">
        <v>0</v>
      </c>
      <c r="D991" s="11">
        <v>0</v>
      </c>
      <c r="E991" s="2">
        <f t="shared" si="31"/>
        <v>0</v>
      </c>
      <c r="F991" s="11">
        <v>7.9000000000000001E-2</v>
      </c>
      <c r="G991" s="3" t="e">
        <f t="shared" si="30"/>
        <v>#DIV/0!</v>
      </c>
    </row>
    <row r="992" spans="1:7" customFormat="1">
      <c r="A992" s="1">
        <v>29</v>
      </c>
      <c r="B992" s="1" t="s">
        <v>39</v>
      </c>
      <c r="C992" s="11">
        <v>27.36</v>
      </c>
      <c r="D992" s="11">
        <v>26.92</v>
      </c>
      <c r="E992" s="2">
        <f t="shared" si="31"/>
        <v>0.43999999999999773</v>
      </c>
      <c r="F992" s="11">
        <v>0.316</v>
      </c>
      <c r="G992" s="3">
        <f t="shared" si="30"/>
        <v>2.763157894736834E-2</v>
      </c>
    </row>
    <row r="993" spans="1:18">
      <c r="A993" s="1">
        <v>30</v>
      </c>
      <c r="B993" s="1" t="s">
        <v>39</v>
      </c>
      <c r="C993" s="11">
        <v>23.75</v>
      </c>
      <c r="D993" s="11">
        <v>22.9</v>
      </c>
      <c r="E993" s="2">
        <f t="shared" si="31"/>
        <v>0.85000000000000142</v>
      </c>
      <c r="F993" s="11">
        <v>0.374</v>
      </c>
      <c r="G993" s="3">
        <f t="shared" si="30"/>
        <v>5.1536842105263221E-2</v>
      </c>
      <c r="R993"/>
    </row>
    <row r="994" spans="1:18">
      <c r="A994" s="1">
        <v>31</v>
      </c>
      <c r="B994" s="1" t="s">
        <v>39</v>
      </c>
      <c r="C994" s="11">
        <v>28.29</v>
      </c>
      <c r="D994" s="11">
        <v>27.89</v>
      </c>
      <c r="E994" s="2">
        <f t="shared" si="31"/>
        <v>0.39999999999999858</v>
      </c>
      <c r="F994" s="11">
        <v>0.35499999999999998</v>
      </c>
      <c r="G994" s="3">
        <f t="shared" si="30"/>
        <v>2.6687875574407868E-2</v>
      </c>
      <c r="R994"/>
    </row>
    <row r="995" spans="1:18">
      <c r="A995" s="1">
        <v>1</v>
      </c>
      <c r="B995" s="1" t="s">
        <v>66</v>
      </c>
      <c r="C995" s="11">
        <v>0</v>
      </c>
      <c r="D995" s="11">
        <v>0</v>
      </c>
      <c r="E995" s="2">
        <f t="shared" si="31"/>
        <v>0</v>
      </c>
      <c r="F995" s="11">
        <v>0.01</v>
      </c>
      <c r="G995" s="3" t="e">
        <f t="shared" si="30"/>
        <v>#DIV/0!</v>
      </c>
      <c r="R995"/>
    </row>
    <row r="996" spans="1:18">
      <c r="A996" s="1">
        <v>2</v>
      </c>
      <c r="B996" s="1" t="s">
        <v>66</v>
      </c>
      <c r="C996" s="11">
        <v>25</v>
      </c>
      <c r="D996" s="11">
        <v>24.68</v>
      </c>
      <c r="E996" s="2">
        <f t="shared" si="31"/>
        <v>0.32000000000000028</v>
      </c>
      <c r="F996" s="11">
        <v>1.4999999999999999E-2</v>
      </c>
      <c r="G996" s="3">
        <f t="shared" si="30"/>
        <v>1.3400000000000013E-2</v>
      </c>
      <c r="R996"/>
    </row>
    <row r="997" spans="1:18">
      <c r="A997" s="1">
        <v>3</v>
      </c>
      <c r="B997" s="1" t="s">
        <v>66</v>
      </c>
      <c r="C997" s="11">
        <v>0</v>
      </c>
      <c r="D997" s="11">
        <v>0</v>
      </c>
      <c r="E997" s="2">
        <f t="shared" si="31"/>
        <v>0</v>
      </c>
      <c r="F997" s="11">
        <v>0.03</v>
      </c>
      <c r="G997" s="3" t="e">
        <f t="shared" ref="G997:G1056" si="32">(E997+F997)/C997</f>
        <v>#DIV/0!</v>
      </c>
      <c r="R997"/>
    </row>
    <row r="998" spans="1:18">
      <c r="A998" s="1">
        <v>4</v>
      </c>
      <c r="B998" s="1" t="s">
        <v>66</v>
      </c>
      <c r="C998" s="11">
        <v>0</v>
      </c>
      <c r="D998" s="11">
        <v>0</v>
      </c>
      <c r="E998" s="2">
        <f t="shared" si="31"/>
        <v>0</v>
      </c>
      <c r="F998" s="11">
        <v>2.1999999999999999E-2</v>
      </c>
      <c r="G998" s="3" t="e">
        <f t="shared" si="32"/>
        <v>#DIV/0!</v>
      </c>
      <c r="R998"/>
    </row>
    <row r="999" spans="1:18">
      <c r="A999" s="1">
        <v>5</v>
      </c>
      <c r="B999" s="1" t="s">
        <v>66</v>
      </c>
      <c r="C999" s="11">
        <v>0</v>
      </c>
      <c r="D999" s="11">
        <v>0</v>
      </c>
      <c r="E999" s="2">
        <f t="shared" si="31"/>
        <v>0</v>
      </c>
      <c r="F999" s="11">
        <v>3.2000000000000001E-2</v>
      </c>
      <c r="G999" s="3" t="e">
        <f t="shared" si="32"/>
        <v>#DIV/0!</v>
      </c>
      <c r="R999"/>
    </row>
    <row r="1000" spans="1:18">
      <c r="A1000" s="1">
        <v>6</v>
      </c>
      <c r="B1000" s="1" t="s">
        <v>66</v>
      </c>
      <c r="C1000" s="11">
        <v>5.26</v>
      </c>
      <c r="D1000" s="11">
        <v>5.13</v>
      </c>
      <c r="E1000" s="2">
        <f t="shared" si="31"/>
        <v>0.12999999999999989</v>
      </c>
      <c r="F1000" s="11">
        <v>5.8000000000000003E-2</v>
      </c>
      <c r="G1000" s="3">
        <f t="shared" si="32"/>
        <v>3.574144486692013E-2</v>
      </c>
      <c r="R1000"/>
    </row>
    <row r="1001" spans="1:18">
      <c r="A1001" s="1">
        <v>7</v>
      </c>
      <c r="B1001" s="1" t="s">
        <v>66</v>
      </c>
      <c r="C1001" s="11">
        <v>14.27</v>
      </c>
      <c r="D1001" s="11">
        <v>14.19</v>
      </c>
      <c r="E1001" s="2">
        <f t="shared" si="31"/>
        <v>8.0000000000000071E-2</v>
      </c>
      <c r="F1001" s="11">
        <v>3.5000000000000003E-2</v>
      </c>
      <c r="G1001" s="3">
        <f t="shared" si="32"/>
        <v>8.0588647512263543E-3</v>
      </c>
      <c r="R1001"/>
    </row>
    <row r="1002" spans="1:18">
      <c r="A1002" s="1">
        <v>10</v>
      </c>
      <c r="B1002" s="1" t="s">
        <v>66</v>
      </c>
      <c r="C1002" s="11">
        <v>9.77</v>
      </c>
      <c r="D1002" s="11">
        <v>9.51</v>
      </c>
      <c r="E1002" s="2">
        <f t="shared" si="31"/>
        <v>0.25999999999999979</v>
      </c>
      <c r="F1002" s="11">
        <v>1.4999999999999999E-2</v>
      </c>
      <c r="G1002" s="3">
        <f t="shared" si="32"/>
        <v>2.8147389969293737E-2</v>
      </c>
      <c r="R1002"/>
    </row>
    <row r="1003" spans="1:18">
      <c r="A1003" s="1">
        <v>8</v>
      </c>
      <c r="B1003" s="1" t="s">
        <v>66</v>
      </c>
      <c r="C1003" s="11">
        <v>9.06</v>
      </c>
      <c r="D1003" s="11">
        <v>8.64</v>
      </c>
      <c r="E1003" s="2">
        <f t="shared" si="31"/>
        <v>0.41999999999999993</v>
      </c>
      <c r="F1003" s="11">
        <v>8.0000000000000002E-3</v>
      </c>
      <c r="G1003" s="3">
        <f t="shared" si="32"/>
        <v>4.7240618101545243E-2</v>
      </c>
    </row>
    <row r="1004" spans="1:18">
      <c r="A1004" s="1">
        <v>9</v>
      </c>
      <c r="B1004" s="1" t="s">
        <v>66</v>
      </c>
      <c r="C1004" s="11">
        <v>13.12</v>
      </c>
      <c r="D1004" s="11">
        <v>13</v>
      </c>
      <c r="E1004" s="2">
        <f t="shared" si="31"/>
        <v>0.11999999999999922</v>
      </c>
      <c r="F1004" s="11">
        <v>6.6999999999999726E-2</v>
      </c>
      <c r="G1004" s="3">
        <f t="shared" si="32"/>
        <v>1.4253048780487726E-2</v>
      </c>
      <c r="R1004"/>
    </row>
    <row r="1005" spans="1:18">
      <c r="A1005" s="1">
        <v>11</v>
      </c>
      <c r="B1005" s="1" t="s">
        <v>66</v>
      </c>
      <c r="C1005" s="11">
        <v>8.35</v>
      </c>
      <c r="D1005" s="11">
        <v>8.24</v>
      </c>
      <c r="E1005" s="2">
        <f t="shared" si="31"/>
        <v>0.10999999999999943</v>
      </c>
      <c r="F1005" s="11">
        <v>3.8000000000002032E-2</v>
      </c>
      <c r="G1005" s="3">
        <f t="shared" si="32"/>
        <v>1.772455089820377E-2</v>
      </c>
      <c r="R1005"/>
    </row>
    <row r="1006" spans="1:18">
      <c r="A1006" s="1">
        <v>12</v>
      </c>
      <c r="B1006" s="1" t="s">
        <v>66</v>
      </c>
      <c r="C1006" s="11">
        <v>6.25</v>
      </c>
      <c r="D1006" s="11">
        <v>6.11</v>
      </c>
      <c r="E1006" s="2">
        <f t="shared" si="31"/>
        <v>0.13999999999999968</v>
      </c>
      <c r="F1006" s="11">
        <v>3.2000000000000001E-2</v>
      </c>
      <c r="G1006" s="3">
        <f t="shared" si="32"/>
        <v>2.7519999999999947E-2</v>
      </c>
      <c r="R1006"/>
    </row>
    <row r="1007" spans="1:18">
      <c r="A1007" s="1">
        <v>13</v>
      </c>
      <c r="B1007" s="1" t="s">
        <v>66</v>
      </c>
      <c r="C1007" s="11">
        <v>5.88</v>
      </c>
      <c r="D1007" s="11">
        <v>5.61</v>
      </c>
      <c r="E1007" s="2">
        <f t="shared" si="31"/>
        <v>0.26999999999999957</v>
      </c>
      <c r="F1007" s="11">
        <v>1.7999999999999999E-2</v>
      </c>
      <c r="G1007" s="3">
        <f t="shared" si="32"/>
        <v>4.8979591836734622E-2</v>
      </c>
      <c r="R1007"/>
    </row>
    <row r="1008" spans="1:18">
      <c r="A1008" s="1">
        <v>14</v>
      </c>
      <c r="B1008" s="1" t="s">
        <v>66</v>
      </c>
      <c r="C1008" s="11">
        <v>0</v>
      </c>
      <c r="D1008" s="11">
        <v>0</v>
      </c>
      <c r="E1008" s="2">
        <f t="shared" si="31"/>
        <v>0</v>
      </c>
      <c r="F1008" s="11">
        <v>5.7000000000000002E-2</v>
      </c>
      <c r="G1008" s="3" t="e">
        <f t="shared" si="32"/>
        <v>#DIV/0!</v>
      </c>
      <c r="R1008"/>
    </row>
    <row r="1009" spans="1:7" customFormat="1">
      <c r="A1009" s="1">
        <v>15</v>
      </c>
      <c r="B1009" s="1" t="s">
        <v>66</v>
      </c>
      <c r="C1009" s="11">
        <v>8.56</v>
      </c>
      <c r="D1009" s="11">
        <v>8.27</v>
      </c>
      <c r="E1009" s="2">
        <f t="shared" si="31"/>
        <v>0.29000000000000092</v>
      </c>
      <c r="F1009" s="11">
        <v>8.0000000000000002E-3</v>
      </c>
      <c r="G1009" s="3">
        <f t="shared" si="32"/>
        <v>3.4813084112149638E-2</v>
      </c>
    </row>
    <row r="1010" spans="1:7" customFormat="1">
      <c r="A1010" s="1">
        <v>16</v>
      </c>
      <c r="B1010" s="1" t="s">
        <v>66</v>
      </c>
      <c r="C1010" s="11">
        <v>8.83</v>
      </c>
      <c r="D1010" s="11">
        <v>8.4700000000000006</v>
      </c>
      <c r="E1010" s="2">
        <f t="shared" si="31"/>
        <v>0.35999999999999943</v>
      </c>
      <c r="F1010" s="11">
        <v>1.2E-2</v>
      </c>
      <c r="G1010" s="3">
        <f t="shared" si="32"/>
        <v>4.2129105322763247E-2</v>
      </c>
    </row>
    <row r="1011" spans="1:7" customFormat="1">
      <c r="A1011" s="1">
        <v>17</v>
      </c>
      <c r="B1011" s="1" t="s">
        <v>66</v>
      </c>
      <c r="C1011" s="11">
        <v>11.99</v>
      </c>
      <c r="D1011" s="11">
        <v>11.65</v>
      </c>
      <c r="E1011" s="2">
        <f t="shared" si="31"/>
        <v>0.33999999999999986</v>
      </c>
      <c r="F1011" s="11">
        <v>2.7E-2</v>
      </c>
      <c r="G1011" s="3">
        <f t="shared" si="32"/>
        <v>3.0608840700583808E-2</v>
      </c>
    </row>
    <row r="1012" spans="1:7" customFormat="1">
      <c r="A1012" s="1">
        <v>18</v>
      </c>
      <c r="B1012" s="1" t="s">
        <v>66</v>
      </c>
      <c r="C1012" s="11">
        <v>7.94</v>
      </c>
      <c r="D1012" s="11">
        <v>7.78</v>
      </c>
      <c r="E1012" s="2">
        <f t="shared" si="31"/>
        <v>0.16000000000000014</v>
      </c>
      <c r="F1012" s="11">
        <v>2.1000000000000001E-2</v>
      </c>
      <c r="G1012" s="3">
        <f t="shared" si="32"/>
        <v>2.2795969773299764E-2</v>
      </c>
    </row>
    <row r="1013" spans="1:7" customFormat="1">
      <c r="A1013" s="1">
        <v>19</v>
      </c>
      <c r="B1013" s="1" t="s">
        <v>66</v>
      </c>
      <c r="C1013" s="11">
        <v>6.49</v>
      </c>
      <c r="D1013" s="11">
        <v>6.27</v>
      </c>
      <c r="E1013" s="2">
        <f t="shared" si="31"/>
        <v>0.22000000000000064</v>
      </c>
      <c r="F1013" s="11">
        <v>1.4E-2</v>
      </c>
      <c r="G1013" s="3">
        <f t="shared" si="32"/>
        <v>3.6055469953775135E-2</v>
      </c>
    </row>
    <row r="1014" spans="1:7" customFormat="1">
      <c r="A1014" s="1">
        <v>20</v>
      </c>
      <c r="B1014" s="1" t="s">
        <v>66</v>
      </c>
      <c r="C1014" s="11">
        <v>11.25</v>
      </c>
      <c r="D1014" s="11">
        <v>11.04</v>
      </c>
      <c r="E1014" s="2">
        <f t="shared" si="31"/>
        <v>0.21000000000000085</v>
      </c>
      <c r="F1014" s="11">
        <v>3.1E-2</v>
      </c>
      <c r="G1014" s="3">
        <f t="shared" si="32"/>
        <v>2.1422222222222297E-2</v>
      </c>
    </row>
    <row r="1015" spans="1:7" customFormat="1">
      <c r="A1015" s="1">
        <v>21</v>
      </c>
      <c r="B1015" s="1" t="s">
        <v>66</v>
      </c>
      <c r="C1015" s="11">
        <v>8.11</v>
      </c>
      <c r="D1015" s="11">
        <v>7.99</v>
      </c>
      <c r="E1015" s="2">
        <f t="shared" si="31"/>
        <v>0.11999999999999922</v>
      </c>
      <c r="F1015" s="11">
        <v>0</v>
      </c>
      <c r="G1015" s="3">
        <f t="shared" si="32"/>
        <v>1.4796547472256378E-2</v>
      </c>
    </row>
    <row r="1016" spans="1:7" customFormat="1">
      <c r="A1016" s="1">
        <v>22</v>
      </c>
      <c r="B1016" s="1" t="s">
        <v>66</v>
      </c>
      <c r="C1016" s="11">
        <v>4.62</v>
      </c>
      <c r="D1016" s="11">
        <v>4.45</v>
      </c>
      <c r="E1016" s="2">
        <f t="shared" si="31"/>
        <v>0.16999999999999993</v>
      </c>
      <c r="F1016" s="11">
        <v>-0.27500000000000002</v>
      </c>
      <c r="G1016" s="3">
        <f t="shared" si="32"/>
        <v>-2.2727272727272745E-2</v>
      </c>
    </row>
    <row r="1017" spans="1:7" customFormat="1">
      <c r="A1017" s="1">
        <v>23</v>
      </c>
      <c r="B1017" s="1" t="s">
        <v>66</v>
      </c>
      <c r="C1017" s="11">
        <v>5.94</v>
      </c>
      <c r="D1017" s="11">
        <v>5.75</v>
      </c>
      <c r="E1017" s="2">
        <f t="shared" si="31"/>
        <v>0.19000000000000039</v>
      </c>
      <c r="F1017" s="11">
        <v>1.7999999999999999E-2</v>
      </c>
      <c r="G1017" s="3">
        <f t="shared" si="32"/>
        <v>3.5016835016835078E-2</v>
      </c>
    </row>
    <row r="1018" spans="1:7" customFormat="1">
      <c r="A1018" s="1">
        <v>24</v>
      </c>
      <c r="B1018" s="1" t="s">
        <v>66</v>
      </c>
      <c r="C1018" s="11">
        <v>18.940000000000001</v>
      </c>
      <c r="D1018" s="11">
        <v>18.559999999999999</v>
      </c>
      <c r="E1018" s="2">
        <f t="shared" si="31"/>
        <v>0.38000000000000256</v>
      </c>
      <c r="F1018" s="11">
        <v>0.01</v>
      </c>
      <c r="G1018" s="3">
        <f t="shared" si="32"/>
        <v>2.0591341077085667E-2</v>
      </c>
    </row>
    <row r="1019" spans="1:7" customFormat="1">
      <c r="A1019" s="1">
        <v>25</v>
      </c>
      <c r="B1019" s="1" t="s">
        <v>66</v>
      </c>
      <c r="C1019" s="11">
        <v>19.02</v>
      </c>
      <c r="D1019" s="11">
        <v>18.829999999999998</v>
      </c>
      <c r="E1019" s="2">
        <f t="shared" si="31"/>
        <v>0.19000000000000128</v>
      </c>
      <c r="F1019" s="11">
        <v>0.10100000000000001</v>
      </c>
      <c r="G1019" s="3">
        <f t="shared" si="32"/>
        <v>1.5299684542586817E-2</v>
      </c>
    </row>
    <row r="1020" spans="1:7" customFormat="1">
      <c r="A1020" s="1">
        <v>26</v>
      </c>
      <c r="B1020" s="1" t="s">
        <v>66</v>
      </c>
      <c r="C1020" s="11">
        <v>10.51</v>
      </c>
      <c r="D1020" s="11">
        <v>10.17</v>
      </c>
      <c r="E1020" s="2">
        <f t="shared" si="31"/>
        <v>0.33999999999999986</v>
      </c>
      <c r="F1020" s="11">
        <v>9.2999999999999999E-2</v>
      </c>
      <c r="G1020" s="3">
        <f t="shared" si="32"/>
        <v>4.1198858230256881E-2</v>
      </c>
    </row>
    <row r="1021" spans="1:7" customFormat="1">
      <c r="A1021" s="1">
        <v>27</v>
      </c>
      <c r="B1021" s="1" t="s">
        <v>66</v>
      </c>
      <c r="C1021" s="11">
        <v>7.77</v>
      </c>
      <c r="D1021" s="11">
        <v>7.62</v>
      </c>
      <c r="E1021" s="2">
        <f t="shared" si="31"/>
        <v>0.14999999999999947</v>
      </c>
      <c r="F1021" s="11">
        <v>2.7E-2</v>
      </c>
      <c r="G1021" s="3">
        <f t="shared" si="32"/>
        <v>2.2779922779922711E-2</v>
      </c>
    </row>
    <row r="1022" spans="1:7" customFormat="1">
      <c r="A1022" s="1">
        <v>28</v>
      </c>
      <c r="B1022" s="1" t="s">
        <v>66</v>
      </c>
      <c r="C1022" s="11">
        <v>14.35</v>
      </c>
      <c r="D1022" s="11">
        <v>14</v>
      </c>
      <c r="E1022" s="2">
        <f t="shared" si="31"/>
        <v>0.34999999999999964</v>
      </c>
      <c r="F1022" s="11">
        <v>0.05</v>
      </c>
      <c r="G1022" s="3">
        <f t="shared" si="32"/>
        <v>2.7874564459930289E-2</v>
      </c>
    </row>
    <row r="1023" spans="1:7" customFormat="1">
      <c r="A1023" s="1">
        <v>29</v>
      </c>
      <c r="B1023" s="1" t="s">
        <v>66</v>
      </c>
      <c r="C1023" s="11">
        <v>5.23</v>
      </c>
      <c r="D1023" s="11">
        <v>5.0999999999999996</v>
      </c>
      <c r="E1023" s="2">
        <f t="shared" si="31"/>
        <v>0.13000000000000078</v>
      </c>
      <c r="F1023" s="11">
        <v>-0.13900000000000001</v>
      </c>
      <c r="G1023" s="3">
        <f t="shared" si="32"/>
        <v>-1.7208413001910574E-3</v>
      </c>
    </row>
    <row r="1024" spans="1:7" customFormat="1">
      <c r="A1024" s="1">
        <v>30</v>
      </c>
      <c r="B1024" s="1" t="s">
        <v>66</v>
      </c>
      <c r="C1024" s="11">
        <v>7.32</v>
      </c>
      <c r="D1024" s="11">
        <v>7.2</v>
      </c>
      <c r="E1024" s="2">
        <f t="shared" si="31"/>
        <v>0.12000000000000011</v>
      </c>
      <c r="F1024" s="11">
        <v>0.06</v>
      </c>
      <c r="G1024" s="3">
        <f t="shared" si="32"/>
        <v>2.4590163934426243E-2</v>
      </c>
    </row>
    <row r="1025" spans="1:18">
      <c r="A1025" s="1">
        <v>31</v>
      </c>
      <c r="B1025" s="1" t="s">
        <v>66</v>
      </c>
      <c r="C1025" s="11">
        <v>14.23</v>
      </c>
      <c r="D1025" s="11">
        <v>13.76</v>
      </c>
      <c r="E1025" s="2">
        <f t="shared" si="31"/>
        <v>0.47000000000000064</v>
      </c>
      <c r="F1025" s="11">
        <v>0.01</v>
      </c>
      <c r="G1025" s="3">
        <f t="shared" si="32"/>
        <v>3.3731553056922041E-2</v>
      </c>
      <c r="R1025"/>
    </row>
    <row r="1026" spans="1:18">
      <c r="A1026" s="1">
        <v>1</v>
      </c>
      <c r="B1026" s="1" t="s">
        <v>67</v>
      </c>
      <c r="C1026" s="11">
        <v>0</v>
      </c>
      <c r="D1026" s="11">
        <v>0</v>
      </c>
      <c r="E1026" s="2">
        <f t="shared" si="31"/>
        <v>0</v>
      </c>
      <c r="F1026" s="11">
        <v>0.39</v>
      </c>
      <c r="G1026" s="3" t="e">
        <f t="shared" si="32"/>
        <v>#DIV/0!</v>
      </c>
      <c r="R1026"/>
    </row>
    <row r="1027" spans="1:18">
      <c r="A1027" s="1">
        <v>2</v>
      </c>
      <c r="B1027" s="1" t="s">
        <v>67</v>
      </c>
      <c r="C1027" s="11">
        <v>26.81</v>
      </c>
      <c r="D1027" s="11">
        <v>26.68</v>
      </c>
      <c r="E1027" s="2">
        <f t="shared" si="31"/>
        <v>0.12999999999999901</v>
      </c>
      <c r="F1027" s="11">
        <v>0.30499999999999999</v>
      </c>
      <c r="G1027" s="3">
        <f t="shared" si="32"/>
        <v>1.6225289071242037E-2</v>
      </c>
      <c r="R1027"/>
    </row>
    <row r="1028" spans="1:18">
      <c r="A1028" s="1">
        <v>3</v>
      </c>
      <c r="B1028" s="1" t="s">
        <v>67</v>
      </c>
      <c r="C1028" s="11">
        <v>19.2</v>
      </c>
      <c r="D1028" s="11">
        <v>18.899999999999999</v>
      </c>
      <c r="E1028" s="2">
        <f t="shared" ref="E1028:E1091" si="33">C1028-D1028</f>
        <v>0.30000000000000071</v>
      </c>
      <c r="F1028" s="11">
        <v>0.04</v>
      </c>
      <c r="G1028" s="3">
        <f t="shared" si="32"/>
        <v>1.7708333333333371E-2</v>
      </c>
      <c r="R1028"/>
    </row>
    <row r="1029" spans="1:18">
      <c r="A1029" s="1">
        <v>4</v>
      </c>
      <c r="B1029" s="1" t="s">
        <v>67</v>
      </c>
      <c r="C1029" s="11">
        <v>30.34</v>
      </c>
      <c r="D1029" s="11">
        <v>30.01</v>
      </c>
      <c r="E1029" s="2">
        <f t="shared" si="33"/>
        <v>0.32999999999999829</v>
      </c>
      <c r="F1029" s="11">
        <v>0.17499999999999999</v>
      </c>
      <c r="G1029" s="3">
        <f t="shared" si="32"/>
        <v>1.6644693473961712E-2</v>
      </c>
      <c r="R1029"/>
    </row>
    <row r="1030" spans="1:18">
      <c r="A1030" s="1">
        <v>5</v>
      </c>
      <c r="B1030" s="1" t="s">
        <v>67</v>
      </c>
      <c r="C1030" s="11">
        <v>26.33</v>
      </c>
      <c r="D1030" s="11">
        <v>26.01</v>
      </c>
      <c r="E1030" s="2">
        <f t="shared" si="33"/>
        <v>0.31999999999999673</v>
      </c>
      <c r="F1030" s="11">
        <v>0.13500000000000001</v>
      </c>
      <c r="G1030" s="3">
        <f t="shared" si="32"/>
        <v>1.7280668439042794E-2</v>
      </c>
      <c r="R1030"/>
    </row>
    <row r="1031" spans="1:18">
      <c r="A1031" s="1">
        <v>6</v>
      </c>
      <c r="B1031" s="1" t="s">
        <v>67</v>
      </c>
      <c r="C1031" s="11">
        <v>0</v>
      </c>
      <c r="D1031" s="11">
        <v>0</v>
      </c>
      <c r="E1031" s="2">
        <f t="shared" si="33"/>
        <v>0</v>
      </c>
      <c r="F1031" s="11">
        <v>0.36</v>
      </c>
      <c r="G1031" s="3" t="e">
        <f t="shared" si="32"/>
        <v>#DIV/0!</v>
      </c>
      <c r="R1031"/>
    </row>
    <row r="1032" spans="1:18">
      <c r="A1032" s="1">
        <v>7</v>
      </c>
      <c r="B1032" s="1" t="s">
        <v>67</v>
      </c>
      <c r="C1032" s="11">
        <v>27.51</v>
      </c>
      <c r="D1032" s="11">
        <v>27.51</v>
      </c>
      <c r="E1032" s="2">
        <f t="shared" si="33"/>
        <v>0</v>
      </c>
      <c r="F1032" s="11">
        <v>0.54</v>
      </c>
      <c r="G1032" s="3">
        <f t="shared" si="32"/>
        <v>1.9629225736095966E-2</v>
      </c>
      <c r="R1032"/>
    </row>
    <row r="1033" spans="1:18">
      <c r="A1033" s="1">
        <v>10</v>
      </c>
      <c r="B1033" s="1" t="s">
        <v>67</v>
      </c>
      <c r="C1033" s="11">
        <v>24.97</v>
      </c>
      <c r="D1033" s="11">
        <v>24.69</v>
      </c>
      <c r="E1033" s="2">
        <f t="shared" si="33"/>
        <v>0.27999999999999758</v>
      </c>
      <c r="F1033" s="11">
        <v>0.18</v>
      </c>
      <c r="G1033" s="3">
        <f t="shared" si="32"/>
        <v>1.8422106527833305E-2</v>
      </c>
      <c r="R1033"/>
    </row>
    <row r="1034" spans="1:18">
      <c r="A1034" s="1">
        <v>8</v>
      </c>
      <c r="B1034" s="1" t="s">
        <v>67</v>
      </c>
      <c r="C1034" s="11">
        <v>26.74</v>
      </c>
      <c r="D1034" s="11">
        <v>26.14</v>
      </c>
      <c r="E1034" s="2">
        <f t="shared" si="33"/>
        <v>0.59999999999999787</v>
      </c>
      <c r="F1034" s="11">
        <v>6.5000000000000002E-2</v>
      </c>
      <c r="G1034" s="3">
        <f t="shared" si="32"/>
        <v>2.4869109947643898E-2</v>
      </c>
    </row>
    <row r="1035" spans="1:18">
      <c r="A1035" s="1">
        <v>9</v>
      </c>
      <c r="B1035" s="1" t="s">
        <v>67</v>
      </c>
      <c r="C1035" s="11">
        <v>0</v>
      </c>
      <c r="D1035" s="11">
        <v>0</v>
      </c>
      <c r="E1035" s="2">
        <f t="shared" si="33"/>
        <v>0</v>
      </c>
      <c r="F1035" s="11">
        <v>0.3</v>
      </c>
      <c r="G1035" s="3" t="e">
        <f t="shared" si="32"/>
        <v>#DIV/0!</v>
      </c>
      <c r="R1035"/>
    </row>
    <row r="1036" spans="1:18">
      <c r="A1036" s="1">
        <v>11</v>
      </c>
      <c r="B1036" s="1" t="s">
        <v>67</v>
      </c>
      <c r="C1036" s="11">
        <v>23.91</v>
      </c>
      <c r="D1036" s="11">
        <v>23.67</v>
      </c>
      <c r="E1036" s="2">
        <f t="shared" si="33"/>
        <v>0.23999999999999844</v>
      </c>
      <c r="F1036" s="11">
        <v>0.13</v>
      </c>
      <c r="G1036" s="3">
        <f t="shared" si="32"/>
        <v>1.5474696779590064E-2</v>
      </c>
      <c r="R1036"/>
    </row>
    <row r="1037" spans="1:18">
      <c r="A1037" s="1">
        <v>12</v>
      </c>
      <c r="B1037" s="1" t="s">
        <v>67</v>
      </c>
      <c r="C1037" s="11">
        <v>26.06</v>
      </c>
      <c r="D1037" s="11">
        <v>25.88</v>
      </c>
      <c r="E1037" s="2">
        <f t="shared" si="33"/>
        <v>0.17999999999999972</v>
      </c>
      <c r="F1037" s="11">
        <v>0.315</v>
      </c>
      <c r="G1037" s="3">
        <f t="shared" si="32"/>
        <v>1.8994627782041432E-2</v>
      </c>
      <c r="R1037"/>
    </row>
    <row r="1038" spans="1:18">
      <c r="A1038" s="1">
        <v>13</v>
      </c>
      <c r="B1038" s="1" t="s">
        <v>67</v>
      </c>
      <c r="C1038" s="11">
        <v>28.37</v>
      </c>
      <c r="D1038" s="11">
        <v>28.24</v>
      </c>
      <c r="E1038" s="2">
        <f t="shared" si="33"/>
        <v>0.13000000000000256</v>
      </c>
      <c r="F1038" s="11">
        <v>0.38</v>
      </c>
      <c r="G1038" s="3">
        <f t="shared" si="32"/>
        <v>1.7976735988720568E-2</v>
      </c>
      <c r="R1038"/>
    </row>
    <row r="1039" spans="1:18">
      <c r="A1039" s="1">
        <v>14</v>
      </c>
      <c r="B1039" s="1" t="s">
        <v>67</v>
      </c>
      <c r="C1039" s="11">
        <v>0</v>
      </c>
      <c r="D1039" s="11">
        <v>0</v>
      </c>
      <c r="E1039" s="2">
        <f t="shared" si="33"/>
        <v>0</v>
      </c>
      <c r="F1039" s="11">
        <v>0.61499999999999999</v>
      </c>
      <c r="G1039" s="3" t="e">
        <f t="shared" si="32"/>
        <v>#DIV/0!</v>
      </c>
      <c r="R1039"/>
    </row>
    <row r="1040" spans="1:18">
      <c r="A1040" s="1">
        <v>15</v>
      </c>
      <c r="B1040" s="1" t="s">
        <v>67</v>
      </c>
      <c r="C1040" s="11">
        <v>26.01</v>
      </c>
      <c r="D1040" s="11">
        <v>26</v>
      </c>
      <c r="E1040" s="2">
        <f t="shared" si="33"/>
        <v>1.0000000000001563E-2</v>
      </c>
      <c r="F1040" s="11">
        <v>0.47</v>
      </c>
      <c r="G1040" s="3">
        <f t="shared" si="32"/>
        <v>1.8454440599769379E-2</v>
      </c>
      <c r="R1040"/>
    </row>
    <row r="1041" spans="1:7" customFormat="1">
      <c r="A1041" s="1">
        <v>16</v>
      </c>
      <c r="B1041" s="1" t="s">
        <v>67</v>
      </c>
      <c r="C1041" s="11">
        <v>26.11</v>
      </c>
      <c r="D1041" s="11">
        <v>25.91</v>
      </c>
      <c r="E1041" s="2">
        <f t="shared" si="33"/>
        <v>0.19999999999999929</v>
      </c>
      <c r="F1041" s="11">
        <v>0.30499999999999999</v>
      </c>
      <c r="G1041" s="3">
        <f t="shared" si="32"/>
        <v>1.9341248563768641E-2</v>
      </c>
    </row>
    <row r="1042" spans="1:7" customFormat="1">
      <c r="A1042" s="1">
        <v>17</v>
      </c>
      <c r="B1042" s="1" t="s">
        <v>67</v>
      </c>
      <c r="C1042" s="11">
        <v>29.43</v>
      </c>
      <c r="D1042" s="11">
        <v>29.4</v>
      </c>
      <c r="E1042" s="2">
        <f t="shared" si="33"/>
        <v>3.0000000000001137E-2</v>
      </c>
      <c r="F1042" s="11">
        <v>0.51</v>
      </c>
      <c r="G1042" s="3">
        <f t="shared" si="32"/>
        <v>1.8348623853211048E-2</v>
      </c>
    </row>
    <row r="1043" spans="1:7" customFormat="1">
      <c r="A1043" s="1">
        <v>18</v>
      </c>
      <c r="B1043" s="1" t="s">
        <v>67</v>
      </c>
      <c r="C1043" s="11">
        <v>27</v>
      </c>
      <c r="D1043" s="11">
        <v>26.75</v>
      </c>
      <c r="E1043" s="2">
        <f t="shared" si="33"/>
        <v>0.25</v>
      </c>
      <c r="F1043" s="11">
        <v>0.20499999999999999</v>
      </c>
      <c r="G1043" s="3">
        <f t="shared" si="32"/>
        <v>1.6851851851851851E-2</v>
      </c>
    </row>
    <row r="1044" spans="1:7" customFormat="1">
      <c r="A1044" s="1">
        <v>19</v>
      </c>
      <c r="B1044" s="1" t="s">
        <v>67</v>
      </c>
      <c r="C1044" s="11">
        <v>26.25</v>
      </c>
      <c r="D1044" s="11">
        <v>25.99</v>
      </c>
      <c r="E1044" s="2">
        <f t="shared" si="33"/>
        <v>0.26000000000000156</v>
      </c>
      <c r="F1044" s="11">
        <v>0.245</v>
      </c>
      <c r="G1044" s="3">
        <f t="shared" si="32"/>
        <v>1.9238095238095297E-2</v>
      </c>
    </row>
    <row r="1045" spans="1:7" customFormat="1">
      <c r="A1045" s="1">
        <v>20</v>
      </c>
      <c r="B1045" s="1" t="s">
        <v>67</v>
      </c>
      <c r="C1045" s="11">
        <v>54.88</v>
      </c>
      <c r="D1045" s="11">
        <v>54.32</v>
      </c>
      <c r="E1045" s="2">
        <f t="shared" si="33"/>
        <v>0.56000000000000227</v>
      </c>
      <c r="F1045" s="11">
        <v>0.375</v>
      </c>
      <c r="G1045" s="3">
        <f t="shared" si="32"/>
        <v>1.7037172011661848E-2</v>
      </c>
    </row>
    <row r="1046" spans="1:7" customFormat="1">
      <c r="A1046" s="1">
        <v>21</v>
      </c>
      <c r="B1046" s="1" t="s">
        <v>67</v>
      </c>
      <c r="C1046" s="11">
        <v>0</v>
      </c>
      <c r="D1046" s="11">
        <v>0</v>
      </c>
      <c r="E1046" s="2">
        <f t="shared" si="33"/>
        <v>0</v>
      </c>
      <c r="F1046" s="11">
        <v>0.81499999999999995</v>
      </c>
      <c r="G1046" s="3" t="e">
        <f t="shared" si="32"/>
        <v>#DIV/0!</v>
      </c>
    </row>
    <row r="1047" spans="1:7" customFormat="1">
      <c r="A1047" s="1">
        <v>22</v>
      </c>
      <c r="B1047" s="1" t="s">
        <v>67</v>
      </c>
      <c r="C1047" s="11">
        <v>205.89</v>
      </c>
      <c r="D1047" s="11">
        <v>205.36</v>
      </c>
      <c r="E1047" s="2">
        <f t="shared" si="33"/>
        <v>0.52999999999997272</v>
      </c>
      <c r="F1047" s="11">
        <v>3.375</v>
      </c>
      <c r="G1047" s="3">
        <f t="shared" si="32"/>
        <v>1.8966438389431118E-2</v>
      </c>
    </row>
    <row r="1048" spans="1:7" customFormat="1">
      <c r="A1048" s="1">
        <v>23</v>
      </c>
      <c r="B1048" s="1" t="s">
        <v>67</v>
      </c>
      <c r="C1048" s="11">
        <v>23.28</v>
      </c>
      <c r="D1048" s="11">
        <v>22.98</v>
      </c>
      <c r="E1048" s="2">
        <f t="shared" si="33"/>
        <v>0.30000000000000071</v>
      </c>
      <c r="F1048" s="11">
        <v>0.15</v>
      </c>
      <c r="G1048" s="3">
        <f t="shared" si="32"/>
        <v>1.9329896907216527E-2</v>
      </c>
    </row>
    <row r="1049" spans="1:7" customFormat="1">
      <c r="A1049" s="1">
        <v>24</v>
      </c>
      <c r="B1049" s="1" t="s">
        <v>67</v>
      </c>
      <c r="C1049" s="11">
        <v>52</v>
      </c>
      <c r="D1049" s="11">
        <v>50.74</v>
      </c>
      <c r="E1049" s="2">
        <f t="shared" si="33"/>
        <v>1.259999999999998</v>
      </c>
      <c r="F1049" s="11">
        <v>0</v>
      </c>
      <c r="G1049" s="3">
        <f t="shared" si="32"/>
        <v>2.4230769230769191E-2</v>
      </c>
    </row>
    <row r="1050" spans="1:7" customFormat="1">
      <c r="A1050" s="1">
        <v>25</v>
      </c>
      <c r="B1050" s="1" t="s">
        <v>67</v>
      </c>
      <c r="C1050" s="11">
        <v>44.83</v>
      </c>
      <c r="D1050" s="11">
        <v>44.56</v>
      </c>
      <c r="E1050" s="2">
        <f t="shared" si="33"/>
        <v>0.26999999999999602</v>
      </c>
      <c r="F1050" s="11">
        <v>0.625</v>
      </c>
      <c r="G1050" s="3">
        <f t="shared" si="32"/>
        <v>1.9964309614097616E-2</v>
      </c>
    </row>
    <row r="1051" spans="1:7" customFormat="1">
      <c r="A1051" s="1">
        <v>26</v>
      </c>
      <c r="B1051" s="1" t="s">
        <v>67</v>
      </c>
      <c r="C1051" s="11">
        <v>30.85</v>
      </c>
      <c r="D1051" s="11">
        <v>30.5</v>
      </c>
      <c r="E1051" s="2">
        <f t="shared" si="33"/>
        <v>0.35000000000000142</v>
      </c>
      <c r="F1051" s="11">
        <v>0.2</v>
      </c>
      <c r="G1051" s="3">
        <f t="shared" si="32"/>
        <v>1.7828200972447368E-2</v>
      </c>
    </row>
    <row r="1052" spans="1:7" customFormat="1">
      <c r="A1052" s="1">
        <v>27</v>
      </c>
      <c r="B1052" s="1" t="s">
        <v>67</v>
      </c>
      <c r="C1052" s="11">
        <v>0</v>
      </c>
      <c r="D1052" s="11">
        <v>0</v>
      </c>
      <c r="E1052" s="2">
        <f t="shared" si="33"/>
        <v>0</v>
      </c>
      <c r="F1052" s="11">
        <v>1.1000000000000001</v>
      </c>
      <c r="G1052" s="3" t="e">
        <f t="shared" si="32"/>
        <v>#DIV/0!</v>
      </c>
    </row>
    <row r="1053" spans="1:7" customFormat="1">
      <c r="A1053" s="1">
        <v>28</v>
      </c>
      <c r="B1053" s="1" t="s">
        <v>67</v>
      </c>
      <c r="C1053" s="11">
        <v>52.97</v>
      </c>
      <c r="D1053" s="11">
        <v>52.64</v>
      </c>
      <c r="E1053" s="2">
        <f t="shared" si="33"/>
        <v>0.32999999999999829</v>
      </c>
      <c r="F1053" s="11">
        <v>0.625</v>
      </c>
      <c r="G1053" s="3">
        <f t="shared" si="32"/>
        <v>1.8029073060222736E-2</v>
      </c>
    </row>
    <row r="1054" spans="1:7" customFormat="1">
      <c r="A1054" s="1">
        <v>29</v>
      </c>
      <c r="B1054" s="1" t="s">
        <v>67</v>
      </c>
      <c r="C1054" s="11">
        <v>24.77</v>
      </c>
      <c r="D1054" s="11">
        <v>24.49</v>
      </c>
      <c r="E1054" s="2">
        <f t="shared" si="33"/>
        <v>0.28000000000000114</v>
      </c>
      <c r="F1054" s="11">
        <v>0.20499999999999999</v>
      </c>
      <c r="G1054" s="3">
        <f t="shared" si="32"/>
        <v>1.958013726281797E-2</v>
      </c>
    </row>
    <row r="1055" spans="1:7" customFormat="1">
      <c r="A1055" s="1">
        <v>30</v>
      </c>
      <c r="B1055" s="1" t="s">
        <v>67</v>
      </c>
      <c r="C1055" s="11">
        <v>50.69</v>
      </c>
      <c r="D1055" s="11">
        <v>50.09</v>
      </c>
      <c r="E1055" s="2">
        <f t="shared" si="33"/>
        <v>0.59999999999999432</v>
      </c>
      <c r="F1055" s="11">
        <v>0.35</v>
      </c>
      <c r="G1055" s="3">
        <f t="shared" si="32"/>
        <v>1.8741369106332499E-2</v>
      </c>
    </row>
    <row r="1056" spans="1:7" customFormat="1">
      <c r="A1056" s="1">
        <v>31</v>
      </c>
      <c r="B1056" s="1" t="s">
        <v>67</v>
      </c>
      <c r="C1056" s="11">
        <v>26.35</v>
      </c>
      <c r="D1056" s="11">
        <v>26.2</v>
      </c>
      <c r="E1056" s="2">
        <f t="shared" si="33"/>
        <v>0.15000000000000213</v>
      </c>
      <c r="F1056" s="11">
        <v>0.30499999999999999</v>
      </c>
      <c r="G1056" s="3">
        <f t="shared" si="32"/>
        <v>1.7267552182163269E-2</v>
      </c>
    </row>
    <row r="1057" spans="1:18">
      <c r="A1057" s="1">
        <v>1</v>
      </c>
      <c r="B1057" s="1" t="s">
        <v>119</v>
      </c>
      <c r="C1057" s="11">
        <v>0</v>
      </c>
      <c r="D1057" s="11">
        <v>0</v>
      </c>
      <c r="E1057" s="2">
        <f t="shared" si="33"/>
        <v>0</v>
      </c>
      <c r="F1057" s="11">
        <v>0.25900000000000001</v>
      </c>
      <c r="G1057" s="3" t="e">
        <f t="shared" ref="G1057:G1087" si="34">(E1057+F1057)/C1057</f>
        <v>#DIV/0!</v>
      </c>
      <c r="R1057"/>
    </row>
    <row r="1058" spans="1:18">
      <c r="A1058" s="1">
        <v>2</v>
      </c>
      <c r="B1058" s="1" t="s">
        <v>119</v>
      </c>
      <c r="C1058" s="11">
        <v>0</v>
      </c>
      <c r="D1058" s="11">
        <v>0</v>
      </c>
      <c r="E1058" s="2">
        <f t="shared" si="33"/>
        <v>0</v>
      </c>
      <c r="F1058" s="11">
        <v>3.2000000000000001E-2</v>
      </c>
      <c r="G1058" s="3" t="e">
        <f t="shared" si="34"/>
        <v>#DIV/0!</v>
      </c>
      <c r="R1058"/>
    </row>
    <row r="1059" spans="1:18">
      <c r="A1059" s="1">
        <v>3</v>
      </c>
      <c r="B1059" s="1" t="s">
        <v>119</v>
      </c>
      <c r="C1059" s="11">
        <v>0</v>
      </c>
      <c r="D1059" s="11">
        <v>0</v>
      </c>
      <c r="E1059" s="2">
        <f t="shared" si="33"/>
        <v>0</v>
      </c>
      <c r="F1059" s="11">
        <v>5.7000000000000002E-2</v>
      </c>
      <c r="G1059" s="3" t="e">
        <f t="shared" si="34"/>
        <v>#DIV/0!</v>
      </c>
      <c r="R1059"/>
    </row>
    <row r="1060" spans="1:18">
      <c r="A1060" s="1">
        <v>4</v>
      </c>
      <c r="B1060" s="1" t="s">
        <v>119</v>
      </c>
      <c r="C1060" s="11">
        <v>0</v>
      </c>
      <c r="D1060" s="11">
        <v>0</v>
      </c>
      <c r="E1060" s="2">
        <f t="shared" si="33"/>
        <v>0</v>
      </c>
      <c r="F1060" s="11">
        <v>6.3E-2</v>
      </c>
      <c r="G1060" s="3" t="e">
        <f t="shared" si="34"/>
        <v>#DIV/0!</v>
      </c>
      <c r="R1060"/>
    </row>
    <row r="1061" spans="1:18">
      <c r="A1061" s="1">
        <v>5</v>
      </c>
      <c r="B1061" s="1" t="s">
        <v>119</v>
      </c>
      <c r="C1061" s="11">
        <v>0</v>
      </c>
      <c r="D1061" s="11">
        <v>0</v>
      </c>
      <c r="E1061" s="2">
        <f t="shared" si="33"/>
        <v>0</v>
      </c>
      <c r="F1061" s="11">
        <v>0.20799999999999999</v>
      </c>
      <c r="G1061" s="3" t="e">
        <f t="shared" si="34"/>
        <v>#DIV/0!</v>
      </c>
      <c r="R1061"/>
    </row>
    <row r="1062" spans="1:18">
      <c r="A1062" s="1">
        <v>6</v>
      </c>
      <c r="B1062" s="1" t="s">
        <v>119</v>
      </c>
      <c r="C1062" s="11">
        <v>24.55</v>
      </c>
      <c r="D1062" s="11">
        <v>24.35</v>
      </c>
      <c r="E1062" s="2">
        <f t="shared" si="33"/>
        <v>0.19999999999999929</v>
      </c>
      <c r="F1062" s="11">
        <v>0.11799999999999999</v>
      </c>
      <c r="G1062" s="3">
        <f t="shared" si="34"/>
        <v>1.2953156822810561E-2</v>
      </c>
      <c r="R1062"/>
    </row>
    <row r="1063" spans="1:18">
      <c r="A1063" s="1">
        <v>7</v>
      </c>
      <c r="B1063" s="1" t="s">
        <v>119</v>
      </c>
      <c r="C1063" s="11">
        <v>0</v>
      </c>
      <c r="D1063" s="11">
        <v>0</v>
      </c>
      <c r="E1063" s="2">
        <f t="shared" si="33"/>
        <v>0</v>
      </c>
      <c r="F1063" s="11">
        <v>0.13900000000000001</v>
      </c>
      <c r="G1063" s="3" t="e">
        <f t="shared" si="34"/>
        <v>#DIV/0!</v>
      </c>
      <c r="R1063"/>
    </row>
    <row r="1064" spans="1:18">
      <c r="A1064" s="1">
        <v>10</v>
      </c>
      <c r="B1064" s="1" t="s">
        <v>119</v>
      </c>
      <c r="C1064" s="11">
        <v>0</v>
      </c>
      <c r="D1064" s="11">
        <v>0</v>
      </c>
      <c r="E1064" s="2">
        <f t="shared" si="33"/>
        <v>0</v>
      </c>
      <c r="F1064" s="11">
        <v>0.20300000000000001</v>
      </c>
      <c r="G1064" s="3" t="e">
        <f t="shared" si="34"/>
        <v>#DIV/0!</v>
      </c>
      <c r="R1064"/>
    </row>
    <row r="1065" spans="1:18">
      <c r="A1065" s="1">
        <v>8</v>
      </c>
      <c r="B1065" s="1" t="s">
        <v>119</v>
      </c>
      <c r="C1065" s="11">
        <v>0</v>
      </c>
      <c r="D1065" s="11">
        <v>0</v>
      </c>
      <c r="E1065" s="2">
        <f t="shared" si="33"/>
        <v>0</v>
      </c>
      <c r="F1065" s="11">
        <v>0.13300000000000001</v>
      </c>
      <c r="G1065" s="3" t="e">
        <f t="shared" si="34"/>
        <v>#DIV/0!</v>
      </c>
    </row>
    <row r="1066" spans="1:18">
      <c r="A1066" s="1">
        <v>9</v>
      </c>
      <c r="B1066" s="1" t="s">
        <v>119</v>
      </c>
      <c r="C1066" s="11">
        <v>0</v>
      </c>
      <c r="D1066" s="11">
        <v>0</v>
      </c>
      <c r="E1066" s="2">
        <f t="shared" si="33"/>
        <v>0</v>
      </c>
      <c r="F1066" s="11">
        <v>0.15</v>
      </c>
      <c r="G1066" s="3" t="e">
        <f t="shared" si="34"/>
        <v>#DIV/0!</v>
      </c>
      <c r="R1066"/>
    </row>
    <row r="1067" spans="1:18">
      <c r="A1067" s="1">
        <v>11</v>
      </c>
      <c r="B1067" s="1" t="s">
        <v>119</v>
      </c>
      <c r="C1067" s="11">
        <v>0</v>
      </c>
      <c r="D1067" s="11">
        <v>0</v>
      </c>
      <c r="E1067" s="2">
        <f t="shared" si="33"/>
        <v>0</v>
      </c>
      <c r="F1067" s="11">
        <v>0.14000000000000001</v>
      </c>
      <c r="G1067" s="3" t="e">
        <f t="shared" si="34"/>
        <v>#DIV/0!</v>
      </c>
      <c r="R1067"/>
    </row>
    <row r="1068" spans="1:18">
      <c r="A1068" s="1">
        <v>12</v>
      </c>
      <c r="B1068" s="1" t="s">
        <v>119</v>
      </c>
      <c r="C1068" s="11">
        <v>0</v>
      </c>
      <c r="D1068" s="11">
        <v>0</v>
      </c>
      <c r="E1068" s="2">
        <f t="shared" si="33"/>
        <v>0</v>
      </c>
      <c r="F1068" s="11">
        <v>0.11899999999999999</v>
      </c>
      <c r="G1068" s="3" t="e">
        <f t="shared" si="34"/>
        <v>#DIV/0!</v>
      </c>
      <c r="R1068"/>
    </row>
    <row r="1069" spans="1:18">
      <c r="A1069" s="1">
        <v>13</v>
      </c>
      <c r="B1069" s="1" t="s">
        <v>119</v>
      </c>
      <c r="C1069" s="11">
        <v>0</v>
      </c>
      <c r="D1069" s="11">
        <v>0</v>
      </c>
      <c r="E1069" s="2">
        <f t="shared" si="33"/>
        <v>0</v>
      </c>
      <c r="F1069" s="11">
        <v>0.105</v>
      </c>
      <c r="G1069" s="3" t="e">
        <f t="shared" si="34"/>
        <v>#DIV/0!</v>
      </c>
      <c r="R1069"/>
    </row>
    <row r="1070" spans="1:18">
      <c r="A1070" s="1">
        <v>14</v>
      </c>
      <c r="B1070" s="1" t="s">
        <v>119</v>
      </c>
      <c r="C1070" s="11">
        <v>0</v>
      </c>
      <c r="D1070" s="11">
        <v>0</v>
      </c>
      <c r="E1070" s="2">
        <f t="shared" si="33"/>
        <v>0</v>
      </c>
      <c r="F1070" s="11">
        <v>9.6000000000000002E-2</v>
      </c>
      <c r="G1070" s="3" t="e">
        <f t="shared" si="34"/>
        <v>#DIV/0!</v>
      </c>
      <c r="R1070"/>
    </row>
    <row r="1071" spans="1:18">
      <c r="A1071" s="1">
        <v>15</v>
      </c>
      <c r="B1071" s="1" t="s">
        <v>119</v>
      </c>
      <c r="C1071" s="11">
        <v>0</v>
      </c>
      <c r="D1071" s="11">
        <v>0</v>
      </c>
      <c r="E1071" s="2">
        <f t="shared" si="33"/>
        <v>0</v>
      </c>
      <c r="F1071" s="11">
        <v>8.1000000000000003E-2</v>
      </c>
      <c r="G1071" s="3" t="e">
        <f t="shared" si="34"/>
        <v>#DIV/0!</v>
      </c>
      <c r="R1071"/>
    </row>
    <row r="1072" spans="1:18">
      <c r="A1072" s="1">
        <v>16</v>
      </c>
      <c r="B1072" s="1" t="s">
        <v>119</v>
      </c>
      <c r="C1072" s="11">
        <v>0</v>
      </c>
      <c r="D1072" s="11">
        <v>0</v>
      </c>
      <c r="E1072" s="2">
        <f t="shared" si="33"/>
        <v>0</v>
      </c>
      <c r="F1072" s="11">
        <v>7.4999999999999997E-2</v>
      </c>
      <c r="G1072" s="3" t="e">
        <f t="shared" si="34"/>
        <v>#DIV/0!</v>
      </c>
      <c r="R1072"/>
    </row>
    <row r="1073" spans="1:7" customFormat="1">
      <c r="A1073" s="1">
        <v>17</v>
      </c>
      <c r="B1073" s="1" t="s">
        <v>119</v>
      </c>
      <c r="C1073" s="11">
        <v>0</v>
      </c>
      <c r="D1073" s="11">
        <v>0</v>
      </c>
      <c r="E1073" s="2">
        <f t="shared" si="33"/>
        <v>0</v>
      </c>
      <c r="F1073" s="11">
        <v>5.7000000000000002E-2</v>
      </c>
      <c r="G1073" s="3" t="e">
        <f t="shared" si="34"/>
        <v>#DIV/0!</v>
      </c>
    </row>
    <row r="1074" spans="1:7" customFormat="1">
      <c r="A1074" s="1">
        <v>18</v>
      </c>
      <c r="B1074" s="1" t="s">
        <v>119</v>
      </c>
      <c r="C1074" s="11">
        <v>0</v>
      </c>
      <c r="D1074" s="11">
        <v>0</v>
      </c>
      <c r="E1074" s="2">
        <f t="shared" si="33"/>
        <v>0</v>
      </c>
      <c r="F1074" s="11">
        <v>0.11600000000000001</v>
      </c>
      <c r="G1074" s="3" t="e">
        <f t="shared" si="34"/>
        <v>#DIV/0!</v>
      </c>
    </row>
    <row r="1075" spans="1:7" customFormat="1">
      <c r="A1075" s="1">
        <v>19</v>
      </c>
      <c r="B1075" s="1" t="s">
        <v>119</v>
      </c>
      <c r="C1075" s="11">
        <v>0</v>
      </c>
      <c r="D1075" s="11">
        <v>0</v>
      </c>
      <c r="E1075" s="2">
        <f t="shared" si="33"/>
        <v>0</v>
      </c>
      <c r="F1075" s="11">
        <v>0.121</v>
      </c>
      <c r="G1075" s="3" t="e">
        <f t="shared" si="34"/>
        <v>#DIV/0!</v>
      </c>
    </row>
    <row r="1076" spans="1:7" customFormat="1">
      <c r="A1076" s="1">
        <v>20</v>
      </c>
      <c r="B1076" s="1" t="s">
        <v>119</v>
      </c>
      <c r="C1076" s="11">
        <v>0</v>
      </c>
      <c r="D1076" s="11">
        <v>0</v>
      </c>
      <c r="E1076" s="2">
        <f t="shared" si="33"/>
        <v>0</v>
      </c>
      <c r="F1076" s="11">
        <v>9.5000000000000001E-2</v>
      </c>
      <c r="G1076" s="3" t="e">
        <f t="shared" si="34"/>
        <v>#DIV/0!</v>
      </c>
    </row>
    <row r="1077" spans="1:7" customFormat="1">
      <c r="A1077" s="1">
        <v>21</v>
      </c>
      <c r="B1077" s="1" t="s">
        <v>119</v>
      </c>
      <c r="C1077" s="11">
        <v>0</v>
      </c>
      <c r="D1077" s="11">
        <v>0</v>
      </c>
      <c r="E1077" s="2">
        <f t="shared" si="33"/>
        <v>0</v>
      </c>
      <c r="F1077" s="11">
        <v>0.125</v>
      </c>
      <c r="G1077" s="3" t="e">
        <f t="shared" si="34"/>
        <v>#DIV/0!</v>
      </c>
    </row>
    <row r="1078" spans="1:7" customFormat="1">
      <c r="A1078" s="1">
        <v>22</v>
      </c>
      <c r="B1078" s="1" t="s">
        <v>119</v>
      </c>
      <c r="C1078" s="11">
        <v>0</v>
      </c>
      <c r="D1078" s="11">
        <v>0</v>
      </c>
      <c r="E1078" s="2">
        <f t="shared" si="33"/>
        <v>0</v>
      </c>
      <c r="F1078" s="11">
        <v>0.13100000000000001</v>
      </c>
      <c r="G1078" s="3" t="e">
        <f t="shared" si="34"/>
        <v>#DIV/0!</v>
      </c>
    </row>
    <row r="1079" spans="1:7" customFormat="1">
      <c r="A1079" s="1">
        <v>23</v>
      </c>
      <c r="B1079" s="1" t="s">
        <v>119</v>
      </c>
      <c r="C1079" s="11">
        <v>0</v>
      </c>
      <c r="D1079" s="11">
        <v>0</v>
      </c>
      <c r="E1079" s="2">
        <f t="shared" si="33"/>
        <v>0</v>
      </c>
      <c r="F1079" s="11">
        <v>4.5999999999999999E-2</v>
      </c>
      <c r="G1079" s="3" t="e">
        <f t="shared" si="34"/>
        <v>#DIV/0!</v>
      </c>
    </row>
    <row r="1080" spans="1:7" customFormat="1">
      <c r="A1080" s="1">
        <v>24</v>
      </c>
      <c r="B1080" s="1" t="s">
        <v>119</v>
      </c>
      <c r="C1080" s="11">
        <v>0</v>
      </c>
      <c r="D1080" s="11">
        <v>0</v>
      </c>
      <c r="E1080" s="2">
        <f t="shared" si="33"/>
        <v>0</v>
      </c>
      <c r="F1080" s="11">
        <v>8.2000000000000003E-2</v>
      </c>
      <c r="G1080" s="3" t="e">
        <f t="shared" si="34"/>
        <v>#DIV/0!</v>
      </c>
    </row>
    <row r="1081" spans="1:7" customFormat="1">
      <c r="A1081" s="1">
        <v>25</v>
      </c>
      <c r="B1081" s="1" t="s">
        <v>119</v>
      </c>
      <c r="C1081" s="11">
        <v>0</v>
      </c>
      <c r="D1081" s="11">
        <v>0</v>
      </c>
      <c r="E1081" s="2">
        <f t="shared" si="33"/>
        <v>0</v>
      </c>
      <c r="F1081" s="11">
        <v>8.4000000000000005E-2</v>
      </c>
      <c r="G1081" s="3" t="e">
        <f t="shared" si="34"/>
        <v>#DIV/0!</v>
      </c>
    </row>
    <row r="1082" spans="1:7" customFormat="1">
      <c r="A1082" s="1">
        <v>26</v>
      </c>
      <c r="B1082" s="1" t="s">
        <v>119</v>
      </c>
      <c r="C1082" s="11">
        <v>0</v>
      </c>
      <c r="D1082" s="11">
        <v>0</v>
      </c>
      <c r="E1082" s="2">
        <f t="shared" si="33"/>
        <v>0</v>
      </c>
      <c r="F1082" s="11">
        <v>0.13900000000000001</v>
      </c>
      <c r="G1082" s="3" t="e">
        <f t="shared" si="34"/>
        <v>#DIV/0!</v>
      </c>
    </row>
    <row r="1083" spans="1:7" customFormat="1">
      <c r="A1083" s="1">
        <v>27</v>
      </c>
      <c r="B1083" s="1" t="s">
        <v>119</v>
      </c>
      <c r="C1083" s="11">
        <v>0</v>
      </c>
      <c r="D1083" s="11">
        <v>0</v>
      </c>
      <c r="E1083" s="2">
        <f t="shared" si="33"/>
        <v>0</v>
      </c>
      <c r="F1083" s="11">
        <v>0.105</v>
      </c>
      <c r="G1083" s="3" t="e">
        <f t="shared" si="34"/>
        <v>#DIV/0!</v>
      </c>
    </row>
    <row r="1084" spans="1:7" customFormat="1">
      <c r="A1084" s="1">
        <v>28</v>
      </c>
      <c r="B1084" s="1" t="s">
        <v>119</v>
      </c>
      <c r="C1084" s="11">
        <v>0</v>
      </c>
      <c r="D1084" s="11">
        <v>0</v>
      </c>
      <c r="E1084" s="2">
        <f t="shared" si="33"/>
        <v>0</v>
      </c>
      <c r="F1084" s="11">
        <v>7.8E-2</v>
      </c>
      <c r="G1084" s="3" t="e">
        <f t="shared" si="34"/>
        <v>#DIV/0!</v>
      </c>
    </row>
    <row r="1085" spans="1:7" customFormat="1">
      <c r="A1085" s="1">
        <v>29</v>
      </c>
      <c r="B1085" s="1" t="s">
        <v>119</v>
      </c>
      <c r="C1085" s="11">
        <v>0</v>
      </c>
      <c r="D1085" s="11">
        <v>0</v>
      </c>
      <c r="E1085" s="2">
        <f t="shared" si="33"/>
        <v>0</v>
      </c>
      <c r="F1085" s="11">
        <v>3.6999999999999998E-2</v>
      </c>
      <c r="G1085" s="3" t="e">
        <f t="shared" si="34"/>
        <v>#DIV/0!</v>
      </c>
    </row>
    <row r="1086" spans="1:7" customFormat="1">
      <c r="A1086" s="1">
        <v>30</v>
      </c>
      <c r="B1086" s="1" t="s">
        <v>119</v>
      </c>
      <c r="C1086" s="11">
        <v>0</v>
      </c>
      <c r="D1086" s="11">
        <v>0</v>
      </c>
      <c r="E1086" s="2">
        <f t="shared" si="33"/>
        <v>0</v>
      </c>
      <c r="F1086" s="11">
        <v>9.4E-2</v>
      </c>
      <c r="G1086" s="3" t="e">
        <f t="shared" si="34"/>
        <v>#DIV/0!</v>
      </c>
    </row>
    <row r="1087" spans="1:7" customFormat="1">
      <c r="A1087" s="1">
        <v>31</v>
      </c>
      <c r="B1087" s="1" t="s">
        <v>119</v>
      </c>
      <c r="C1087" s="11">
        <v>0</v>
      </c>
      <c r="D1087" s="11">
        <v>0</v>
      </c>
      <c r="E1087" s="2">
        <f t="shared" si="33"/>
        <v>0</v>
      </c>
      <c r="F1087" s="11">
        <v>7.4999999999999997E-2</v>
      </c>
      <c r="G1087" s="3" t="e">
        <f t="shared" si="34"/>
        <v>#DIV/0!</v>
      </c>
    </row>
    <row r="1088" spans="1:7" customFormat="1">
      <c r="A1088" s="1">
        <v>1</v>
      </c>
      <c r="B1088" s="1" t="s">
        <v>121</v>
      </c>
      <c r="C1088" s="11">
        <v>0</v>
      </c>
      <c r="D1088" s="11">
        <v>0</v>
      </c>
      <c r="E1088" s="2">
        <f t="shared" si="33"/>
        <v>0</v>
      </c>
      <c r="F1088" s="11">
        <v>0.157</v>
      </c>
      <c r="G1088" s="3" t="e">
        <f t="shared" ref="G1088:G1118" si="35">(E1088+F1088)/C1088</f>
        <v>#DIV/0!</v>
      </c>
    </row>
    <row r="1089" spans="1:18">
      <c r="A1089" s="1">
        <v>2</v>
      </c>
      <c r="B1089" s="1" t="s">
        <v>121</v>
      </c>
      <c r="C1089" s="11">
        <v>0</v>
      </c>
      <c r="D1089" s="11">
        <v>0</v>
      </c>
      <c r="E1089" s="2">
        <f t="shared" si="33"/>
        <v>0</v>
      </c>
      <c r="F1089" s="11">
        <v>0.155</v>
      </c>
      <c r="G1089" s="3" t="e">
        <f t="shared" si="35"/>
        <v>#DIV/0!</v>
      </c>
      <c r="R1089"/>
    </row>
    <row r="1090" spans="1:18">
      <c r="A1090" s="1">
        <v>3</v>
      </c>
      <c r="B1090" s="1" t="s">
        <v>121</v>
      </c>
      <c r="C1090" s="11">
        <v>0</v>
      </c>
      <c r="D1090" s="11">
        <v>0</v>
      </c>
      <c r="E1090" s="2">
        <f t="shared" si="33"/>
        <v>0</v>
      </c>
      <c r="F1090" s="11">
        <v>0.113</v>
      </c>
      <c r="G1090" s="3" t="e">
        <f t="shared" si="35"/>
        <v>#DIV/0!</v>
      </c>
      <c r="R1090"/>
    </row>
    <row r="1091" spans="1:18">
      <c r="A1091" s="1">
        <v>4</v>
      </c>
      <c r="B1091" s="1" t="s">
        <v>121</v>
      </c>
      <c r="C1091" s="11">
        <v>0</v>
      </c>
      <c r="D1091" s="11">
        <v>0</v>
      </c>
      <c r="E1091" s="2">
        <f t="shared" si="33"/>
        <v>0</v>
      </c>
      <c r="F1091" s="11">
        <v>0.10199999999999999</v>
      </c>
      <c r="G1091" s="3" t="e">
        <f t="shared" si="35"/>
        <v>#DIV/0!</v>
      </c>
      <c r="R1091"/>
    </row>
    <row r="1092" spans="1:18">
      <c r="A1092" s="1">
        <v>5</v>
      </c>
      <c r="B1092" s="1" t="s">
        <v>121</v>
      </c>
      <c r="C1092" s="11">
        <v>0</v>
      </c>
      <c r="D1092" s="11">
        <v>0</v>
      </c>
      <c r="E1092" s="2">
        <f t="shared" ref="E1092:E1155" si="36">C1092-D1092</f>
        <v>0</v>
      </c>
      <c r="F1092" s="11">
        <v>0.16600000000000001</v>
      </c>
      <c r="G1092" s="3" t="e">
        <f t="shared" si="35"/>
        <v>#DIV/0!</v>
      </c>
      <c r="R1092"/>
    </row>
    <row r="1093" spans="1:18">
      <c r="A1093" s="1">
        <v>6</v>
      </c>
      <c r="B1093" s="1" t="s">
        <v>121</v>
      </c>
      <c r="C1093" s="11">
        <v>0</v>
      </c>
      <c r="D1093" s="11">
        <v>0</v>
      </c>
      <c r="E1093" s="2">
        <f t="shared" si="36"/>
        <v>0</v>
      </c>
      <c r="F1093" s="11">
        <v>0.19400000000000001</v>
      </c>
      <c r="G1093" s="3" t="e">
        <f t="shared" si="35"/>
        <v>#DIV/0!</v>
      </c>
      <c r="R1093"/>
    </row>
    <row r="1094" spans="1:18">
      <c r="A1094" s="1">
        <v>7</v>
      </c>
      <c r="B1094" s="1" t="s">
        <v>121</v>
      </c>
      <c r="C1094" s="11">
        <v>23.86</v>
      </c>
      <c r="D1094" s="11">
        <v>23.77</v>
      </c>
      <c r="E1094" s="2">
        <f t="shared" si="36"/>
        <v>8.9999999999999858E-2</v>
      </c>
      <c r="F1094" s="11">
        <v>0.129</v>
      </c>
      <c r="G1094" s="3">
        <f t="shared" si="35"/>
        <v>9.1785414920368767E-3</v>
      </c>
      <c r="R1094"/>
    </row>
    <row r="1095" spans="1:18">
      <c r="A1095" s="1">
        <v>10</v>
      </c>
      <c r="B1095" s="1" t="s">
        <v>121</v>
      </c>
      <c r="C1095" s="11">
        <v>0</v>
      </c>
      <c r="D1095" s="11">
        <v>0</v>
      </c>
      <c r="E1095" s="2">
        <f t="shared" si="36"/>
        <v>0</v>
      </c>
      <c r="F1095" s="11">
        <v>4.9999999999999822E-2</v>
      </c>
      <c r="G1095" s="3" t="e">
        <f t="shared" si="35"/>
        <v>#DIV/0!</v>
      </c>
      <c r="R1095"/>
    </row>
    <row r="1096" spans="1:18">
      <c r="A1096" s="1">
        <v>8</v>
      </c>
      <c r="B1096" s="1" t="s">
        <v>121</v>
      </c>
      <c r="C1096" s="11">
        <v>0</v>
      </c>
      <c r="D1096" s="11">
        <v>0</v>
      </c>
      <c r="E1096" s="2">
        <f t="shared" si="36"/>
        <v>0</v>
      </c>
      <c r="F1096" s="11">
        <v>0.18</v>
      </c>
      <c r="G1096" s="3" t="e">
        <f t="shared" si="35"/>
        <v>#DIV/0!</v>
      </c>
    </row>
    <row r="1097" spans="1:18">
      <c r="A1097" s="1">
        <v>9</v>
      </c>
      <c r="B1097" s="1" t="s">
        <v>121</v>
      </c>
      <c r="C1097" s="11">
        <v>0</v>
      </c>
      <c r="D1097" s="11">
        <v>0</v>
      </c>
      <c r="E1097" s="2">
        <f t="shared" si="36"/>
        <v>0</v>
      </c>
      <c r="F1097" s="11">
        <v>0.13100000000000001</v>
      </c>
      <c r="G1097" s="3" t="e">
        <f t="shared" si="35"/>
        <v>#DIV/0!</v>
      </c>
      <c r="R1097"/>
    </row>
    <row r="1098" spans="1:18">
      <c r="A1098" s="1">
        <v>11</v>
      </c>
      <c r="B1098" s="1" t="s">
        <v>121</v>
      </c>
      <c r="C1098" s="11">
        <v>28.88</v>
      </c>
      <c r="D1098" s="11">
        <v>28.48</v>
      </c>
      <c r="E1098" s="2">
        <f t="shared" si="36"/>
        <v>0.39999999999999858</v>
      </c>
      <c r="F1098" s="11">
        <v>0.17</v>
      </c>
      <c r="G1098" s="3">
        <f t="shared" si="35"/>
        <v>1.9736842105263112E-2</v>
      </c>
      <c r="R1098"/>
    </row>
    <row r="1099" spans="1:18">
      <c r="A1099" s="1">
        <v>12</v>
      </c>
      <c r="B1099" s="1" t="s">
        <v>121</v>
      </c>
      <c r="C1099" s="11">
        <v>0</v>
      </c>
      <c r="D1099" s="11">
        <v>0</v>
      </c>
      <c r="E1099" s="2">
        <f t="shared" si="36"/>
        <v>0</v>
      </c>
      <c r="F1099" s="11">
        <v>0.15</v>
      </c>
      <c r="G1099" s="3" t="e">
        <f t="shared" si="35"/>
        <v>#DIV/0!</v>
      </c>
      <c r="R1099"/>
    </row>
    <row r="1100" spans="1:18">
      <c r="A1100" s="1">
        <v>13</v>
      </c>
      <c r="B1100" s="1" t="s">
        <v>121</v>
      </c>
      <c r="C1100" s="11">
        <v>0</v>
      </c>
      <c r="D1100" s="11">
        <v>0</v>
      </c>
      <c r="E1100" s="2">
        <f t="shared" si="36"/>
        <v>0</v>
      </c>
      <c r="F1100" s="11">
        <v>0.125</v>
      </c>
      <c r="G1100" s="3" t="e">
        <f t="shared" si="35"/>
        <v>#DIV/0!</v>
      </c>
      <c r="R1100"/>
    </row>
    <row r="1101" spans="1:18">
      <c r="A1101" s="1">
        <v>14</v>
      </c>
      <c r="B1101" s="1" t="s">
        <v>121</v>
      </c>
      <c r="C1101" s="11">
        <v>27.34</v>
      </c>
      <c r="D1101" s="11">
        <v>27.27</v>
      </c>
      <c r="E1101" s="2">
        <f t="shared" si="36"/>
        <v>7.0000000000000284E-2</v>
      </c>
      <c r="F1101" s="11">
        <v>0.15</v>
      </c>
      <c r="G1101" s="3">
        <f t="shared" si="35"/>
        <v>8.0468178493050581E-3</v>
      </c>
      <c r="R1101"/>
    </row>
    <row r="1102" spans="1:18">
      <c r="A1102" s="1">
        <v>15</v>
      </c>
      <c r="B1102" s="1" t="s">
        <v>121</v>
      </c>
      <c r="C1102" s="11">
        <v>0</v>
      </c>
      <c r="D1102" s="11">
        <v>0</v>
      </c>
      <c r="E1102" s="2">
        <f t="shared" si="36"/>
        <v>0</v>
      </c>
      <c r="F1102" s="11">
        <v>0.19500000000000001</v>
      </c>
      <c r="G1102" s="3" t="e">
        <f t="shared" si="35"/>
        <v>#DIV/0!</v>
      </c>
      <c r="R1102"/>
    </row>
    <row r="1103" spans="1:18">
      <c r="A1103" s="1">
        <v>16</v>
      </c>
      <c r="B1103" s="1" t="s">
        <v>121</v>
      </c>
      <c r="C1103" s="11">
        <v>0</v>
      </c>
      <c r="D1103" s="11">
        <v>0</v>
      </c>
      <c r="E1103" s="2">
        <f t="shared" si="36"/>
        <v>0</v>
      </c>
      <c r="F1103" s="11">
        <v>0.09</v>
      </c>
      <c r="G1103" s="3" t="e">
        <f t="shared" si="35"/>
        <v>#DIV/0!</v>
      </c>
      <c r="R1103"/>
    </row>
    <row r="1104" spans="1:18">
      <c r="A1104" s="1">
        <v>17</v>
      </c>
      <c r="B1104" s="1" t="s">
        <v>121</v>
      </c>
      <c r="C1104" s="11">
        <v>23.49</v>
      </c>
      <c r="D1104" s="11">
        <v>23.39</v>
      </c>
      <c r="E1104" s="2">
        <f t="shared" si="36"/>
        <v>9.9999999999997868E-2</v>
      </c>
      <c r="F1104" s="11">
        <v>0.29499999999999998</v>
      </c>
      <c r="G1104" s="3">
        <f t="shared" si="35"/>
        <v>1.6815666240953507E-2</v>
      </c>
      <c r="R1104"/>
    </row>
    <row r="1105" spans="1:7" customFormat="1">
      <c r="A1105" s="1">
        <v>18</v>
      </c>
      <c r="B1105" s="1" t="s">
        <v>121</v>
      </c>
      <c r="C1105" s="11">
        <v>27.53</v>
      </c>
      <c r="D1105" s="11">
        <v>26.76</v>
      </c>
      <c r="E1105" s="2">
        <f t="shared" si="36"/>
        <v>0.76999999999999957</v>
      </c>
      <c r="F1105" s="11">
        <v>0.161</v>
      </c>
      <c r="G1105" s="3">
        <f t="shared" si="35"/>
        <v>3.3817653468942957E-2</v>
      </c>
    </row>
    <row r="1106" spans="1:7" customFormat="1">
      <c r="A1106" s="1">
        <v>19</v>
      </c>
      <c r="B1106" s="1" t="s">
        <v>121</v>
      </c>
      <c r="C1106" s="11">
        <v>0</v>
      </c>
      <c r="D1106" s="11">
        <v>0</v>
      </c>
      <c r="E1106" s="2">
        <f t="shared" si="36"/>
        <v>0</v>
      </c>
      <c r="F1106" s="11">
        <v>0.16500000000000001</v>
      </c>
      <c r="G1106" s="3" t="e">
        <f t="shared" si="35"/>
        <v>#DIV/0!</v>
      </c>
    </row>
    <row r="1107" spans="1:7" customFormat="1">
      <c r="A1107" s="1">
        <v>20</v>
      </c>
      <c r="B1107" s="1" t="s">
        <v>121</v>
      </c>
      <c r="C1107" s="11">
        <v>0</v>
      </c>
      <c r="D1107" s="11">
        <v>0</v>
      </c>
      <c r="E1107" s="2">
        <f t="shared" si="36"/>
        <v>0</v>
      </c>
      <c r="F1107" s="11">
        <v>0.115</v>
      </c>
      <c r="G1107" s="3" t="e">
        <f t="shared" si="35"/>
        <v>#DIV/0!</v>
      </c>
    </row>
    <row r="1108" spans="1:7" customFormat="1">
      <c r="A1108" s="1">
        <v>21</v>
      </c>
      <c r="B1108" s="1" t="s">
        <v>121</v>
      </c>
      <c r="C1108" s="11">
        <v>24.17</v>
      </c>
      <c r="D1108" s="11">
        <v>23.96</v>
      </c>
      <c r="E1108" s="2">
        <f t="shared" si="36"/>
        <v>0.21000000000000085</v>
      </c>
      <c r="F1108" s="11">
        <v>0.11</v>
      </c>
      <c r="G1108" s="3">
        <f t="shared" si="35"/>
        <v>1.3239553165080712E-2</v>
      </c>
    </row>
    <row r="1109" spans="1:7" customFormat="1">
      <c r="A1109" s="1">
        <v>22</v>
      </c>
      <c r="B1109" s="1" t="s">
        <v>121</v>
      </c>
      <c r="C1109" s="11">
        <v>25.65</v>
      </c>
      <c r="D1109" s="11">
        <v>25.13</v>
      </c>
      <c r="E1109" s="2">
        <f t="shared" si="36"/>
        <v>0.51999999999999957</v>
      </c>
      <c r="F1109" s="11">
        <v>0.24</v>
      </c>
      <c r="G1109" s="3">
        <f t="shared" si="35"/>
        <v>2.9629629629629613E-2</v>
      </c>
    </row>
    <row r="1110" spans="1:7" customFormat="1">
      <c r="A1110" s="1">
        <v>23</v>
      </c>
      <c r="B1110" s="1" t="s">
        <v>121</v>
      </c>
      <c r="C1110" s="11">
        <v>23.72</v>
      </c>
      <c r="D1110" s="11">
        <v>23.54</v>
      </c>
      <c r="E1110" s="2">
        <f t="shared" si="36"/>
        <v>0.17999999999999972</v>
      </c>
      <c r="F1110" s="11">
        <v>0.2</v>
      </c>
      <c r="G1110" s="3">
        <f t="shared" si="35"/>
        <v>1.6020236087689703E-2</v>
      </c>
    </row>
    <row r="1111" spans="1:7" customFormat="1">
      <c r="A1111" s="1">
        <v>24</v>
      </c>
      <c r="B1111" s="1" t="s">
        <v>121</v>
      </c>
      <c r="C1111" s="11">
        <v>0</v>
      </c>
      <c r="D1111" s="11">
        <v>0</v>
      </c>
      <c r="E1111" s="2">
        <f t="shared" si="36"/>
        <v>0</v>
      </c>
      <c r="F1111" s="11">
        <v>0.19800000000000001</v>
      </c>
      <c r="G1111" s="3" t="e">
        <f t="shared" si="35"/>
        <v>#DIV/0!</v>
      </c>
    </row>
    <row r="1112" spans="1:7" customFormat="1">
      <c r="A1112" s="1">
        <v>25</v>
      </c>
      <c r="B1112" s="1" t="s">
        <v>121</v>
      </c>
      <c r="C1112" s="11">
        <v>23.78</v>
      </c>
      <c r="D1112" s="11">
        <v>23.21</v>
      </c>
      <c r="E1112" s="2">
        <f t="shared" si="36"/>
        <v>0.57000000000000028</v>
      </c>
      <c r="F1112" s="11">
        <v>0.10199999999999999</v>
      </c>
      <c r="G1112" s="3">
        <f t="shared" si="35"/>
        <v>2.8259041211101777E-2</v>
      </c>
    </row>
    <row r="1113" spans="1:7" customFormat="1">
      <c r="A1113" s="1">
        <v>26</v>
      </c>
      <c r="B1113" s="1" t="s">
        <v>121</v>
      </c>
      <c r="C1113" s="11">
        <v>0</v>
      </c>
      <c r="D1113" s="11">
        <v>0</v>
      </c>
      <c r="E1113" s="2">
        <f t="shared" si="36"/>
        <v>0</v>
      </c>
      <c r="F1113" s="11">
        <v>0.17</v>
      </c>
      <c r="G1113" s="3" t="e">
        <f t="shared" si="35"/>
        <v>#DIV/0!</v>
      </c>
    </row>
    <row r="1114" spans="1:7" customFormat="1">
      <c r="A1114" s="1">
        <v>27</v>
      </c>
      <c r="B1114" s="1" t="s">
        <v>121</v>
      </c>
      <c r="C1114" s="11">
        <v>0</v>
      </c>
      <c r="D1114" s="11">
        <v>0</v>
      </c>
      <c r="E1114" s="2">
        <f t="shared" si="36"/>
        <v>0</v>
      </c>
      <c r="F1114" s="11">
        <v>0.13500000000000001</v>
      </c>
      <c r="G1114" s="3" t="e">
        <f t="shared" si="35"/>
        <v>#DIV/0!</v>
      </c>
    </row>
    <row r="1115" spans="1:7" customFormat="1">
      <c r="A1115" s="1">
        <v>28</v>
      </c>
      <c r="B1115" s="1" t="s">
        <v>121</v>
      </c>
      <c r="C1115" s="11">
        <v>25.49</v>
      </c>
      <c r="D1115" s="11">
        <v>25.39</v>
      </c>
      <c r="E1115" s="2">
        <f t="shared" si="36"/>
        <v>9.9999999999997868E-2</v>
      </c>
      <c r="F1115" s="11">
        <v>0.16</v>
      </c>
      <c r="G1115" s="3">
        <f t="shared" si="35"/>
        <v>1.0200078462141935E-2</v>
      </c>
    </row>
    <row r="1116" spans="1:7" customFormat="1">
      <c r="A1116" s="1">
        <v>29</v>
      </c>
      <c r="B1116" s="1" t="s">
        <v>121</v>
      </c>
      <c r="C1116" s="11">
        <v>0</v>
      </c>
      <c r="D1116" s="11">
        <v>0</v>
      </c>
      <c r="E1116" s="2">
        <f t="shared" si="36"/>
        <v>0</v>
      </c>
      <c r="F1116" s="11">
        <v>0.19</v>
      </c>
      <c r="G1116" s="3" t="e">
        <f t="shared" si="35"/>
        <v>#DIV/0!</v>
      </c>
    </row>
    <row r="1117" spans="1:7" customFormat="1">
      <c r="A1117" s="1">
        <v>30</v>
      </c>
      <c r="B1117" s="1" t="s">
        <v>121</v>
      </c>
      <c r="C1117" s="11">
        <v>0</v>
      </c>
      <c r="D1117" s="11">
        <v>0</v>
      </c>
      <c r="E1117" s="2">
        <f t="shared" si="36"/>
        <v>0</v>
      </c>
      <c r="F1117" s="11">
        <v>0.16300000000000001</v>
      </c>
      <c r="G1117" s="3" t="e">
        <f t="shared" si="35"/>
        <v>#DIV/0!</v>
      </c>
    </row>
    <row r="1118" spans="1:7" customFormat="1">
      <c r="A1118" s="1">
        <v>31</v>
      </c>
      <c r="B1118" s="1" t="s">
        <v>121</v>
      </c>
      <c r="C1118" s="11">
        <v>25.88</v>
      </c>
      <c r="D1118" s="11">
        <v>25.67</v>
      </c>
      <c r="E1118" s="2">
        <f t="shared" si="36"/>
        <v>0.2099999999999973</v>
      </c>
      <c r="F1118" s="11">
        <v>0.125</v>
      </c>
      <c r="G1118" s="3">
        <f t="shared" si="35"/>
        <v>1.2944358578052446E-2</v>
      </c>
    </row>
    <row r="1119" spans="1:7" customFormat="1">
      <c r="A1119" s="1">
        <v>1</v>
      </c>
      <c r="B1119" s="1" t="s">
        <v>122</v>
      </c>
      <c r="C1119" s="11">
        <v>0</v>
      </c>
      <c r="D1119" s="11">
        <v>0</v>
      </c>
      <c r="E1119" s="2">
        <f t="shared" si="36"/>
        <v>0</v>
      </c>
      <c r="F1119" s="11">
        <v>0</v>
      </c>
      <c r="G1119" s="3" t="e">
        <f t="shared" ref="G1119:G1211" si="37">(E1119+F1119)/C1119</f>
        <v>#DIV/0!</v>
      </c>
    </row>
    <row r="1120" spans="1:7" customFormat="1">
      <c r="A1120" s="1">
        <v>2</v>
      </c>
      <c r="B1120" s="1" t="s">
        <v>122</v>
      </c>
      <c r="C1120" s="11">
        <v>0</v>
      </c>
      <c r="D1120" s="11">
        <v>0</v>
      </c>
      <c r="E1120" s="2">
        <f t="shared" si="36"/>
        <v>0</v>
      </c>
      <c r="F1120" s="11">
        <v>0</v>
      </c>
      <c r="G1120" s="3" t="e">
        <f t="shared" si="37"/>
        <v>#DIV/0!</v>
      </c>
    </row>
    <row r="1121" spans="1:18">
      <c r="A1121" s="1">
        <v>3</v>
      </c>
      <c r="B1121" s="1" t="s">
        <v>122</v>
      </c>
      <c r="C1121" s="11">
        <v>29.85</v>
      </c>
      <c r="D1121" s="11">
        <v>29.61</v>
      </c>
      <c r="E1121" s="2">
        <f t="shared" si="36"/>
        <v>0.24000000000000199</v>
      </c>
      <c r="F1121" s="11">
        <v>0.24</v>
      </c>
      <c r="G1121" s="3">
        <f t="shared" si="37"/>
        <v>1.6080402010050315E-2</v>
      </c>
      <c r="R1121"/>
    </row>
    <row r="1122" spans="1:18">
      <c r="A1122" s="1">
        <v>4</v>
      </c>
      <c r="B1122" s="1" t="s">
        <v>122</v>
      </c>
      <c r="C1122" s="11">
        <v>0</v>
      </c>
      <c r="D1122" s="11">
        <v>0</v>
      </c>
      <c r="E1122" s="2">
        <f t="shared" si="36"/>
        <v>0</v>
      </c>
      <c r="F1122" s="11">
        <v>0</v>
      </c>
      <c r="G1122" s="3" t="e">
        <f t="shared" si="37"/>
        <v>#DIV/0!</v>
      </c>
      <c r="R1122"/>
    </row>
    <row r="1123" spans="1:18">
      <c r="A1123" s="1">
        <v>5</v>
      </c>
      <c r="B1123" s="1" t="s">
        <v>122</v>
      </c>
      <c r="C1123" s="11">
        <v>0</v>
      </c>
      <c r="D1123" s="11">
        <v>0</v>
      </c>
      <c r="E1123" s="2">
        <f t="shared" si="36"/>
        <v>0</v>
      </c>
      <c r="F1123" s="11">
        <v>0</v>
      </c>
      <c r="G1123" s="3" t="e">
        <f t="shared" si="37"/>
        <v>#DIV/0!</v>
      </c>
      <c r="R1123"/>
    </row>
    <row r="1124" spans="1:18">
      <c r="A1124" s="1">
        <v>6</v>
      </c>
      <c r="B1124" s="1" t="s">
        <v>122</v>
      </c>
      <c r="C1124" s="11">
        <v>25.68</v>
      </c>
      <c r="D1124" s="11">
        <v>25.59</v>
      </c>
      <c r="E1124" s="2">
        <f t="shared" si="36"/>
        <v>8.9999999999999858E-2</v>
      </c>
      <c r="F1124" s="11">
        <v>1.2999999999999999E-2</v>
      </c>
      <c r="G1124" s="3">
        <f t="shared" si="37"/>
        <v>4.0109034267912713E-3</v>
      </c>
      <c r="R1124"/>
    </row>
    <row r="1125" spans="1:18">
      <c r="A1125" s="1">
        <v>7</v>
      </c>
      <c r="B1125" s="1" t="s">
        <v>122</v>
      </c>
      <c r="C1125" s="11">
        <v>0</v>
      </c>
      <c r="D1125" s="11">
        <v>0</v>
      </c>
      <c r="E1125" s="2">
        <f t="shared" si="36"/>
        <v>0</v>
      </c>
      <c r="F1125" s="11">
        <v>1.2999999999999999E-2</v>
      </c>
      <c r="G1125" s="3" t="e">
        <f t="shared" si="37"/>
        <v>#DIV/0!</v>
      </c>
      <c r="R1125"/>
    </row>
    <row r="1126" spans="1:18">
      <c r="A1126" s="1">
        <v>10</v>
      </c>
      <c r="B1126" s="1" t="s">
        <v>122</v>
      </c>
      <c r="C1126" s="11">
        <v>22.16</v>
      </c>
      <c r="D1126" s="11">
        <v>21.54</v>
      </c>
      <c r="E1126" s="2">
        <f t="shared" si="36"/>
        <v>0.62000000000000099</v>
      </c>
      <c r="F1126" s="11">
        <v>0</v>
      </c>
      <c r="G1126" s="3">
        <f t="shared" si="37"/>
        <v>2.7978339350180549E-2</v>
      </c>
      <c r="R1126"/>
    </row>
    <row r="1127" spans="1:18">
      <c r="A1127" s="1">
        <v>8</v>
      </c>
      <c r="B1127" s="1" t="s">
        <v>122</v>
      </c>
      <c r="C1127" s="11">
        <v>26.27</v>
      </c>
      <c r="D1127" s="11">
        <v>26.08</v>
      </c>
      <c r="E1127" s="2">
        <f t="shared" si="36"/>
        <v>0.19000000000000128</v>
      </c>
      <c r="F1127" s="11">
        <v>0.19</v>
      </c>
      <c r="G1127" s="3">
        <f t="shared" si="37"/>
        <v>1.4465169394746909E-2</v>
      </c>
    </row>
    <row r="1128" spans="1:18">
      <c r="A1128" s="1">
        <v>9</v>
      </c>
      <c r="B1128" s="1" t="s">
        <v>122</v>
      </c>
      <c r="C1128" s="11">
        <v>0</v>
      </c>
      <c r="D1128" s="11">
        <v>0</v>
      </c>
      <c r="E1128" s="2">
        <f t="shared" si="36"/>
        <v>0</v>
      </c>
      <c r="F1128" s="11">
        <v>0</v>
      </c>
      <c r="G1128" s="3" t="e">
        <f t="shared" si="37"/>
        <v>#DIV/0!</v>
      </c>
      <c r="R1128"/>
    </row>
    <row r="1129" spans="1:18">
      <c r="A1129" s="1">
        <v>11</v>
      </c>
      <c r="B1129" s="1" t="s">
        <v>122</v>
      </c>
      <c r="C1129" s="11">
        <v>25.57</v>
      </c>
      <c r="D1129" s="11">
        <v>25.32</v>
      </c>
      <c r="E1129" s="2">
        <f t="shared" si="36"/>
        <v>0.25</v>
      </c>
      <c r="F1129" s="11">
        <v>0</v>
      </c>
      <c r="G1129" s="3">
        <f t="shared" si="37"/>
        <v>9.7770825185764573E-3</v>
      </c>
      <c r="R1129"/>
    </row>
    <row r="1130" spans="1:18">
      <c r="A1130" s="1">
        <v>12</v>
      </c>
      <c r="B1130" s="1" t="s">
        <v>122</v>
      </c>
      <c r="C1130" s="11">
        <v>0</v>
      </c>
      <c r="D1130" s="11">
        <v>0</v>
      </c>
      <c r="E1130" s="2">
        <f t="shared" si="36"/>
        <v>0</v>
      </c>
      <c r="F1130" s="11">
        <v>0.84</v>
      </c>
      <c r="G1130" s="3" t="e">
        <f t="shared" si="37"/>
        <v>#DIV/0!</v>
      </c>
      <c r="R1130"/>
    </row>
    <row r="1131" spans="1:18">
      <c r="A1131" s="1">
        <v>13</v>
      </c>
      <c r="B1131" s="1" t="s">
        <v>122</v>
      </c>
      <c r="C1131" s="11">
        <v>25.59</v>
      </c>
      <c r="D1131" s="11">
        <v>25.38</v>
      </c>
      <c r="E1131" s="2">
        <f t="shared" si="36"/>
        <v>0.21000000000000085</v>
      </c>
      <c r="F1131" s="11">
        <v>0.21</v>
      </c>
      <c r="G1131" s="3">
        <f t="shared" si="37"/>
        <v>1.6412661195779634E-2</v>
      </c>
      <c r="R1131"/>
    </row>
    <row r="1132" spans="1:18">
      <c r="A1132" s="1">
        <v>14</v>
      </c>
      <c r="B1132" s="1" t="s">
        <v>122</v>
      </c>
      <c r="C1132" s="11">
        <v>23.01</v>
      </c>
      <c r="D1132" s="11">
        <v>22.86</v>
      </c>
      <c r="E1132" s="2">
        <f t="shared" si="36"/>
        <v>0.15000000000000213</v>
      </c>
      <c r="F1132" s="11">
        <v>0.25</v>
      </c>
      <c r="G1132" s="3">
        <f t="shared" si="37"/>
        <v>1.7383746197305611E-2</v>
      </c>
      <c r="R1132"/>
    </row>
    <row r="1133" spans="1:18">
      <c r="A1133" s="1">
        <v>15</v>
      </c>
      <c r="B1133" s="1" t="s">
        <v>122</v>
      </c>
      <c r="C1133" s="11">
        <v>25.32</v>
      </c>
      <c r="D1133" s="11">
        <v>25.09</v>
      </c>
      <c r="E1133" s="2">
        <f t="shared" si="36"/>
        <v>0.23000000000000043</v>
      </c>
      <c r="F1133" s="11">
        <v>0.96</v>
      </c>
      <c r="G1133" s="3">
        <f t="shared" si="37"/>
        <v>4.6998420221169054E-2</v>
      </c>
      <c r="R1133"/>
    </row>
    <row r="1134" spans="1:18">
      <c r="A1134" s="1">
        <v>16</v>
      </c>
      <c r="B1134" s="1" t="s">
        <v>122</v>
      </c>
      <c r="C1134" s="11">
        <v>0</v>
      </c>
      <c r="D1134" s="11">
        <v>0</v>
      </c>
      <c r="E1134" s="2">
        <f t="shared" si="36"/>
        <v>0</v>
      </c>
      <c r="F1134" s="11">
        <v>0.19600000000000001</v>
      </c>
      <c r="G1134" s="3" t="e">
        <f t="shared" si="37"/>
        <v>#DIV/0!</v>
      </c>
      <c r="R1134"/>
    </row>
    <row r="1135" spans="1:18">
      <c r="A1135" s="1">
        <v>17</v>
      </c>
      <c r="B1135" s="1" t="s">
        <v>122</v>
      </c>
      <c r="C1135" s="11">
        <v>23.03</v>
      </c>
      <c r="D1135" s="11">
        <v>22.83</v>
      </c>
      <c r="E1135" s="2">
        <f t="shared" si="36"/>
        <v>0.20000000000000284</v>
      </c>
      <c r="F1135" s="11">
        <v>0.19600000000000001</v>
      </c>
      <c r="G1135" s="3">
        <f t="shared" si="37"/>
        <v>1.7194963091619751E-2</v>
      </c>
      <c r="R1135"/>
    </row>
    <row r="1136" spans="1:18">
      <c r="A1136" s="1">
        <v>18</v>
      </c>
      <c r="B1136" s="1" t="s">
        <v>122</v>
      </c>
      <c r="C1136" s="11">
        <v>26.07</v>
      </c>
      <c r="D1136" s="11">
        <v>25.81</v>
      </c>
      <c r="E1136" s="2">
        <f t="shared" si="36"/>
        <v>0.26000000000000156</v>
      </c>
      <c r="F1136" s="11">
        <v>0</v>
      </c>
      <c r="G1136" s="3">
        <f t="shared" si="37"/>
        <v>9.9731492136556025E-3</v>
      </c>
      <c r="R1136"/>
    </row>
    <row r="1137" spans="1:7" customFormat="1">
      <c r="A1137" s="1">
        <v>19</v>
      </c>
      <c r="B1137" s="1" t="s">
        <v>122</v>
      </c>
      <c r="C1137" s="11">
        <v>13</v>
      </c>
      <c r="D1137" s="11">
        <v>12.86</v>
      </c>
      <c r="E1137" s="2">
        <f t="shared" si="36"/>
        <v>0.14000000000000057</v>
      </c>
      <c r="F1137" s="11">
        <v>0.84</v>
      </c>
      <c r="G1137" s="3">
        <f t="shared" si="37"/>
        <v>7.5384615384615425E-2</v>
      </c>
    </row>
    <row r="1138" spans="1:7" customFormat="1">
      <c r="A1138" s="1">
        <v>20</v>
      </c>
      <c r="B1138" s="1" t="s">
        <v>122</v>
      </c>
      <c r="C1138" s="11">
        <v>29.17</v>
      </c>
      <c r="D1138" s="11">
        <v>28.95</v>
      </c>
      <c r="E1138" s="2">
        <f t="shared" si="36"/>
        <v>0.22000000000000242</v>
      </c>
      <c r="F1138" s="11">
        <v>0.22</v>
      </c>
      <c r="G1138" s="3">
        <f t="shared" si="37"/>
        <v>1.5083990401097098E-2</v>
      </c>
    </row>
    <row r="1139" spans="1:7" customFormat="1">
      <c r="A1139" s="1">
        <v>21</v>
      </c>
      <c r="B1139" s="1" t="s">
        <v>122</v>
      </c>
      <c r="C1139" s="11">
        <v>50.65</v>
      </c>
      <c r="D1139" s="11">
        <v>50.21</v>
      </c>
      <c r="E1139" s="2">
        <f t="shared" si="36"/>
        <v>0.43999999999999773</v>
      </c>
      <c r="F1139" s="11">
        <v>9.0999999999999998E-2</v>
      </c>
      <c r="G1139" s="3">
        <f t="shared" si="37"/>
        <v>1.0483711747285246E-2</v>
      </c>
    </row>
    <row r="1140" spans="1:7" customFormat="1">
      <c r="A1140" s="1">
        <v>22</v>
      </c>
      <c r="B1140" s="1" t="s">
        <v>122</v>
      </c>
      <c r="C1140" s="11">
        <v>23.72</v>
      </c>
      <c r="D1140" s="11">
        <v>23.5</v>
      </c>
      <c r="E1140" s="2">
        <f t="shared" si="36"/>
        <v>0.21999999999999886</v>
      </c>
      <c r="F1140" s="11">
        <v>9.0999999999999998E-2</v>
      </c>
      <c r="G1140" s="3">
        <f t="shared" si="37"/>
        <v>1.3111298482293374E-2</v>
      </c>
    </row>
    <row r="1141" spans="1:7" customFormat="1">
      <c r="A1141" s="1">
        <v>23</v>
      </c>
      <c r="B1141" s="1" t="s">
        <v>122</v>
      </c>
      <c r="C1141" s="11">
        <v>0</v>
      </c>
      <c r="D1141" s="11">
        <v>0</v>
      </c>
      <c r="E1141" s="2">
        <f t="shared" si="36"/>
        <v>0</v>
      </c>
      <c r="F1141" s="11">
        <v>0.29499999999999998</v>
      </c>
      <c r="G1141" s="3" t="e">
        <f t="shared" si="37"/>
        <v>#DIV/0!</v>
      </c>
    </row>
    <row r="1142" spans="1:7" customFormat="1">
      <c r="A1142" s="1">
        <v>24</v>
      </c>
      <c r="B1142" s="1" t="s">
        <v>122</v>
      </c>
      <c r="C1142" s="11">
        <v>28.7</v>
      </c>
      <c r="D1142" s="11">
        <v>28.5</v>
      </c>
      <c r="E1142" s="2">
        <f t="shared" si="36"/>
        <v>0.19999999999999929</v>
      </c>
      <c r="F1142" s="11">
        <v>0.29499999999999998</v>
      </c>
      <c r="G1142" s="3">
        <f t="shared" si="37"/>
        <v>1.7247386759581856E-2</v>
      </c>
    </row>
    <row r="1143" spans="1:7" customFormat="1">
      <c r="A1143" s="1">
        <v>25</v>
      </c>
      <c r="B1143" s="1" t="s">
        <v>122</v>
      </c>
      <c r="C1143" s="11">
        <v>28.51</v>
      </c>
      <c r="D1143" s="11">
        <v>28.3</v>
      </c>
      <c r="E1143" s="2">
        <f t="shared" si="36"/>
        <v>0.21000000000000085</v>
      </c>
      <c r="F1143" s="11">
        <v>0.44</v>
      </c>
      <c r="G1143" s="3">
        <f t="shared" si="37"/>
        <v>2.2799017888460216E-2</v>
      </c>
    </row>
    <row r="1144" spans="1:7" customFormat="1">
      <c r="A1144" s="1">
        <v>26</v>
      </c>
      <c r="B1144" s="1" t="s">
        <v>122</v>
      </c>
      <c r="C1144" s="11">
        <v>122.67</v>
      </c>
      <c r="D1144" s="11">
        <v>121.63</v>
      </c>
      <c r="E1144" s="2">
        <f t="shared" si="36"/>
        <v>1.0400000000000063</v>
      </c>
      <c r="F1144" s="11">
        <v>0.44</v>
      </c>
      <c r="G1144" s="3">
        <f t="shared" si="37"/>
        <v>1.2064889541045131E-2</v>
      </c>
    </row>
    <row r="1145" spans="1:7" customFormat="1">
      <c r="A1145" s="1">
        <v>27</v>
      </c>
      <c r="B1145" s="1" t="s">
        <v>122</v>
      </c>
      <c r="C1145" s="11">
        <v>27.18</v>
      </c>
      <c r="D1145" s="11">
        <v>26.99</v>
      </c>
      <c r="E1145" s="2">
        <f t="shared" si="36"/>
        <v>0.19000000000000128</v>
      </c>
      <c r="F1145" s="11">
        <v>0.36</v>
      </c>
      <c r="G1145" s="3">
        <f t="shared" si="37"/>
        <v>2.0235467255334851E-2</v>
      </c>
    </row>
    <row r="1146" spans="1:7" customFormat="1">
      <c r="A1146" s="1">
        <v>28</v>
      </c>
      <c r="B1146" s="1" t="s">
        <v>122</v>
      </c>
      <c r="C1146" s="11">
        <v>24.72</v>
      </c>
      <c r="D1146" s="11">
        <v>24.55</v>
      </c>
      <c r="E1146" s="2">
        <f t="shared" si="36"/>
        <v>0.16999999999999815</v>
      </c>
      <c r="F1146" s="11">
        <v>0.17</v>
      </c>
      <c r="G1146" s="3">
        <f t="shared" si="37"/>
        <v>1.3754045307443293E-2</v>
      </c>
    </row>
    <row r="1147" spans="1:7" customFormat="1">
      <c r="A1147" s="1">
        <v>29</v>
      </c>
      <c r="B1147" s="1" t="s">
        <v>122</v>
      </c>
      <c r="C1147" s="11">
        <v>0</v>
      </c>
      <c r="D1147" s="11">
        <v>0</v>
      </c>
      <c r="E1147" s="2">
        <f t="shared" si="36"/>
        <v>0</v>
      </c>
      <c r="F1147" s="11">
        <v>0</v>
      </c>
      <c r="G1147" s="3" t="e">
        <f t="shared" si="37"/>
        <v>#DIV/0!</v>
      </c>
    </row>
    <row r="1148" spans="1:7" customFormat="1">
      <c r="A1148" s="1">
        <v>30</v>
      </c>
      <c r="B1148" s="1" t="s">
        <v>122</v>
      </c>
      <c r="C1148" s="11">
        <v>25.96</v>
      </c>
      <c r="D1148" s="11">
        <v>25.73</v>
      </c>
      <c r="E1148" s="2">
        <f t="shared" si="36"/>
        <v>0.23000000000000043</v>
      </c>
      <c r="F1148" s="11">
        <v>0.23</v>
      </c>
      <c r="G1148" s="3">
        <f t="shared" si="37"/>
        <v>1.7719568567026209E-2</v>
      </c>
    </row>
    <row r="1149" spans="1:7" customFormat="1">
      <c r="A1149" s="1">
        <v>31</v>
      </c>
      <c r="B1149" s="1" t="s">
        <v>122</v>
      </c>
      <c r="C1149" s="11">
        <v>26.44</v>
      </c>
      <c r="D1149" s="11">
        <v>26.22</v>
      </c>
      <c r="E1149" s="2">
        <f t="shared" si="36"/>
        <v>0.22000000000000242</v>
      </c>
      <c r="F1149" s="11">
        <v>0.23</v>
      </c>
      <c r="G1149" s="3">
        <f t="shared" si="37"/>
        <v>1.7019667170953191E-2</v>
      </c>
    </row>
    <row r="1150" spans="1:7" customFormat="1">
      <c r="A1150" s="1">
        <v>1</v>
      </c>
      <c r="B1150" s="1" t="s">
        <v>123</v>
      </c>
      <c r="C1150" s="11">
        <v>0</v>
      </c>
      <c r="D1150" s="11">
        <v>0</v>
      </c>
      <c r="E1150" s="2">
        <f t="shared" si="36"/>
        <v>0</v>
      </c>
      <c r="F1150" s="11">
        <v>0.17</v>
      </c>
      <c r="G1150" s="3" t="e">
        <f t="shared" ref="G1150:G1180" si="38">(E1150+F1150)/C1150</f>
        <v>#DIV/0!</v>
      </c>
    </row>
    <row r="1151" spans="1:7" customFormat="1">
      <c r="A1151" s="1">
        <v>2</v>
      </c>
      <c r="B1151" s="1" t="s">
        <v>123</v>
      </c>
      <c r="C1151" s="11">
        <v>23.86</v>
      </c>
      <c r="D1151" s="11">
        <v>23.53</v>
      </c>
      <c r="E1151" s="2">
        <f t="shared" si="36"/>
        <v>0.32999999999999829</v>
      </c>
      <c r="F1151" s="11">
        <v>0.155</v>
      </c>
      <c r="G1151" s="3">
        <f t="shared" si="38"/>
        <v>2.0326906957250559E-2</v>
      </c>
    </row>
    <row r="1152" spans="1:7" customFormat="1">
      <c r="A1152" s="1">
        <v>3</v>
      </c>
      <c r="B1152" s="1" t="s">
        <v>123</v>
      </c>
      <c r="C1152" s="11">
        <v>0</v>
      </c>
      <c r="D1152" s="11">
        <v>0</v>
      </c>
      <c r="E1152" s="2">
        <f t="shared" si="36"/>
        <v>0</v>
      </c>
      <c r="F1152" s="11">
        <v>0.16500000000000001</v>
      </c>
      <c r="G1152" s="3" t="e">
        <f t="shared" si="38"/>
        <v>#DIV/0!</v>
      </c>
    </row>
    <row r="1153" spans="1:18">
      <c r="A1153" s="1">
        <v>4</v>
      </c>
      <c r="B1153" s="1" t="s">
        <v>123</v>
      </c>
      <c r="C1153" s="11">
        <v>26.16</v>
      </c>
      <c r="D1153" s="11">
        <v>25.84</v>
      </c>
      <c r="E1153" s="2">
        <f t="shared" si="36"/>
        <v>0.32000000000000028</v>
      </c>
      <c r="F1153" s="11">
        <v>0.15</v>
      </c>
      <c r="G1153" s="3">
        <f t="shared" si="38"/>
        <v>1.7966360856269126E-2</v>
      </c>
      <c r="R1153"/>
    </row>
    <row r="1154" spans="1:18">
      <c r="A1154" s="1">
        <v>5</v>
      </c>
      <c r="B1154" s="1" t="s">
        <v>123</v>
      </c>
      <c r="C1154" s="11">
        <v>0</v>
      </c>
      <c r="D1154" s="11">
        <v>0</v>
      </c>
      <c r="E1154" s="2">
        <f t="shared" si="36"/>
        <v>0</v>
      </c>
      <c r="F1154" s="11">
        <v>0.13499999999999801</v>
      </c>
      <c r="G1154" s="3" t="e">
        <f t="shared" si="38"/>
        <v>#DIV/0!</v>
      </c>
      <c r="R1154"/>
    </row>
    <row r="1155" spans="1:18">
      <c r="A1155" s="1">
        <v>6</v>
      </c>
      <c r="B1155" s="1" t="s">
        <v>123</v>
      </c>
      <c r="C1155" s="11">
        <v>0</v>
      </c>
      <c r="D1155" s="11">
        <v>0</v>
      </c>
      <c r="E1155" s="2">
        <f t="shared" si="36"/>
        <v>0</v>
      </c>
      <c r="F1155" s="11">
        <v>0.125</v>
      </c>
      <c r="G1155" s="3" t="e">
        <f t="shared" si="38"/>
        <v>#DIV/0!</v>
      </c>
      <c r="R1155"/>
    </row>
    <row r="1156" spans="1:18">
      <c r="A1156" s="1">
        <v>7</v>
      </c>
      <c r="B1156" s="1" t="s">
        <v>123</v>
      </c>
      <c r="C1156" s="11">
        <v>0</v>
      </c>
      <c r="D1156" s="11">
        <v>0</v>
      </c>
      <c r="E1156" s="2">
        <f t="shared" ref="E1156:E1211" si="39">C1156-D1156</f>
        <v>0</v>
      </c>
      <c r="F1156" s="11">
        <v>0.11</v>
      </c>
      <c r="G1156" s="3" t="e">
        <f t="shared" si="38"/>
        <v>#DIV/0!</v>
      </c>
      <c r="R1156"/>
    </row>
    <row r="1157" spans="1:18">
      <c r="A1157" s="1">
        <v>10</v>
      </c>
      <c r="B1157" s="1" t="s">
        <v>123</v>
      </c>
      <c r="C1157" s="11">
        <v>0</v>
      </c>
      <c r="D1157" s="11">
        <v>0</v>
      </c>
      <c r="E1157" s="2">
        <f t="shared" si="39"/>
        <v>0</v>
      </c>
      <c r="F1157" s="11">
        <v>7.4999999999999289E-2</v>
      </c>
      <c r="G1157" s="3" t="e">
        <f t="shared" si="38"/>
        <v>#DIV/0!</v>
      </c>
      <c r="R1157"/>
    </row>
    <row r="1158" spans="1:18">
      <c r="A1158" s="1">
        <v>8</v>
      </c>
      <c r="B1158" s="1" t="s">
        <v>123</v>
      </c>
      <c r="C1158" s="11">
        <v>27.88</v>
      </c>
      <c r="D1158" s="11">
        <v>27.48</v>
      </c>
      <c r="E1158" s="2">
        <f t="shared" si="39"/>
        <v>0.39999999999999858</v>
      </c>
      <c r="F1158" s="11">
        <v>0.14499999999999999</v>
      </c>
      <c r="G1158" s="3">
        <f t="shared" si="38"/>
        <v>1.954806312769005E-2</v>
      </c>
    </row>
    <row r="1159" spans="1:18">
      <c r="A1159" s="1">
        <v>9</v>
      </c>
      <c r="B1159" s="1" t="s">
        <v>123</v>
      </c>
      <c r="C1159" s="11">
        <v>0</v>
      </c>
      <c r="D1159" s="11">
        <v>0</v>
      </c>
      <c r="E1159" s="2">
        <f t="shared" si="39"/>
        <v>0</v>
      </c>
      <c r="F1159" s="11">
        <v>8.4999999999993747E-2</v>
      </c>
      <c r="G1159" s="3" t="e">
        <f t="shared" si="38"/>
        <v>#DIV/0!</v>
      </c>
      <c r="R1159"/>
    </row>
    <row r="1160" spans="1:18">
      <c r="A1160" s="1">
        <v>11</v>
      </c>
      <c r="B1160" s="1" t="s">
        <v>123</v>
      </c>
      <c r="C1160" s="11">
        <v>0</v>
      </c>
      <c r="D1160" s="11">
        <v>0</v>
      </c>
      <c r="E1160" s="2">
        <f t="shared" si="39"/>
        <v>0</v>
      </c>
      <c r="F1160" s="11">
        <v>0.14499999999999999</v>
      </c>
      <c r="G1160" s="3" t="e">
        <f t="shared" si="38"/>
        <v>#DIV/0!</v>
      </c>
      <c r="R1160"/>
    </row>
    <row r="1161" spans="1:18">
      <c r="A1161" s="1">
        <v>12</v>
      </c>
      <c r="B1161" s="1" t="s">
        <v>123</v>
      </c>
      <c r="C1161" s="11">
        <v>22.56</v>
      </c>
      <c r="D1161" s="11">
        <v>22.11</v>
      </c>
      <c r="E1161" s="2">
        <f t="shared" si="39"/>
        <v>0.44999999999999929</v>
      </c>
      <c r="F1161" s="11">
        <v>0.13500000000000001</v>
      </c>
      <c r="G1161" s="3">
        <f t="shared" si="38"/>
        <v>2.5930851063829759E-2</v>
      </c>
      <c r="R1161"/>
    </row>
    <row r="1162" spans="1:18">
      <c r="A1162" s="1">
        <v>13</v>
      </c>
      <c r="B1162" s="1" t="s">
        <v>123</v>
      </c>
      <c r="C1162" s="11">
        <v>0</v>
      </c>
      <c r="D1162" s="11">
        <v>0</v>
      </c>
      <c r="E1162" s="2">
        <f t="shared" si="39"/>
        <v>0</v>
      </c>
      <c r="F1162" s="11">
        <v>0.125</v>
      </c>
      <c r="G1162" s="3" t="e">
        <f t="shared" si="38"/>
        <v>#DIV/0!</v>
      </c>
      <c r="R1162"/>
    </row>
    <row r="1163" spans="1:18">
      <c r="A1163" s="1">
        <v>14</v>
      </c>
      <c r="B1163" s="1" t="s">
        <v>123</v>
      </c>
      <c r="C1163" s="11">
        <v>26.16</v>
      </c>
      <c r="D1163" s="11">
        <v>25.69</v>
      </c>
      <c r="E1163" s="2">
        <f t="shared" si="39"/>
        <v>0.46999999999999886</v>
      </c>
      <c r="F1163" s="11">
        <v>0.115</v>
      </c>
      <c r="G1163" s="3">
        <f t="shared" si="38"/>
        <v>2.2362385321100874E-2</v>
      </c>
      <c r="R1163"/>
    </row>
    <row r="1164" spans="1:18">
      <c r="A1164" s="1">
        <v>15</v>
      </c>
      <c r="B1164" s="1" t="s">
        <v>123</v>
      </c>
      <c r="C1164" s="11">
        <v>0</v>
      </c>
      <c r="D1164" s="11">
        <v>0</v>
      </c>
      <c r="E1164" s="2">
        <f t="shared" si="39"/>
        <v>0</v>
      </c>
      <c r="F1164" s="11">
        <v>0.14000000000000001</v>
      </c>
      <c r="G1164" s="3" t="e">
        <f t="shared" si="38"/>
        <v>#DIV/0!</v>
      </c>
      <c r="R1164"/>
    </row>
    <row r="1165" spans="1:18">
      <c r="A1165" s="1">
        <v>16</v>
      </c>
      <c r="B1165" s="1" t="s">
        <v>123</v>
      </c>
      <c r="C1165" s="11">
        <v>50.1</v>
      </c>
      <c r="D1165" s="11">
        <v>49.28</v>
      </c>
      <c r="E1165" s="2">
        <f t="shared" si="39"/>
        <v>0.82000000000000028</v>
      </c>
      <c r="F1165" s="11">
        <v>0.125</v>
      </c>
      <c r="G1165" s="3">
        <f t="shared" si="38"/>
        <v>1.8862275449101802E-2</v>
      </c>
      <c r="R1165"/>
    </row>
    <row r="1166" spans="1:18">
      <c r="A1166" s="1">
        <v>17</v>
      </c>
      <c r="B1166" s="1" t="s">
        <v>123</v>
      </c>
      <c r="C1166" s="11">
        <v>0</v>
      </c>
      <c r="D1166" s="11">
        <v>0</v>
      </c>
      <c r="E1166" s="2">
        <f t="shared" si="39"/>
        <v>0</v>
      </c>
      <c r="F1166" s="11">
        <v>0.1</v>
      </c>
      <c r="G1166" s="3" t="e">
        <f t="shared" si="38"/>
        <v>#DIV/0!</v>
      </c>
      <c r="R1166"/>
    </row>
    <row r="1167" spans="1:18">
      <c r="A1167" s="1">
        <v>18</v>
      </c>
      <c r="B1167" s="1" t="s">
        <v>123</v>
      </c>
      <c r="C1167" s="11">
        <v>0</v>
      </c>
      <c r="D1167" s="11">
        <v>0</v>
      </c>
      <c r="E1167" s="2">
        <f t="shared" si="39"/>
        <v>0</v>
      </c>
      <c r="F1167" s="11">
        <v>0.155</v>
      </c>
      <c r="G1167" s="3" t="e">
        <f t="shared" si="38"/>
        <v>#DIV/0!</v>
      </c>
      <c r="R1167"/>
    </row>
    <row r="1168" spans="1:18">
      <c r="A1168" s="1">
        <v>19</v>
      </c>
      <c r="B1168" s="1" t="s">
        <v>123</v>
      </c>
      <c r="C1168" s="11">
        <v>0</v>
      </c>
      <c r="D1168" s="11">
        <v>0</v>
      </c>
      <c r="E1168" s="2">
        <f t="shared" si="39"/>
        <v>0</v>
      </c>
      <c r="F1168" s="11">
        <v>0.15</v>
      </c>
      <c r="G1168" s="3" t="e">
        <f t="shared" si="38"/>
        <v>#DIV/0!</v>
      </c>
      <c r="R1168"/>
    </row>
    <row r="1169" spans="1:7" customFormat="1">
      <c r="A1169" s="1">
        <v>20</v>
      </c>
      <c r="B1169" s="1" t="s">
        <v>123</v>
      </c>
      <c r="C1169" s="11">
        <v>0</v>
      </c>
      <c r="D1169" s="11">
        <v>0</v>
      </c>
      <c r="E1169" s="2">
        <f t="shared" si="39"/>
        <v>0</v>
      </c>
      <c r="F1169" s="11">
        <v>0.13</v>
      </c>
      <c r="G1169" s="3" t="e">
        <f t="shared" si="38"/>
        <v>#DIV/0!</v>
      </c>
    </row>
    <row r="1170" spans="1:7" customFormat="1">
      <c r="A1170" s="1">
        <v>21</v>
      </c>
      <c r="B1170" s="1" t="s">
        <v>123</v>
      </c>
      <c r="C1170" s="11">
        <v>0</v>
      </c>
      <c r="D1170" s="11">
        <v>0</v>
      </c>
      <c r="E1170" s="2">
        <f t="shared" si="39"/>
        <v>0</v>
      </c>
      <c r="F1170" s="11">
        <v>0.13</v>
      </c>
      <c r="G1170" s="3" t="e">
        <f t="shared" si="38"/>
        <v>#DIV/0!</v>
      </c>
    </row>
    <row r="1171" spans="1:7" customFormat="1">
      <c r="A1171" s="1">
        <v>22</v>
      </c>
      <c r="B1171" s="1" t="s">
        <v>123</v>
      </c>
      <c r="C1171" s="11">
        <v>23.53</v>
      </c>
      <c r="D1171" s="11">
        <v>23.14</v>
      </c>
      <c r="E1171" s="2">
        <f t="shared" si="39"/>
        <v>0.39000000000000057</v>
      </c>
      <c r="F1171" s="11">
        <v>0.105</v>
      </c>
      <c r="G1171" s="3">
        <f t="shared" si="38"/>
        <v>2.103697407564813E-2</v>
      </c>
    </row>
    <row r="1172" spans="1:7" customFormat="1">
      <c r="A1172" s="1">
        <v>23</v>
      </c>
      <c r="B1172" s="1" t="s">
        <v>123</v>
      </c>
      <c r="C1172" s="11">
        <v>0</v>
      </c>
      <c r="D1172" s="11">
        <v>0</v>
      </c>
      <c r="E1172" s="2">
        <f t="shared" si="39"/>
        <v>0</v>
      </c>
      <c r="F1172" s="11">
        <v>0.16500000000000001</v>
      </c>
      <c r="G1172" s="3" t="e">
        <f t="shared" si="38"/>
        <v>#DIV/0!</v>
      </c>
    </row>
    <row r="1173" spans="1:7" customFormat="1">
      <c r="A1173" s="1">
        <v>24</v>
      </c>
      <c r="B1173" s="1" t="s">
        <v>123</v>
      </c>
      <c r="C1173" s="11">
        <v>25.37</v>
      </c>
      <c r="D1173" s="11">
        <v>24.83</v>
      </c>
      <c r="E1173" s="2">
        <f t="shared" si="39"/>
        <v>0.5400000000000027</v>
      </c>
      <c r="F1173" s="11">
        <v>0.115</v>
      </c>
      <c r="G1173" s="3">
        <f t="shared" si="38"/>
        <v>2.5817895151754144E-2</v>
      </c>
    </row>
    <row r="1174" spans="1:7" customFormat="1">
      <c r="A1174" s="1">
        <v>25</v>
      </c>
      <c r="B1174" s="1" t="s">
        <v>123</v>
      </c>
      <c r="C1174" s="11">
        <v>21.3</v>
      </c>
      <c r="D1174" s="11">
        <v>21.03</v>
      </c>
      <c r="E1174" s="2">
        <f t="shared" si="39"/>
        <v>0.26999999999999957</v>
      </c>
      <c r="F1174" s="11">
        <v>0.12</v>
      </c>
      <c r="G1174" s="3">
        <f t="shared" si="38"/>
        <v>1.8309859154929557E-2</v>
      </c>
    </row>
    <row r="1175" spans="1:7" customFormat="1">
      <c r="A1175" s="1">
        <v>26</v>
      </c>
      <c r="B1175" s="1" t="s">
        <v>123</v>
      </c>
      <c r="C1175" s="11">
        <v>20.059999999999999</v>
      </c>
      <c r="D1175" s="11">
        <v>19.55</v>
      </c>
      <c r="E1175" s="2">
        <f t="shared" si="39"/>
        <v>0.50999999999999801</v>
      </c>
      <c r="F1175" s="11">
        <v>0.16</v>
      </c>
      <c r="G1175" s="3">
        <f t="shared" si="38"/>
        <v>3.3399800598205291E-2</v>
      </c>
    </row>
    <row r="1176" spans="1:7" customFormat="1">
      <c r="A1176" s="1">
        <v>27</v>
      </c>
      <c r="B1176" s="1" t="s">
        <v>123</v>
      </c>
      <c r="C1176" s="11">
        <v>25.53</v>
      </c>
      <c r="D1176" s="11">
        <v>25.21</v>
      </c>
      <c r="E1176" s="2">
        <f t="shared" si="39"/>
        <v>0.32000000000000028</v>
      </c>
      <c r="F1176" s="11">
        <v>0.115</v>
      </c>
      <c r="G1176" s="3">
        <f t="shared" si="38"/>
        <v>1.7038777908343135E-2</v>
      </c>
    </row>
    <row r="1177" spans="1:7" customFormat="1">
      <c r="A1177" s="1">
        <v>28</v>
      </c>
      <c r="B1177" s="1" t="s">
        <v>123</v>
      </c>
      <c r="C1177" s="11">
        <v>29.24</v>
      </c>
      <c r="D1177" s="11">
        <v>28.9</v>
      </c>
      <c r="E1177" s="2">
        <f t="shared" si="39"/>
        <v>0.33999999999999986</v>
      </c>
      <c r="F1177" s="11">
        <v>0.13500000000000001</v>
      </c>
      <c r="G1177" s="3">
        <f t="shared" si="38"/>
        <v>1.624487004103967E-2</v>
      </c>
    </row>
    <row r="1178" spans="1:7" customFormat="1">
      <c r="A1178" s="1">
        <v>29</v>
      </c>
      <c r="B1178" s="1" t="s">
        <v>123</v>
      </c>
      <c r="C1178" s="11">
        <v>0</v>
      </c>
      <c r="D1178" s="11">
        <v>0</v>
      </c>
      <c r="E1178" s="2">
        <f t="shared" si="39"/>
        <v>0</v>
      </c>
      <c r="F1178" s="11">
        <v>0.17</v>
      </c>
      <c r="G1178" s="3" t="e">
        <f t="shared" si="38"/>
        <v>#DIV/0!</v>
      </c>
    </row>
    <row r="1179" spans="1:7" customFormat="1">
      <c r="A1179" s="1">
        <v>30</v>
      </c>
      <c r="B1179" s="1" t="s">
        <v>123</v>
      </c>
      <c r="C1179" s="11">
        <v>0</v>
      </c>
      <c r="D1179" s="11">
        <v>0</v>
      </c>
      <c r="E1179" s="2">
        <f t="shared" si="39"/>
        <v>0</v>
      </c>
      <c r="F1179" s="11">
        <v>0.14000000000000001</v>
      </c>
      <c r="G1179" s="3" t="e">
        <f t="shared" si="38"/>
        <v>#DIV/0!</v>
      </c>
    </row>
    <row r="1180" spans="1:7" customFormat="1">
      <c r="A1180" s="1">
        <v>31</v>
      </c>
      <c r="B1180" s="1" t="s">
        <v>123</v>
      </c>
      <c r="C1180" s="11">
        <v>26.7</v>
      </c>
      <c r="D1180" s="11">
        <v>26.4</v>
      </c>
      <c r="E1180" s="2">
        <f t="shared" si="39"/>
        <v>0.30000000000000071</v>
      </c>
      <c r="F1180" s="11">
        <v>0.13</v>
      </c>
      <c r="G1180" s="3">
        <f t="shared" si="38"/>
        <v>1.6104868913857706E-2</v>
      </c>
    </row>
    <row r="1181" spans="1:7" customFormat="1">
      <c r="A1181" s="1">
        <v>1</v>
      </c>
      <c r="B1181" s="1" t="s">
        <v>124</v>
      </c>
      <c r="C1181" s="11">
        <v>0</v>
      </c>
      <c r="D1181" s="11">
        <v>0</v>
      </c>
      <c r="E1181" s="2">
        <f t="shared" si="39"/>
        <v>0</v>
      </c>
      <c r="F1181" s="11">
        <v>0</v>
      </c>
      <c r="G1181" s="3" t="e">
        <f t="shared" si="37"/>
        <v>#DIV/0!</v>
      </c>
    </row>
    <row r="1182" spans="1:7" customFormat="1">
      <c r="A1182" s="1">
        <v>2</v>
      </c>
      <c r="B1182" s="1" t="s">
        <v>124</v>
      </c>
      <c r="C1182" s="11">
        <v>0</v>
      </c>
      <c r="D1182" s="11">
        <v>0</v>
      </c>
      <c r="E1182" s="2">
        <f t="shared" si="39"/>
        <v>0</v>
      </c>
      <c r="F1182" s="11">
        <v>0.28400000000000603</v>
      </c>
      <c r="G1182" s="3" t="e">
        <f t="shared" si="37"/>
        <v>#DIV/0!</v>
      </c>
    </row>
    <row r="1183" spans="1:7" customFormat="1">
      <c r="A1183" s="1">
        <v>3</v>
      </c>
      <c r="B1183" s="1" t="s">
        <v>124</v>
      </c>
      <c r="C1183" s="11">
        <v>0</v>
      </c>
      <c r="D1183" s="11">
        <v>0</v>
      </c>
      <c r="E1183" s="2">
        <f t="shared" si="39"/>
        <v>0</v>
      </c>
      <c r="F1183" s="11">
        <v>0.20799999999999999</v>
      </c>
      <c r="G1183" s="3" t="e">
        <f t="shared" si="37"/>
        <v>#DIV/0!</v>
      </c>
    </row>
    <row r="1184" spans="1:7" customFormat="1">
      <c r="A1184" s="1">
        <v>4</v>
      </c>
      <c r="B1184" s="1" t="s">
        <v>124</v>
      </c>
      <c r="C1184" s="11">
        <v>0</v>
      </c>
      <c r="D1184" s="11">
        <v>0</v>
      </c>
      <c r="E1184" s="2">
        <f t="shared" si="39"/>
        <v>0</v>
      </c>
      <c r="F1184" s="11">
        <v>0.26600000000000001</v>
      </c>
      <c r="G1184" s="3" t="e">
        <f t="shared" si="37"/>
        <v>#DIV/0!</v>
      </c>
    </row>
    <row r="1185" spans="1:18">
      <c r="A1185" s="1">
        <v>5</v>
      </c>
      <c r="B1185" s="1" t="s">
        <v>124</v>
      </c>
      <c r="C1185" s="11">
        <v>27.7</v>
      </c>
      <c r="D1185" s="11">
        <v>27.72</v>
      </c>
      <c r="E1185" s="2">
        <f t="shared" si="39"/>
        <v>-1.9999999999999574E-2</v>
      </c>
      <c r="F1185" s="11">
        <v>0.46100000000000002</v>
      </c>
      <c r="G1185" s="3">
        <f t="shared" si="37"/>
        <v>1.5920577617328537E-2</v>
      </c>
      <c r="R1185"/>
    </row>
    <row r="1186" spans="1:18">
      <c r="A1186" s="1">
        <v>6</v>
      </c>
      <c r="B1186" s="1" t="s">
        <v>124</v>
      </c>
      <c r="C1186" s="11">
        <v>24.97</v>
      </c>
      <c r="D1186" s="11">
        <v>24.7</v>
      </c>
      <c r="E1186" s="2">
        <f t="shared" si="39"/>
        <v>0.26999999999999957</v>
      </c>
      <c r="F1186" s="11">
        <v>0.34100000000000003</v>
      </c>
      <c r="G1186" s="3">
        <f t="shared" si="37"/>
        <v>2.4469363235883043E-2</v>
      </c>
      <c r="R1186"/>
    </row>
    <row r="1187" spans="1:18">
      <c r="A1187" s="1">
        <v>7</v>
      </c>
      <c r="B1187" s="1" t="s">
        <v>124</v>
      </c>
      <c r="C1187" s="11">
        <v>8.33</v>
      </c>
      <c r="D1187" s="11">
        <v>7.96</v>
      </c>
      <c r="E1187" s="2">
        <f t="shared" si="39"/>
        <v>0.37000000000000011</v>
      </c>
      <c r="F1187" s="11">
        <v>0.10999999999999943</v>
      </c>
      <c r="G1187" s="3">
        <f t="shared" si="37"/>
        <v>5.7623049219687819E-2</v>
      </c>
      <c r="R1187"/>
    </row>
    <row r="1188" spans="1:18">
      <c r="A1188" s="1">
        <v>10</v>
      </c>
      <c r="B1188" s="1" t="s">
        <v>124</v>
      </c>
      <c r="C1188" s="11">
        <v>27.85</v>
      </c>
      <c r="D1188" s="11">
        <v>27.26</v>
      </c>
      <c r="E1188" s="2">
        <f t="shared" si="39"/>
        <v>0.58999999999999986</v>
      </c>
      <c r="F1188" s="11">
        <v>1.1739999999999999</v>
      </c>
      <c r="G1188" s="3">
        <f t="shared" si="37"/>
        <v>6.3339317773788137E-2</v>
      </c>
      <c r="R1188"/>
    </row>
    <row r="1189" spans="1:18">
      <c r="A1189" s="1">
        <v>8</v>
      </c>
      <c r="B1189" s="1" t="s">
        <v>124</v>
      </c>
      <c r="C1189" s="11">
        <v>0</v>
      </c>
      <c r="D1189" s="11">
        <v>0</v>
      </c>
      <c r="E1189" s="2">
        <f t="shared" si="39"/>
        <v>0</v>
      </c>
      <c r="F1189" s="11">
        <v>0.17199999999999999</v>
      </c>
      <c r="G1189" s="3" t="e">
        <f t="shared" si="37"/>
        <v>#DIV/0!</v>
      </c>
    </row>
    <row r="1190" spans="1:18">
      <c r="A1190" s="1">
        <v>9</v>
      </c>
      <c r="B1190" s="1" t="s">
        <v>124</v>
      </c>
      <c r="C1190" s="11">
        <v>0</v>
      </c>
      <c r="D1190" s="11">
        <v>0</v>
      </c>
      <c r="E1190" s="2">
        <f t="shared" si="39"/>
        <v>0</v>
      </c>
      <c r="F1190" s="11">
        <v>0.104</v>
      </c>
      <c r="G1190" s="3" t="e">
        <f t="shared" si="37"/>
        <v>#DIV/0!</v>
      </c>
      <c r="R1190"/>
    </row>
    <row r="1191" spans="1:18">
      <c r="A1191" s="1">
        <v>11</v>
      </c>
      <c r="B1191" s="1" t="s">
        <v>124</v>
      </c>
      <c r="C1191" s="11">
        <v>7.69</v>
      </c>
      <c r="D1191" s="11">
        <v>7.49</v>
      </c>
      <c r="E1191" s="2">
        <f t="shared" si="39"/>
        <v>0.20000000000000018</v>
      </c>
      <c r="F1191" s="11">
        <v>5.5999999999997385E-2</v>
      </c>
      <c r="G1191" s="3">
        <f t="shared" si="37"/>
        <v>3.328998699609851E-2</v>
      </c>
      <c r="R1191"/>
    </row>
    <row r="1192" spans="1:18">
      <c r="A1192" s="1">
        <v>12</v>
      </c>
      <c r="B1192" s="1" t="s">
        <v>124</v>
      </c>
      <c r="C1192" s="11">
        <v>0</v>
      </c>
      <c r="D1192" s="11">
        <v>0</v>
      </c>
      <c r="E1192" s="2">
        <f t="shared" si="39"/>
        <v>0</v>
      </c>
      <c r="F1192" s="11">
        <v>0.129</v>
      </c>
      <c r="G1192" s="3" t="e">
        <f t="shared" si="37"/>
        <v>#DIV/0!</v>
      </c>
      <c r="R1192"/>
    </row>
    <row r="1193" spans="1:18">
      <c r="A1193" s="1">
        <v>13</v>
      </c>
      <c r="B1193" s="1" t="s">
        <v>124</v>
      </c>
      <c r="C1193" s="11">
        <v>9.81</v>
      </c>
      <c r="D1193" s="11">
        <v>9.73</v>
      </c>
      <c r="E1193" s="2">
        <f t="shared" si="39"/>
        <v>8.0000000000000071E-2</v>
      </c>
      <c r="F1193" s="11">
        <v>0.252</v>
      </c>
      <c r="G1193" s="3">
        <f t="shared" si="37"/>
        <v>3.3843017329255869E-2</v>
      </c>
      <c r="R1193"/>
    </row>
    <row r="1194" spans="1:18">
      <c r="A1194" s="1">
        <v>14</v>
      </c>
      <c r="B1194" s="1" t="s">
        <v>124</v>
      </c>
      <c r="C1194" s="11">
        <v>0</v>
      </c>
      <c r="D1194" s="11">
        <v>0</v>
      </c>
      <c r="E1194" s="2">
        <f t="shared" si="39"/>
        <v>0</v>
      </c>
      <c r="F1194" s="11">
        <v>0.19700000000000001</v>
      </c>
      <c r="G1194" s="3" t="e">
        <f t="shared" si="37"/>
        <v>#DIV/0!</v>
      </c>
      <c r="R1194"/>
    </row>
    <row r="1195" spans="1:18">
      <c r="A1195" s="1">
        <v>15</v>
      </c>
      <c r="B1195" s="1" t="s">
        <v>124</v>
      </c>
      <c r="C1195" s="11">
        <v>0</v>
      </c>
      <c r="D1195" s="11">
        <v>0</v>
      </c>
      <c r="E1195" s="2">
        <f t="shared" si="39"/>
        <v>0</v>
      </c>
      <c r="F1195" s="11">
        <v>0.255</v>
      </c>
      <c r="G1195" s="3" t="e">
        <f t="shared" si="37"/>
        <v>#DIV/0!</v>
      </c>
      <c r="R1195"/>
    </row>
    <row r="1196" spans="1:18">
      <c r="A1196" s="1">
        <v>16</v>
      </c>
      <c r="B1196" s="1" t="s">
        <v>124</v>
      </c>
      <c r="C1196" s="11">
        <v>0</v>
      </c>
      <c r="D1196" s="11">
        <v>0</v>
      </c>
      <c r="E1196" s="2">
        <f t="shared" si="39"/>
        <v>0</v>
      </c>
      <c r="F1196" s="11">
        <v>0</v>
      </c>
      <c r="G1196" s="3" t="e">
        <f t="shared" si="37"/>
        <v>#DIV/0!</v>
      </c>
      <c r="R1196"/>
    </row>
    <row r="1197" spans="1:18">
      <c r="A1197" s="1">
        <v>17</v>
      </c>
      <c r="B1197" s="1" t="s">
        <v>124</v>
      </c>
      <c r="C1197" s="11">
        <v>28.49</v>
      </c>
      <c r="D1197" s="11">
        <v>28.14</v>
      </c>
      <c r="E1197" s="2">
        <f t="shared" si="39"/>
        <v>0.34999999999999787</v>
      </c>
      <c r="F1197" s="11">
        <v>0.50900000000000001</v>
      </c>
      <c r="G1197" s="3">
        <f t="shared" si="37"/>
        <v>3.0150930150930077E-2</v>
      </c>
      <c r="R1197"/>
    </row>
    <row r="1198" spans="1:18">
      <c r="A1198" s="1">
        <v>18</v>
      </c>
      <c r="B1198" s="1" t="s">
        <v>124</v>
      </c>
      <c r="C1198" s="11">
        <v>12.99</v>
      </c>
      <c r="D1198" s="11">
        <v>12.92</v>
      </c>
      <c r="E1198" s="2">
        <f t="shared" ref="E1198" si="40">C1198-D1198</f>
        <v>7.0000000000000284E-2</v>
      </c>
      <c r="F1198" s="11">
        <v>0.26100000000000001</v>
      </c>
      <c r="G1198" s="3">
        <f t="shared" si="37"/>
        <v>2.5481139337952294E-2</v>
      </c>
      <c r="R1198"/>
    </row>
    <row r="1199" spans="1:18">
      <c r="A1199" s="1">
        <v>19</v>
      </c>
      <c r="B1199" s="1" t="s">
        <v>124</v>
      </c>
      <c r="C1199" s="11">
        <v>0</v>
      </c>
      <c r="D1199" s="11">
        <v>0</v>
      </c>
      <c r="E1199" s="2">
        <f t="shared" si="39"/>
        <v>0</v>
      </c>
      <c r="F1199" s="11">
        <v>0</v>
      </c>
      <c r="G1199" s="3" t="e">
        <f t="shared" si="37"/>
        <v>#DIV/0!</v>
      </c>
      <c r="R1199"/>
    </row>
    <row r="1200" spans="1:18">
      <c r="A1200" s="1">
        <v>20</v>
      </c>
      <c r="B1200" s="1" t="s">
        <v>124</v>
      </c>
      <c r="C1200" s="11">
        <v>10.38</v>
      </c>
      <c r="D1200" s="11">
        <v>10.29</v>
      </c>
      <c r="E1200" s="2">
        <f t="shared" si="39"/>
        <v>9.0000000000001634E-2</v>
      </c>
      <c r="F1200" s="11">
        <v>0.184</v>
      </c>
      <c r="G1200" s="3">
        <f t="shared" si="37"/>
        <v>2.6396917148362391E-2</v>
      </c>
      <c r="R1200"/>
    </row>
    <row r="1201" spans="1:7" customFormat="1">
      <c r="A1201" s="1">
        <v>21</v>
      </c>
      <c r="B1201" s="1" t="s">
        <v>124</v>
      </c>
      <c r="C1201" s="11">
        <v>179.56</v>
      </c>
      <c r="D1201" s="11">
        <v>177.64</v>
      </c>
      <c r="E1201" s="2">
        <f t="shared" si="39"/>
        <v>1.9200000000000159</v>
      </c>
      <c r="F1201" s="11">
        <v>3.113</v>
      </c>
      <c r="G1201" s="3">
        <f t="shared" si="37"/>
        <v>2.8029627979505544E-2</v>
      </c>
    </row>
    <row r="1202" spans="1:7" customFormat="1">
      <c r="A1202" s="1">
        <v>22</v>
      </c>
      <c r="B1202" s="1" t="s">
        <v>124</v>
      </c>
      <c r="C1202" s="11">
        <v>0</v>
      </c>
      <c r="D1202" s="11">
        <v>0</v>
      </c>
      <c r="E1202" s="2">
        <f t="shared" si="39"/>
        <v>0</v>
      </c>
      <c r="F1202" s="11">
        <v>0.14499999999999999</v>
      </c>
      <c r="G1202" s="3" t="e">
        <f t="shared" si="37"/>
        <v>#DIV/0!</v>
      </c>
    </row>
    <row r="1203" spans="1:7" customFormat="1">
      <c r="A1203" s="1">
        <v>23</v>
      </c>
      <c r="B1203" s="1" t="s">
        <v>124</v>
      </c>
      <c r="C1203" s="11">
        <v>14.89</v>
      </c>
      <c r="D1203" s="11">
        <v>14.73</v>
      </c>
      <c r="E1203" s="2">
        <f t="shared" si="39"/>
        <v>0.16000000000000014</v>
      </c>
      <c r="F1203" s="11">
        <v>0.21299999999999999</v>
      </c>
      <c r="G1203" s="3">
        <f t="shared" si="37"/>
        <v>2.505036937541975E-2</v>
      </c>
    </row>
    <row r="1204" spans="1:7" customFormat="1">
      <c r="A1204" s="1">
        <v>24</v>
      </c>
      <c r="B1204" s="1" t="s">
        <v>124</v>
      </c>
      <c r="C1204" s="11">
        <v>28.42</v>
      </c>
      <c r="D1204" s="11">
        <v>28.13</v>
      </c>
      <c r="E1204" s="2">
        <f t="shared" si="39"/>
        <v>0.2900000000000027</v>
      </c>
      <c r="F1204" s="11">
        <v>0.36899999999999999</v>
      </c>
      <c r="G1204" s="3">
        <f t="shared" si="37"/>
        <v>2.3187895847994463E-2</v>
      </c>
    </row>
    <row r="1205" spans="1:7" customFormat="1">
      <c r="A1205" s="1">
        <v>25</v>
      </c>
      <c r="B1205" s="1" t="s">
        <v>124</v>
      </c>
      <c r="C1205" s="11">
        <v>30.95</v>
      </c>
      <c r="D1205" s="11">
        <v>30.84</v>
      </c>
      <c r="E1205" s="2">
        <f t="shared" si="39"/>
        <v>0.10999999999999943</v>
      </c>
      <c r="F1205" s="11">
        <v>0.35</v>
      </c>
      <c r="G1205" s="3">
        <f t="shared" si="37"/>
        <v>1.4862681744749577E-2</v>
      </c>
    </row>
    <row r="1206" spans="1:7" customFormat="1">
      <c r="A1206" s="1">
        <v>26</v>
      </c>
      <c r="B1206" s="1" t="s">
        <v>124</v>
      </c>
      <c r="C1206" s="11">
        <v>28.01</v>
      </c>
      <c r="D1206" s="11">
        <v>27.76</v>
      </c>
      <c r="E1206" s="2">
        <f t="shared" si="39"/>
        <v>0.25</v>
      </c>
      <c r="F1206" s="11">
        <v>0.42099999999999999</v>
      </c>
      <c r="G1206" s="3">
        <f t="shared" si="37"/>
        <v>2.3955730096394144E-2</v>
      </c>
    </row>
    <row r="1207" spans="1:7" customFormat="1">
      <c r="A1207" s="1">
        <v>27</v>
      </c>
      <c r="B1207" s="1" t="s">
        <v>124</v>
      </c>
      <c r="C1207" s="11">
        <v>29.73</v>
      </c>
      <c r="D1207" s="11">
        <v>29.62</v>
      </c>
      <c r="E1207" s="2">
        <f t="shared" si="39"/>
        <v>0.10999999999999943</v>
      </c>
      <c r="F1207" s="11">
        <v>0.214</v>
      </c>
      <c r="G1207" s="3">
        <f t="shared" si="37"/>
        <v>1.08980827447023E-2</v>
      </c>
    </row>
    <row r="1208" spans="1:7" customFormat="1">
      <c r="A1208" s="1">
        <v>28</v>
      </c>
      <c r="B1208" s="1" t="s">
        <v>124</v>
      </c>
      <c r="C1208" s="11">
        <v>0</v>
      </c>
      <c r="D1208" s="11">
        <v>0</v>
      </c>
      <c r="E1208" s="2">
        <f t="shared" si="39"/>
        <v>0</v>
      </c>
      <c r="F1208" s="11">
        <v>0.217</v>
      </c>
      <c r="G1208" s="3" t="e">
        <f t="shared" si="37"/>
        <v>#DIV/0!</v>
      </c>
    </row>
    <row r="1209" spans="1:7" customFormat="1">
      <c r="A1209" s="1">
        <v>29</v>
      </c>
      <c r="B1209" s="1" t="s">
        <v>124</v>
      </c>
      <c r="C1209" s="11">
        <v>7.41</v>
      </c>
      <c r="D1209" s="11">
        <v>7.35</v>
      </c>
      <c r="E1209" s="2">
        <f t="shared" si="39"/>
        <v>6.0000000000000497E-2</v>
      </c>
      <c r="F1209" s="11">
        <v>0.76200000000000001</v>
      </c>
      <c r="G1209" s="3">
        <f t="shared" si="37"/>
        <v>0.1109311740890689</v>
      </c>
    </row>
    <row r="1210" spans="1:7" customFormat="1">
      <c r="A1210" s="1">
        <v>30</v>
      </c>
      <c r="B1210" s="1" t="s">
        <v>124</v>
      </c>
      <c r="C1210" s="11">
        <v>26.72</v>
      </c>
      <c r="D1210" s="11">
        <v>26.53</v>
      </c>
      <c r="E1210" s="2">
        <f t="shared" si="39"/>
        <v>0.18999999999999773</v>
      </c>
      <c r="F1210" s="11">
        <v>0.129</v>
      </c>
      <c r="G1210" s="3">
        <f t="shared" si="37"/>
        <v>1.1938622754490933E-2</v>
      </c>
    </row>
    <row r="1211" spans="1:7" customFormat="1">
      <c r="A1211" s="1">
        <v>31</v>
      </c>
      <c r="B1211" s="1" t="s">
        <v>124</v>
      </c>
      <c r="C1211" s="11">
        <v>0</v>
      </c>
      <c r="D1211" s="11">
        <v>0</v>
      </c>
      <c r="E1211" s="2">
        <f t="shared" si="39"/>
        <v>0</v>
      </c>
      <c r="F1211" s="11">
        <v>0.13800000000000001</v>
      </c>
      <c r="G1211" s="3" t="e">
        <f t="shared" si="37"/>
        <v>#DIV/0!</v>
      </c>
    </row>
    <row r="1212" spans="1:7" customFormat="1">
      <c r="A1212" s="1">
        <v>1</v>
      </c>
      <c r="B1212" s="1" t="s">
        <v>125</v>
      </c>
      <c r="C1212" s="11">
        <v>0</v>
      </c>
      <c r="D1212" s="11">
        <v>0</v>
      </c>
      <c r="E1212" s="2">
        <f t="shared" ref="E1212:E1275" si="41">C1212-D1212</f>
        <v>0</v>
      </c>
      <c r="F1212" s="11">
        <v>0</v>
      </c>
      <c r="G1212" s="3" t="e">
        <f t="shared" ref="G1212:G1275" si="42">(E1212+F1212)/C1212</f>
        <v>#DIV/0!</v>
      </c>
    </row>
    <row r="1213" spans="1:7" customFormat="1">
      <c r="A1213" s="1">
        <v>2</v>
      </c>
      <c r="B1213" s="1" t="s">
        <v>125</v>
      </c>
      <c r="C1213" s="11">
        <v>0</v>
      </c>
      <c r="D1213" s="11">
        <v>0</v>
      </c>
      <c r="E1213" s="2">
        <f t="shared" si="41"/>
        <v>0</v>
      </c>
      <c r="F1213" s="11">
        <v>0</v>
      </c>
      <c r="G1213" s="3" t="e">
        <f t="shared" si="42"/>
        <v>#DIV/0!</v>
      </c>
    </row>
    <row r="1214" spans="1:7" customFormat="1">
      <c r="A1214" s="1">
        <v>3</v>
      </c>
      <c r="B1214" s="1" t="s">
        <v>125</v>
      </c>
      <c r="C1214" s="11">
        <v>26.79</v>
      </c>
      <c r="D1214" s="11">
        <v>26.21</v>
      </c>
      <c r="E1214" s="2">
        <f t="shared" si="41"/>
        <v>0.57999999999999829</v>
      </c>
      <c r="F1214" s="11">
        <v>6.9000000000000006E-2</v>
      </c>
      <c r="G1214" s="3">
        <f t="shared" si="42"/>
        <v>2.422545726017164E-2</v>
      </c>
    </row>
    <row r="1215" spans="1:7" customFormat="1">
      <c r="A1215" s="1">
        <v>4</v>
      </c>
      <c r="B1215" s="1" t="s">
        <v>125</v>
      </c>
      <c r="C1215" s="11">
        <v>0</v>
      </c>
      <c r="D1215" s="11">
        <v>0</v>
      </c>
      <c r="E1215" s="2">
        <f t="shared" si="41"/>
        <v>0</v>
      </c>
      <c r="F1215" s="11">
        <v>4.5999999999999999E-2</v>
      </c>
      <c r="G1215" s="3" t="e">
        <f t="shared" si="42"/>
        <v>#DIV/0!</v>
      </c>
    </row>
    <row r="1216" spans="1:7" customFormat="1">
      <c r="A1216" s="1">
        <v>5</v>
      </c>
      <c r="B1216" s="1" t="s">
        <v>125</v>
      </c>
      <c r="C1216" s="11">
        <v>18.2</v>
      </c>
      <c r="D1216" s="11">
        <v>17.98</v>
      </c>
      <c r="E1216" s="2">
        <f t="shared" si="41"/>
        <v>0.21999999999999886</v>
      </c>
      <c r="F1216" s="11">
        <v>4.4999999999999998E-2</v>
      </c>
      <c r="G1216" s="3">
        <f t="shared" si="42"/>
        <v>1.4560439560439498E-2</v>
      </c>
    </row>
    <row r="1217" spans="1:18">
      <c r="A1217" s="1">
        <v>6</v>
      </c>
      <c r="B1217" s="1" t="s">
        <v>125</v>
      </c>
      <c r="C1217" s="11">
        <v>0</v>
      </c>
      <c r="D1217" s="11">
        <v>0</v>
      </c>
      <c r="E1217" s="2">
        <f t="shared" si="41"/>
        <v>0</v>
      </c>
      <c r="F1217" s="11">
        <v>1.4999999999999999E-2</v>
      </c>
      <c r="G1217" s="3" t="e">
        <f t="shared" si="42"/>
        <v>#DIV/0!</v>
      </c>
      <c r="R1217"/>
    </row>
    <row r="1218" spans="1:18">
      <c r="A1218" s="1">
        <v>7</v>
      </c>
      <c r="B1218" s="1" t="s">
        <v>125</v>
      </c>
      <c r="C1218" s="11">
        <v>0</v>
      </c>
      <c r="D1218" s="11">
        <v>0</v>
      </c>
      <c r="E1218" s="2">
        <f t="shared" si="41"/>
        <v>0</v>
      </c>
      <c r="F1218" s="11">
        <v>0.03</v>
      </c>
      <c r="G1218" s="3" t="e">
        <f t="shared" si="42"/>
        <v>#DIV/0!</v>
      </c>
      <c r="R1218"/>
    </row>
    <row r="1219" spans="1:18">
      <c r="A1219" s="1">
        <v>10</v>
      </c>
      <c r="B1219" s="1" t="s">
        <v>125</v>
      </c>
      <c r="C1219" s="11">
        <v>22.78</v>
      </c>
      <c r="D1219" s="11">
        <v>21.7</v>
      </c>
      <c r="E1219" s="2">
        <f t="shared" si="41"/>
        <v>1.0800000000000018</v>
      </c>
      <c r="F1219" s="11">
        <v>0.08</v>
      </c>
      <c r="G1219" s="3">
        <f t="shared" si="42"/>
        <v>5.0921861281826242E-2</v>
      </c>
      <c r="R1219"/>
    </row>
    <row r="1220" spans="1:18">
      <c r="A1220" s="1">
        <v>8</v>
      </c>
      <c r="B1220" s="1" t="s">
        <v>125</v>
      </c>
      <c r="C1220" s="11">
        <v>0</v>
      </c>
      <c r="D1220" s="11">
        <v>0</v>
      </c>
      <c r="E1220" s="2">
        <f t="shared" si="41"/>
        <v>0</v>
      </c>
      <c r="F1220" s="11">
        <v>1.4E-2</v>
      </c>
      <c r="G1220" s="3" t="e">
        <f t="shared" si="42"/>
        <v>#DIV/0!</v>
      </c>
    </row>
    <row r="1221" spans="1:18">
      <c r="A1221" s="1">
        <v>9</v>
      </c>
      <c r="B1221" s="1" t="s">
        <v>125</v>
      </c>
      <c r="C1221" s="11">
        <v>0</v>
      </c>
      <c r="D1221" s="11">
        <v>0</v>
      </c>
      <c r="E1221" s="2">
        <f t="shared" si="41"/>
        <v>0</v>
      </c>
      <c r="F1221" s="11">
        <v>0.02</v>
      </c>
      <c r="G1221" s="3" t="e">
        <f t="shared" si="42"/>
        <v>#DIV/0!</v>
      </c>
      <c r="R1221"/>
    </row>
    <row r="1222" spans="1:18">
      <c r="A1222" s="1">
        <v>11</v>
      </c>
      <c r="B1222" s="1" t="s">
        <v>125</v>
      </c>
      <c r="C1222" s="11">
        <v>0</v>
      </c>
      <c r="D1222" s="11">
        <v>0</v>
      </c>
      <c r="E1222" s="2">
        <f t="shared" si="41"/>
        <v>0</v>
      </c>
      <c r="F1222" s="11">
        <v>4.5999999999999999E-2</v>
      </c>
      <c r="G1222" s="3" t="e">
        <f t="shared" si="42"/>
        <v>#DIV/0!</v>
      </c>
      <c r="R1222"/>
    </row>
    <row r="1223" spans="1:18">
      <c r="A1223" s="1">
        <v>12</v>
      </c>
      <c r="B1223" s="1" t="s">
        <v>125</v>
      </c>
      <c r="C1223" s="11">
        <v>0</v>
      </c>
      <c r="D1223" s="11">
        <v>0</v>
      </c>
      <c r="E1223" s="2">
        <f t="shared" si="41"/>
        <v>0</v>
      </c>
      <c r="F1223" s="11">
        <v>3.6999999999999998E-2</v>
      </c>
      <c r="G1223" s="3" t="e">
        <f t="shared" si="42"/>
        <v>#DIV/0!</v>
      </c>
      <c r="R1223"/>
    </row>
    <row r="1224" spans="1:18">
      <c r="A1224" s="1">
        <v>13</v>
      </c>
      <c r="B1224" s="1" t="s">
        <v>125</v>
      </c>
      <c r="C1224" s="11">
        <v>0</v>
      </c>
      <c r="D1224" s="11">
        <v>0</v>
      </c>
      <c r="E1224" s="2">
        <f t="shared" si="41"/>
        <v>0</v>
      </c>
      <c r="F1224" s="11">
        <v>0.1319999999999979</v>
      </c>
      <c r="G1224" s="3" t="e">
        <f t="shared" si="42"/>
        <v>#DIV/0!</v>
      </c>
      <c r="R1224"/>
    </row>
    <row r="1225" spans="1:18">
      <c r="A1225" s="1">
        <v>14</v>
      </c>
      <c r="B1225" s="1" t="s">
        <v>125</v>
      </c>
      <c r="C1225" s="11">
        <v>0</v>
      </c>
      <c r="D1225" s="11">
        <v>0</v>
      </c>
      <c r="E1225" s="2">
        <f t="shared" si="41"/>
        <v>0</v>
      </c>
      <c r="F1225" s="11">
        <v>0.1319999999999979</v>
      </c>
      <c r="G1225" s="3" t="e">
        <f t="shared" si="42"/>
        <v>#DIV/0!</v>
      </c>
      <c r="R1225"/>
    </row>
    <row r="1226" spans="1:18">
      <c r="A1226" s="1">
        <v>15</v>
      </c>
      <c r="B1226" s="1" t="s">
        <v>125</v>
      </c>
      <c r="C1226" s="11">
        <v>0</v>
      </c>
      <c r="D1226" s="11">
        <v>0</v>
      </c>
      <c r="E1226" s="2">
        <f t="shared" si="41"/>
        <v>0</v>
      </c>
      <c r="F1226" s="11">
        <v>2.5999999999999999E-2</v>
      </c>
      <c r="G1226" s="3" t="e">
        <f t="shared" si="42"/>
        <v>#DIV/0!</v>
      </c>
      <c r="R1226"/>
    </row>
    <row r="1227" spans="1:18">
      <c r="A1227" s="1">
        <v>16</v>
      </c>
      <c r="B1227" s="1" t="s">
        <v>125</v>
      </c>
      <c r="C1227" s="11">
        <v>0</v>
      </c>
      <c r="D1227" s="11">
        <v>0</v>
      </c>
      <c r="E1227" s="2">
        <f t="shared" si="41"/>
        <v>0</v>
      </c>
      <c r="F1227" s="11">
        <v>5.2999999999997272E-2</v>
      </c>
      <c r="G1227" s="3" t="e">
        <f t="shared" si="42"/>
        <v>#DIV/0!</v>
      </c>
      <c r="R1227"/>
    </row>
    <row r="1228" spans="1:18">
      <c r="A1228" s="1">
        <v>17</v>
      </c>
      <c r="B1228" s="1" t="s">
        <v>125</v>
      </c>
      <c r="C1228" s="11">
        <v>0</v>
      </c>
      <c r="D1228" s="11">
        <v>0</v>
      </c>
      <c r="E1228" s="2">
        <f t="shared" si="41"/>
        <v>0</v>
      </c>
      <c r="F1228" s="11">
        <v>0.104</v>
      </c>
      <c r="G1228" s="3" t="e">
        <f t="shared" si="42"/>
        <v>#DIV/0!</v>
      </c>
      <c r="R1228"/>
    </row>
    <row r="1229" spans="1:18">
      <c r="A1229" s="1">
        <v>18</v>
      </c>
      <c r="B1229" s="1" t="s">
        <v>125</v>
      </c>
      <c r="C1229" s="11">
        <v>13.93</v>
      </c>
      <c r="D1229" s="11">
        <v>13.2</v>
      </c>
      <c r="E1229" s="2">
        <f t="shared" si="41"/>
        <v>0.73000000000000043</v>
      </c>
      <c r="F1229" s="11">
        <v>6.7000000000000004E-2</v>
      </c>
      <c r="G1229" s="3">
        <f t="shared" si="42"/>
        <v>5.7214644651830612E-2</v>
      </c>
      <c r="R1229"/>
    </row>
    <row r="1230" spans="1:18">
      <c r="A1230" s="1">
        <v>19</v>
      </c>
      <c r="B1230" s="1" t="s">
        <v>125</v>
      </c>
      <c r="C1230" s="11">
        <v>0</v>
      </c>
      <c r="D1230" s="11">
        <v>0</v>
      </c>
      <c r="E1230" s="2">
        <f t="shared" si="41"/>
        <v>0</v>
      </c>
      <c r="F1230" s="11">
        <v>6.4000000000000001E-2</v>
      </c>
      <c r="G1230" s="3" t="e">
        <f t="shared" si="42"/>
        <v>#DIV/0!</v>
      </c>
      <c r="R1230"/>
    </row>
    <row r="1231" spans="1:18">
      <c r="A1231" s="1">
        <v>20</v>
      </c>
      <c r="B1231" s="1" t="s">
        <v>125</v>
      </c>
      <c r="C1231" s="11">
        <v>0</v>
      </c>
      <c r="D1231" s="11">
        <v>0</v>
      </c>
      <c r="E1231" s="2">
        <f t="shared" si="41"/>
        <v>0</v>
      </c>
      <c r="F1231" s="11">
        <v>0.09</v>
      </c>
      <c r="G1231" s="3" t="e">
        <f t="shared" si="42"/>
        <v>#DIV/0!</v>
      </c>
      <c r="R1231"/>
    </row>
    <row r="1232" spans="1:18">
      <c r="A1232" s="1">
        <v>21</v>
      </c>
      <c r="B1232" s="1" t="s">
        <v>125</v>
      </c>
      <c r="C1232" s="11">
        <v>0</v>
      </c>
      <c r="D1232" s="11">
        <v>0</v>
      </c>
      <c r="E1232" s="2">
        <f t="shared" si="41"/>
        <v>0</v>
      </c>
      <c r="F1232" s="11">
        <v>0.126</v>
      </c>
      <c r="G1232" s="3" t="e">
        <f t="shared" si="42"/>
        <v>#DIV/0!</v>
      </c>
      <c r="R1232"/>
    </row>
    <row r="1233" spans="1:18">
      <c r="A1233" s="1">
        <v>22</v>
      </c>
      <c r="B1233" s="1" t="s">
        <v>125</v>
      </c>
      <c r="C1233" s="11">
        <v>0</v>
      </c>
      <c r="D1233" s="11">
        <v>0</v>
      </c>
      <c r="E1233" s="2">
        <f t="shared" si="41"/>
        <v>0</v>
      </c>
      <c r="F1233" s="11">
        <v>0.11600000000000001</v>
      </c>
      <c r="G1233" s="3" t="e">
        <f t="shared" si="42"/>
        <v>#DIV/0!</v>
      </c>
      <c r="R1233"/>
    </row>
    <row r="1234" spans="1:18">
      <c r="A1234" s="1">
        <v>23</v>
      </c>
      <c r="B1234" s="1" t="s">
        <v>125</v>
      </c>
      <c r="C1234" s="11">
        <v>0</v>
      </c>
      <c r="D1234" s="11">
        <v>0</v>
      </c>
      <c r="E1234" s="2">
        <f t="shared" si="41"/>
        <v>0</v>
      </c>
      <c r="F1234" s="11">
        <v>0.28899999999999998</v>
      </c>
      <c r="G1234" s="3" t="e">
        <f t="shared" si="42"/>
        <v>#DIV/0!</v>
      </c>
      <c r="R1234"/>
    </row>
    <row r="1235" spans="1:18">
      <c r="A1235" s="1">
        <v>24</v>
      </c>
      <c r="B1235" s="1" t="s">
        <v>125</v>
      </c>
      <c r="C1235" s="11">
        <v>0</v>
      </c>
      <c r="D1235" s="11">
        <v>0</v>
      </c>
      <c r="E1235" s="2">
        <f t="shared" si="41"/>
        <v>0</v>
      </c>
      <c r="F1235" s="11">
        <v>0.17899999999999999</v>
      </c>
      <c r="G1235" s="3" t="e">
        <f t="shared" si="42"/>
        <v>#DIV/0!</v>
      </c>
      <c r="R1235"/>
    </row>
    <row r="1236" spans="1:18">
      <c r="A1236" s="1">
        <v>25</v>
      </c>
      <c r="B1236" s="1" t="s">
        <v>125</v>
      </c>
      <c r="C1236" s="11">
        <v>0</v>
      </c>
      <c r="D1236" s="11">
        <v>0</v>
      </c>
      <c r="E1236" s="2">
        <f t="shared" si="41"/>
        <v>0</v>
      </c>
      <c r="F1236" s="11">
        <v>0.13300000000000001</v>
      </c>
      <c r="G1236" s="3" t="e">
        <f t="shared" si="42"/>
        <v>#DIV/0!</v>
      </c>
      <c r="R1236"/>
    </row>
    <row r="1237" spans="1:18">
      <c r="A1237" s="1">
        <v>26</v>
      </c>
      <c r="B1237" s="1" t="s">
        <v>125</v>
      </c>
      <c r="C1237" s="11">
        <v>0</v>
      </c>
      <c r="D1237" s="11">
        <v>0</v>
      </c>
      <c r="E1237" s="2">
        <f t="shared" si="41"/>
        <v>0</v>
      </c>
      <c r="F1237" s="11">
        <v>0.113</v>
      </c>
      <c r="G1237" s="3" t="e">
        <f t="shared" si="42"/>
        <v>#DIV/0!</v>
      </c>
      <c r="R1237"/>
    </row>
    <row r="1238" spans="1:18">
      <c r="A1238" s="1">
        <v>27</v>
      </c>
      <c r="B1238" s="1" t="s">
        <v>125</v>
      </c>
      <c r="C1238" s="11">
        <v>0</v>
      </c>
      <c r="D1238" s="11">
        <v>0</v>
      </c>
      <c r="E1238" s="2">
        <f t="shared" si="41"/>
        <v>0</v>
      </c>
      <c r="F1238" s="11">
        <v>0.124</v>
      </c>
      <c r="G1238" s="3" t="e">
        <f t="shared" si="42"/>
        <v>#DIV/0!</v>
      </c>
      <c r="R1238"/>
    </row>
    <row r="1239" spans="1:18">
      <c r="A1239" s="1">
        <v>28</v>
      </c>
      <c r="B1239" s="1" t="s">
        <v>125</v>
      </c>
      <c r="C1239" s="11">
        <v>0</v>
      </c>
      <c r="D1239" s="11">
        <v>0</v>
      </c>
      <c r="E1239" s="2">
        <f t="shared" si="41"/>
        <v>0</v>
      </c>
      <c r="F1239" s="11">
        <v>8.1000000000000003E-2</v>
      </c>
      <c r="G1239" s="3" t="e">
        <f t="shared" si="42"/>
        <v>#DIV/0!</v>
      </c>
      <c r="R1239"/>
    </row>
    <row r="1240" spans="1:18">
      <c r="A1240" s="1">
        <v>29</v>
      </c>
      <c r="B1240" s="1" t="s">
        <v>125</v>
      </c>
      <c r="C1240" s="11">
        <v>0</v>
      </c>
      <c r="D1240" s="11">
        <v>0</v>
      </c>
      <c r="E1240" s="2">
        <f t="shared" si="41"/>
        <v>0</v>
      </c>
      <c r="F1240" s="11">
        <v>0.13300000000000001</v>
      </c>
      <c r="G1240" s="3" t="e">
        <f t="shared" si="42"/>
        <v>#DIV/0!</v>
      </c>
      <c r="R1240"/>
    </row>
    <row r="1241" spans="1:18">
      <c r="A1241" s="1">
        <v>30</v>
      </c>
      <c r="B1241" s="1" t="s">
        <v>125</v>
      </c>
      <c r="C1241" s="11">
        <v>0</v>
      </c>
      <c r="D1241" s="11">
        <v>0</v>
      </c>
      <c r="E1241" s="2">
        <f t="shared" si="41"/>
        <v>0</v>
      </c>
      <c r="F1241" s="11">
        <v>0.14799999999999999</v>
      </c>
      <c r="G1241" s="3" t="e">
        <f t="shared" si="42"/>
        <v>#DIV/0!</v>
      </c>
      <c r="R1241"/>
    </row>
    <row r="1242" spans="1:18">
      <c r="A1242" s="1">
        <v>31</v>
      </c>
      <c r="B1242" s="1" t="s">
        <v>125</v>
      </c>
      <c r="C1242" s="11">
        <v>0</v>
      </c>
      <c r="D1242" s="11">
        <v>0</v>
      </c>
      <c r="E1242" s="2">
        <f t="shared" si="41"/>
        <v>0</v>
      </c>
      <c r="F1242" s="11">
        <v>2E-3</v>
      </c>
      <c r="G1242" s="3" t="e">
        <f t="shared" si="42"/>
        <v>#DIV/0!</v>
      </c>
      <c r="R1242"/>
    </row>
    <row r="1243" spans="1:18">
      <c r="A1243" s="1">
        <v>1</v>
      </c>
      <c r="B1243" s="1" t="s">
        <v>126</v>
      </c>
      <c r="C1243" s="11">
        <v>0</v>
      </c>
      <c r="D1243" s="11">
        <v>0</v>
      </c>
      <c r="E1243" s="2">
        <f t="shared" si="41"/>
        <v>0</v>
      </c>
      <c r="F1243" s="11">
        <v>0</v>
      </c>
      <c r="G1243" s="3" t="e">
        <f t="shared" si="42"/>
        <v>#DIV/0!</v>
      </c>
      <c r="R1243"/>
    </row>
    <row r="1244" spans="1:18">
      <c r="A1244" s="1">
        <v>2</v>
      </c>
      <c r="B1244" s="1" t="s">
        <v>126</v>
      </c>
      <c r="C1244" s="11">
        <v>0</v>
      </c>
      <c r="D1244" s="11">
        <v>0</v>
      </c>
      <c r="E1244" s="2">
        <f t="shared" si="41"/>
        <v>0</v>
      </c>
      <c r="F1244" s="11">
        <v>0</v>
      </c>
      <c r="G1244" s="3" t="e">
        <f t="shared" si="42"/>
        <v>#DIV/0!</v>
      </c>
      <c r="R1244"/>
    </row>
    <row r="1245" spans="1:18">
      <c r="A1245" s="1">
        <v>3</v>
      </c>
      <c r="B1245" s="1" t="s">
        <v>126</v>
      </c>
      <c r="C1245" s="11">
        <v>0</v>
      </c>
      <c r="D1245" s="11">
        <v>0</v>
      </c>
      <c r="E1245" s="2">
        <f t="shared" si="41"/>
        <v>0</v>
      </c>
      <c r="F1245" s="11">
        <v>0</v>
      </c>
      <c r="G1245" s="3" t="e">
        <f t="shared" si="42"/>
        <v>#DIV/0!</v>
      </c>
      <c r="R1245"/>
    </row>
    <row r="1246" spans="1:18">
      <c r="A1246" s="1">
        <v>4</v>
      </c>
      <c r="B1246" s="1" t="s">
        <v>126</v>
      </c>
      <c r="C1246" s="11">
        <v>0</v>
      </c>
      <c r="D1246" s="11">
        <v>0</v>
      </c>
      <c r="E1246" s="2">
        <f t="shared" si="41"/>
        <v>0</v>
      </c>
      <c r="F1246" s="11">
        <v>0</v>
      </c>
      <c r="G1246" s="3" t="e">
        <f t="shared" si="42"/>
        <v>#DIV/0!</v>
      </c>
      <c r="R1246"/>
    </row>
    <row r="1247" spans="1:18">
      <c r="A1247" s="1">
        <v>5</v>
      </c>
      <c r="B1247" s="1" t="s">
        <v>126</v>
      </c>
      <c r="C1247" s="11">
        <v>0</v>
      </c>
      <c r="D1247" s="11">
        <v>0</v>
      </c>
      <c r="E1247" s="2">
        <f t="shared" si="41"/>
        <v>0</v>
      </c>
      <c r="F1247" s="11">
        <v>0</v>
      </c>
      <c r="G1247" s="3" t="e">
        <f t="shared" si="42"/>
        <v>#DIV/0!</v>
      </c>
      <c r="R1247"/>
    </row>
    <row r="1248" spans="1:18">
      <c r="A1248" s="1">
        <v>6</v>
      </c>
      <c r="B1248" s="1" t="s">
        <v>126</v>
      </c>
      <c r="C1248" s="11">
        <v>0</v>
      </c>
      <c r="D1248" s="11">
        <v>0</v>
      </c>
      <c r="E1248" s="2">
        <f t="shared" si="41"/>
        <v>0</v>
      </c>
      <c r="F1248" s="11">
        <v>0</v>
      </c>
      <c r="G1248" s="3" t="e">
        <f t="shared" si="42"/>
        <v>#DIV/0!</v>
      </c>
      <c r="R1248"/>
    </row>
    <row r="1249" spans="1:18">
      <c r="A1249" s="1">
        <v>7</v>
      </c>
      <c r="B1249" s="1" t="s">
        <v>126</v>
      </c>
      <c r="C1249" s="11">
        <v>0</v>
      </c>
      <c r="D1249" s="11">
        <v>0</v>
      </c>
      <c r="E1249" s="2">
        <f t="shared" si="41"/>
        <v>0</v>
      </c>
      <c r="F1249" s="11">
        <v>0</v>
      </c>
      <c r="G1249" s="3" t="e">
        <f t="shared" si="42"/>
        <v>#DIV/0!</v>
      </c>
      <c r="R1249"/>
    </row>
    <row r="1250" spans="1:18">
      <c r="A1250" s="1">
        <v>8</v>
      </c>
      <c r="B1250" s="1" t="s">
        <v>126</v>
      </c>
      <c r="C1250" s="11">
        <v>0</v>
      </c>
      <c r="D1250" s="11">
        <v>0</v>
      </c>
      <c r="E1250" s="2">
        <f t="shared" si="41"/>
        <v>0</v>
      </c>
      <c r="F1250" s="11">
        <v>0</v>
      </c>
      <c r="G1250" s="3" t="e">
        <f t="shared" si="42"/>
        <v>#DIV/0!</v>
      </c>
      <c r="R1250"/>
    </row>
    <row r="1251" spans="1:18">
      <c r="A1251" s="1">
        <v>9</v>
      </c>
      <c r="B1251" s="1" t="s">
        <v>126</v>
      </c>
      <c r="C1251" s="11">
        <v>0</v>
      </c>
      <c r="D1251" s="11">
        <v>0</v>
      </c>
      <c r="E1251" s="2">
        <f t="shared" si="41"/>
        <v>0</v>
      </c>
      <c r="F1251" s="11">
        <v>0</v>
      </c>
      <c r="G1251" s="3" t="e">
        <f t="shared" si="42"/>
        <v>#DIV/0!</v>
      </c>
      <c r="R1251"/>
    </row>
    <row r="1252" spans="1:18">
      <c r="A1252" s="1">
        <v>10</v>
      </c>
      <c r="B1252" s="1" t="s">
        <v>126</v>
      </c>
      <c r="C1252" s="11">
        <v>0</v>
      </c>
      <c r="D1252" s="11">
        <v>0</v>
      </c>
      <c r="E1252" s="2">
        <f t="shared" si="41"/>
        <v>0</v>
      </c>
      <c r="F1252" s="11">
        <v>0</v>
      </c>
      <c r="G1252" s="3" t="e">
        <f t="shared" si="42"/>
        <v>#DIV/0!</v>
      </c>
      <c r="R1252"/>
    </row>
    <row r="1253" spans="1:18">
      <c r="A1253" s="1">
        <v>11</v>
      </c>
      <c r="B1253" s="1" t="s">
        <v>126</v>
      </c>
      <c r="C1253" s="11">
        <v>0</v>
      </c>
      <c r="D1253" s="11">
        <v>0</v>
      </c>
      <c r="E1253" s="2">
        <f t="shared" si="41"/>
        <v>0</v>
      </c>
      <c r="F1253" s="11">
        <v>0</v>
      </c>
      <c r="G1253" s="3" t="e">
        <f t="shared" si="42"/>
        <v>#DIV/0!</v>
      </c>
      <c r="R1253"/>
    </row>
    <row r="1254" spans="1:18">
      <c r="A1254" s="1">
        <v>12</v>
      </c>
      <c r="B1254" s="1" t="s">
        <v>126</v>
      </c>
      <c r="C1254" s="11">
        <v>0</v>
      </c>
      <c r="D1254" s="11">
        <v>0</v>
      </c>
      <c r="E1254" s="2">
        <f t="shared" si="41"/>
        <v>0</v>
      </c>
      <c r="F1254" s="11">
        <v>0</v>
      </c>
      <c r="G1254" s="3" t="e">
        <f t="shared" si="42"/>
        <v>#DIV/0!</v>
      </c>
      <c r="R1254"/>
    </row>
    <row r="1255" spans="1:18">
      <c r="A1255" s="1">
        <v>13</v>
      </c>
      <c r="B1255" s="1" t="s">
        <v>126</v>
      </c>
      <c r="C1255" s="11">
        <v>0</v>
      </c>
      <c r="D1255" s="11">
        <v>0</v>
      </c>
      <c r="E1255" s="2">
        <f t="shared" si="41"/>
        <v>0</v>
      </c>
      <c r="F1255" s="11">
        <v>0</v>
      </c>
      <c r="G1255" s="3" t="e">
        <f t="shared" si="42"/>
        <v>#DIV/0!</v>
      </c>
      <c r="R1255"/>
    </row>
    <row r="1256" spans="1:18">
      <c r="A1256" s="1">
        <v>14</v>
      </c>
      <c r="B1256" s="1" t="s">
        <v>126</v>
      </c>
      <c r="C1256" s="11">
        <v>0</v>
      </c>
      <c r="D1256" s="11">
        <v>0</v>
      </c>
      <c r="E1256" s="2">
        <f t="shared" si="41"/>
        <v>0</v>
      </c>
      <c r="F1256" s="11">
        <v>0</v>
      </c>
      <c r="G1256" s="3" t="e">
        <f t="shared" si="42"/>
        <v>#DIV/0!</v>
      </c>
      <c r="R1256"/>
    </row>
    <row r="1257" spans="1:18">
      <c r="A1257" s="1">
        <v>15</v>
      </c>
      <c r="B1257" s="1" t="s">
        <v>126</v>
      </c>
      <c r="C1257" s="11">
        <v>26.63</v>
      </c>
      <c r="D1257" s="11">
        <v>26.48</v>
      </c>
      <c r="E1257" s="2">
        <f t="shared" si="41"/>
        <v>0.14999999999999858</v>
      </c>
      <c r="F1257" s="11">
        <v>0.65500000000000003</v>
      </c>
      <c r="G1257" s="3">
        <f t="shared" si="42"/>
        <v>3.0229064964325897E-2</v>
      </c>
      <c r="R1257"/>
    </row>
    <row r="1258" spans="1:18">
      <c r="A1258" s="1">
        <v>16</v>
      </c>
      <c r="B1258" s="1" t="s">
        <v>126</v>
      </c>
      <c r="C1258" s="11">
        <v>0</v>
      </c>
      <c r="D1258" s="11">
        <v>0</v>
      </c>
      <c r="E1258" s="2">
        <f t="shared" si="41"/>
        <v>0</v>
      </c>
      <c r="F1258" s="11">
        <v>0.06</v>
      </c>
      <c r="G1258" s="3" t="e">
        <f t="shared" si="42"/>
        <v>#DIV/0!</v>
      </c>
      <c r="R1258"/>
    </row>
    <row r="1259" spans="1:18">
      <c r="A1259" s="1">
        <v>17</v>
      </c>
      <c r="B1259" s="1" t="s">
        <v>126</v>
      </c>
      <c r="C1259" s="11">
        <v>0</v>
      </c>
      <c r="D1259" s="11">
        <v>0</v>
      </c>
      <c r="E1259" s="2">
        <f t="shared" si="41"/>
        <v>0</v>
      </c>
      <c r="F1259" s="11">
        <v>0.115</v>
      </c>
      <c r="G1259" s="3" t="e">
        <f t="shared" si="42"/>
        <v>#DIV/0!</v>
      </c>
      <c r="R1259"/>
    </row>
    <row r="1260" spans="1:18">
      <c r="A1260" s="1">
        <v>18</v>
      </c>
      <c r="B1260" s="1" t="s">
        <v>126</v>
      </c>
      <c r="C1260" s="11">
        <v>0</v>
      </c>
      <c r="D1260" s="11">
        <v>0</v>
      </c>
      <c r="E1260" s="2">
        <f t="shared" si="41"/>
        <v>0</v>
      </c>
      <c r="F1260" s="11">
        <v>0.18</v>
      </c>
      <c r="G1260" s="3" t="e">
        <f t="shared" si="42"/>
        <v>#DIV/0!</v>
      </c>
      <c r="R1260"/>
    </row>
    <row r="1261" spans="1:18">
      <c r="A1261" s="1">
        <v>19</v>
      </c>
      <c r="B1261" s="1" t="s">
        <v>126</v>
      </c>
      <c r="C1261" s="11">
        <v>0</v>
      </c>
      <c r="D1261" s="11">
        <v>0</v>
      </c>
      <c r="E1261" s="2">
        <f t="shared" si="41"/>
        <v>0</v>
      </c>
      <c r="F1261" s="11">
        <v>0.12</v>
      </c>
      <c r="G1261" s="3" t="e">
        <f t="shared" si="42"/>
        <v>#DIV/0!</v>
      </c>
      <c r="R1261"/>
    </row>
    <row r="1262" spans="1:18">
      <c r="A1262" s="1">
        <v>20</v>
      </c>
      <c r="B1262" s="1" t="s">
        <v>126</v>
      </c>
      <c r="C1262" s="11">
        <v>0</v>
      </c>
      <c r="D1262" s="11">
        <v>0</v>
      </c>
      <c r="E1262" s="2">
        <f t="shared" si="41"/>
        <v>0</v>
      </c>
      <c r="F1262" s="11">
        <v>0.23</v>
      </c>
      <c r="G1262" s="3" t="e">
        <f t="shared" si="42"/>
        <v>#DIV/0!</v>
      </c>
      <c r="R1262"/>
    </row>
    <row r="1263" spans="1:18">
      <c r="A1263" s="1">
        <v>21</v>
      </c>
      <c r="B1263" s="1" t="s">
        <v>126</v>
      </c>
      <c r="C1263" s="11">
        <v>0</v>
      </c>
      <c r="D1263" s="11">
        <v>0</v>
      </c>
      <c r="E1263" s="2">
        <f t="shared" si="41"/>
        <v>0</v>
      </c>
      <c r="F1263" s="11">
        <v>7.6999999999999999E-2</v>
      </c>
      <c r="G1263" s="3" t="e">
        <f t="shared" si="42"/>
        <v>#DIV/0!</v>
      </c>
      <c r="R1263"/>
    </row>
    <row r="1264" spans="1:18">
      <c r="A1264" s="1">
        <v>22</v>
      </c>
      <c r="B1264" s="1" t="s">
        <v>126</v>
      </c>
      <c r="C1264" s="11">
        <v>0</v>
      </c>
      <c r="D1264" s="11">
        <v>0</v>
      </c>
      <c r="E1264" s="2">
        <f t="shared" si="41"/>
        <v>0</v>
      </c>
      <c r="F1264" s="11">
        <v>0.11</v>
      </c>
      <c r="G1264" s="3" t="e">
        <f t="shared" si="42"/>
        <v>#DIV/0!</v>
      </c>
      <c r="R1264"/>
    </row>
    <row r="1265" spans="1:18">
      <c r="A1265" s="1">
        <v>23</v>
      </c>
      <c r="B1265" s="1" t="s">
        <v>126</v>
      </c>
      <c r="C1265" s="11">
        <v>0</v>
      </c>
      <c r="D1265" s="11">
        <v>0</v>
      </c>
      <c r="E1265" s="2">
        <f t="shared" si="41"/>
        <v>0</v>
      </c>
      <c r="F1265" s="11">
        <v>0.255</v>
      </c>
      <c r="G1265" s="3" t="e">
        <f t="shared" si="42"/>
        <v>#DIV/0!</v>
      </c>
      <c r="R1265"/>
    </row>
    <row r="1266" spans="1:18">
      <c r="A1266" s="1">
        <v>24</v>
      </c>
      <c r="B1266" s="1" t="s">
        <v>126</v>
      </c>
      <c r="C1266" s="11">
        <v>0</v>
      </c>
      <c r="D1266" s="11">
        <v>0</v>
      </c>
      <c r="E1266" s="2">
        <f t="shared" si="41"/>
        <v>0</v>
      </c>
      <c r="F1266" s="11">
        <v>4.4999999999999998E-2</v>
      </c>
      <c r="G1266" s="3" t="e">
        <f t="shared" si="42"/>
        <v>#DIV/0!</v>
      </c>
      <c r="R1266"/>
    </row>
    <row r="1267" spans="1:18">
      <c r="A1267" s="1">
        <v>25</v>
      </c>
      <c r="B1267" s="1" t="s">
        <v>126</v>
      </c>
      <c r="C1267" s="11">
        <v>0</v>
      </c>
      <c r="D1267" s="11">
        <v>0</v>
      </c>
      <c r="E1267" s="2">
        <f t="shared" si="41"/>
        <v>0</v>
      </c>
      <c r="F1267" s="11">
        <v>0.04</v>
      </c>
      <c r="G1267" s="3" t="e">
        <f t="shared" si="42"/>
        <v>#DIV/0!</v>
      </c>
      <c r="R1267"/>
    </row>
    <row r="1268" spans="1:18">
      <c r="A1268" s="1">
        <v>26</v>
      </c>
      <c r="B1268" s="1" t="s">
        <v>126</v>
      </c>
      <c r="C1268" s="11">
        <v>0</v>
      </c>
      <c r="D1268" s="11">
        <v>0</v>
      </c>
      <c r="E1268" s="2">
        <f t="shared" si="41"/>
        <v>0</v>
      </c>
      <c r="F1268" s="11">
        <v>0.1</v>
      </c>
      <c r="G1268" s="3" t="e">
        <f t="shared" si="42"/>
        <v>#DIV/0!</v>
      </c>
      <c r="R1268"/>
    </row>
    <row r="1269" spans="1:18">
      <c r="A1269" s="1">
        <v>27</v>
      </c>
      <c r="B1269" s="1" t="s">
        <v>126</v>
      </c>
      <c r="C1269" s="11">
        <v>0</v>
      </c>
      <c r="D1269" s="11">
        <v>0</v>
      </c>
      <c r="E1269" s="2">
        <f t="shared" si="41"/>
        <v>0</v>
      </c>
      <c r="F1269" s="11">
        <v>0.17</v>
      </c>
      <c r="G1269" s="3" t="e">
        <f t="shared" si="42"/>
        <v>#DIV/0!</v>
      </c>
      <c r="R1269"/>
    </row>
    <row r="1270" spans="1:18">
      <c r="A1270" s="1">
        <v>28</v>
      </c>
      <c r="B1270" s="1" t="s">
        <v>126</v>
      </c>
      <c r="C1270" s="11">
        <v>0</v>
      </c>
      <c r="D1270" s="11">
        <v>0</v>
      </c>
      <c r="E1270" s="2">
        <f t="shared" si="41"/>
        <v>0</v>
      </c>
      <c r="F1270" s="11">
        <v>0.42999999999999972</v>
      </c>
      <c r="G1270" s="3" t="e">
        <f t="shared" si="42"/>
        <v>#DIV/0!</v>
      </c>
      <c r="R1270"/>
    </row>
    <row r="1271" spans="1:18">
      <c r="A1271" s="1">
        <v>29</v>
      </c>
      <c r="B1271" s="1" t="s">
        <v>126</v>
      </c>
      <c r="C1271" s="11">
        <v>0</v>
      </c>
      <c r="D1271" s="11">
        <v>0</v>
      </c>
      <c r="E1271" s="2">
        <f t="shared" si="41"/>
        <v>0</v>
      </c>
      <c r="F1271" s="11">
        <v>0.105</v>
      </c>
      <c r="G1271" s="3" t="e">
        <f t="shared" si="42"/>
        <v>#DIV/0!</v>
      </c>
      <c r="R1271"/>
    </row>
    <row r="1272" spans="1:18">
      <c r="A1272" s="1">
        <v>30</v>
      </c>
      <c r="B1272" s="1" t="s">
        <v>126</v>
      </c>
      <c r="C1272" s="11">
        <v>0</v>
      </c>
      <c r="D1272" s="11">
        <v>0</v>
      </c>
      <c r="E1272" s="2">
        <f t="shared" si="41"/>
        <v>0</v>
      </c>
      <c r="F1272" s="11">
        <v>0.38500000000000001</v>
      </c>
      <c r="G1272" s="3" t="e">
        <f t="shared" si="42"/>
        <v>#DIV/0!</v>
      </c>
      <c r="R1272"/>
    </row>
    <row r="1273" spans="1:18">
      <c r="A1273" s="1">
        <v>31</v>
      </c>
      <c r="B1273" s="1" t="s">
        <v>126</v>
      </c>
      <c r="C1273" s="11">
        <v>0</v>
      </c>
      <c r="D1273" s="11">
        <v>0</v>
      </c>
      <c r="E1273" s="2">
        <f t="shared" si="41"/>
        <v>0</v>
      </c>
      <c r="F1273" s="11">
        <v>0.13</v>
      </c>
      <c r="G1273" s="3" t="e">
        <f t="shared" si="42"/>
        <v>#DIV/0!</v>
      </c>
      <c r="R1273"/>
    </row>
    <row r="1274" spans="1:18">
      <c r="A1274" s="1">
        <v>1</v>
      </c>
      <c r="B1274" s="1" t="s">
        <v>127</v>
      </c>
      <c r="C1274" s="11">
        <v>0</v>
      </c>
      <c r="D1274" s="11">
        <v>0</v>
      </c>
      <c r="E1274" s="2">
        <f t="shared" si="41"/>
        <v>0</v>
      </c>
      <c r="F1274" s="11">
        <v>0</v>
      </c>
      <c r="G1274" s="3" t="e">
        <f t="shared" si="42"/>
        <v>#DIV/0!</v>
      </c>
      <c r="R1274"/>
    </row>
    <row r="1275" spans="1:18">
      <c r="A1275" s="1">
        <v>2</v>
      </c>
      <c r="B1275" s="1" t="s">
        <v>127</v>
      </c>
      <c r="C1275" s="11">
        <v>0</v>
      </c>
      <c r="D1275" s="11">
        <v>0</v>
      </c>
      <c r="E1275" s="2">
        <f t="shared" si="41"/>
        <v>0</v>
      </c>
      <c r="F1275" s="11">
        <v>0</v>
      </c>
      <c r="G1275" s="3" t="e">
        <f t="shared" si="42"/>
        <v>#DIV/0!</v>
      </c>
      <c r="R1275"/>
    </row>
    <row r="1276" spans="1:18">
      <c r="A1276" s="1">
        <v>3</v>
      </c>
      <c r="B1276" s="1" t="s">
        <v>127</v>
      </c>
      <c r="C1276" s="11">
        <v>0</v>
      </c>
      <c r="D1276" s="11">
        <v>0</v>
      </c>
      <c r="E1276" s="2">
        <f t="shared" ref="E1276:E1370" si="43">C1276-D1276</f>
        <v>0</v>
      </c>
      <c r="F1276" s="11">
        <v>0</v>
      </c>
      <c r="G1276" s="3" t="e">
        <f t="shared" ref="G1276:G1370" si="44">(E1276+F1276)/C1276</f>
        <v>#DIV/0!</v>
      </c>
      <c r="R1276"/>
    </row>
    <row r="1277" spans="1:18">
      <c r="A1277" s="1">
        <v>4</v>
      </c>
      <c r="B1277" s="1" t="s">
        <v>127</v>
      </c>
      <c r="C1277" s="11">
        <v>0</v>
      </c>
      <c r="D1277" s="11">
        <v>0</v>
      </c>
      <c r="E1277" s="2">
        <f t="shared" si="43"/>
        <v>0</v>
      </c>
      <c r="F1277" s="11">
        <v>0</v>
      </c>
      <c r="G1277" s="3" t="e">
        <f t="shared" si="44"/>
        <v>#DIV/0!</v>
      </c>
      <c r="R1277"/>
    </row>
    <row r="1278" spans="1:18">
      <c r="A1278" s="1">
        <v>5</v>
      </c>
      <c r="B1278" s="1" t="s">
        <v>127</v>
      </c>
      <c r="C1278" s="11">
        <v>0</v>
      </c>
      <c r="D1278" s="11">
        <v>0</v>
      </c>
      <c r="E1278" s="2">
        <f t="shared" si="43"/>
        <v>0</v>
      </c>
      <c r="F1278" s="11">
        <v>0</v>
      </c>
      <c r="G1278" s="3" t="e">
        <f t="shared" si="44"/>
        <v>#DIV/0!</v>
      </c>
      <c r="R1278"/>
    </row>
    <row r="1279" spans="1:18">
      <c r="A1279" s="1">
        <v>6</v>
      </c>
      <c r="B1279" s="1" t="s">
        <v>127</v>
      </c>
      <c r="C1279" s="11">
        <v>0</v>
      </c>
      <c r="D1279" s="11">
        <v>0</v>
      </c>
      <c r="E1279" s="2">
        <f t="shared" si="43"/>
        <v>0</v>
      </c>
      <c r="F1279" s="11">
        <v>0</v>
      </c>
      <c r="G1279" s="3" t="e">
        <f t="shared" si="44"/>
        <v>#DIV/0!</v>
      </c>
      <c r="R1279"/>
    </row>
    <row r="1280" spans="1:18">
      <c r="A1280" s="1">
        <v>7</v>
      </c>
      <c r="B1280" s="1" t="s">
        <v>127</v>
      </c>
      <c r="C1280" s="11">
        <v>0</v>
      </c>
      <c r="D1280" s="11">
        <v>0</v>
      </c>
      <c r="E1280" s="2">
        <f t="shared" si="43"/>
        <v>0</v>
      </c>
      <c r="F1280" s="11">
        <v>0</v>
      </c>
      <c r="G1280" s="3" t="e">
        <f t="shared" si="44"/>
        <v>#DIV/0!</v>
      </c>
      <c r="R1280"/>
    </row>
    <row r="1281" spans="1:18">
      <c r="A1281" s="1">
        <v>8</v>
      </c>
      <c r="B1281" s="1" t="s">
        <v>127</v>
      </c>
      <c r="C1281" s="11">
        <v>0</v>
      </c>
      <c r="D1281" s="11">
        <v>0</v>
      </c>
      <c r="E1281" s="2">
        <f t="shared" si="43"/>
        <v>0</v>
      </c>
      <c r="F1281" s="11">
        <v>0</v>
      </c>
      <c r="G1281" s="3" t="e">
        <f t="shared" si="44"/>
        <v>#DIV/0!</v>
      </c>
      <c r="R1281"/>
    </row>
    <row r="1282" spans="1:18">
      <c r="A1282" s="1">
        <v>9</v>
      </c>
      <c r="B1282" s="1" t="s">
        <v>127</v>
      </c>
      <c r="C1282" s="11">
        <v>0</v>
      </c>
      <c r="D1282" s="11">
        <v>0</v>
      </c>
      <c r="E1282" s="2">
        <f t="shared" si="43"/>
        <v>0</v>
      </c>
      <c r="F1282" s="11">
        <v>0</v>
      </c>
      <c r="G1282" s="3" t="e">
        <f t="shared" si="44"/>
        <v>#DIV/0!</v>
      </c>
      <c r="R1282"/>
    </row>
    <row r="1283" spans="1:18">
      <c r="A1283" s="1">
        <v>10</v>
      </c>
      <c r="B1283" s="1" t="s">
        <v>127</v>
      </c>
      <c r="C1283" s="11">
        <v>0</v>
      </c>
      <c r="D1283" s="11">
        <v>0</v>
      </c>
      <c r="E1283" s="2">
        <f t="shared" si="43"/>
        <v>0</v>
      </c>
      <c r="F1283" s="11">
        <v>0</v>
      </c>
      <c r="G1283" s="3" t="e">
        <f t="shared" si="44"/>
        <v>#DIV/0!</v>
      </c>
      <c r="R1283"/>
    </row>
    <row r="1284" spans="1:18">
      <c r="A1284" s="1">
        <v>11</v>
      </c>
      <c r="B1284" s="1" t="s">
        <v>127</v>
      </c>
      <c r="C1284" s="11">
        <v>0</v>
      </c>
      <c r="D1284" s="11">
        <v>0</v>
      </c>
      <c r="E1284" s="2">
        <f t="shared" si="43"/>
        <v>0</v>
      </c>
      <c r="F1284" s="11">
        <v>0</v>
      </c>
      <c r="G1284" s="3" t="e">
        <f t="shared" si="44"/>
        <v>#DIV/0!</v>
      </c>
      <c r="R1284"/>
    </row>
    <row r="1285" spans="1:18">
      <c r="A1285" s="1">
        <v>12</v>
      </c>
      <c r="B1285" s="1" t="s">
        <v>127</v>
      </c>
      <c r="C1285" s="11">
        <v>0</v>
      </c>
      <c r="D1285" s="11">
        <v>0</v>
      </c>
      <c r="E1285" s="2">
        <f t="shared" si="43"/>
        <v>0</v>
      </c>
      <c r="F1285" s="11">
        <v>0</v>
      </c>
      <c r="G1285" s="3" t="e">
        <f t="shared" si="44"/>
        <v>#DIV/0!</v>
      </c>
      <c r="R1285"/>
    </row>
    <row r="1286" spans="1:18">
      <c r="A1286" s="1">
        <v>13</v>
      </c>
      <c r="B1286" s="1" t="s">
        <v>127</v>
      </c>
      <c r="C1286" s="11">
        <v>0</v>
      </c>
      <c r="D1286" s="11">
        <v>0</v>
      </c>
      <c r="E1286" s="2">
        <f t="shared" si="43"/>
        <v>0</v>
      </c>
      <c r="F1286" s="11">
        <v>0</v>
      </c>
      <c r="G1286" s="3" t="e">
        <f t="shared" si="44"/>
        <v>#DIV/0!</v>
      </c>
      <c r="R1286"/>
    </row>
    <row r="1287" spans="1:18">
      <c r="A1287" s="1">
        <v>14</v>
      </c>
      <c r="B1287" s="1" t="s">
        <v>127</v>
      </c>
      <c r="C1287" s="11">
        <v>0</v>
      </c>
      <c r="D1287" s="11">
        <v>0</v>
      </c>
      <c r="E1287" s="2">
        <f t="shared" si="43"/>
        <v>0</v>
      </c>
      <c r="F1287" s="11">
        <v>0</v>
      </c>
      <c r="G1287" s="3" t="e">
        <f t="shared" si="44"/>
        <v>#DIV/0!</v>
      </c>
      <c r="R1287"/>
    </row>
    <row r="1288" spans="1:18">
      <c r="A1288" s="1">
        <v>15</v>
      </c>
      <c r="B1288" s="1" t="s">
        <v>127</v>
      </c>
      <c r="C1288" s="11">
        <v>0</v>
      </c>
      <c r="D1288" s="11">
        <v>0</v>
      </c>
      <c r="E1288" s="2">
        <f t="shared" si="43"/>
        <v>0</v>
      </c>
      <c r="F1288" s="11">
        <v>0</v>
      </c>
      <c r="G1288" s="3" t="e">
        <f t="shared" si="44"/>
        <v>#DIV/0!</v>
      </c>
      <c r="R1288"/>
    </row>
    <row r="1289" spans="1:18">
      <c r="A1289" s="1">
        <v>16</v>
      </c>
      <c r="B1289" s="1" t="s">
        <v>127</v>
      </c>
      <c r="C1289" s="11">
        <v>0</v>
      </c>
      <c r="D1289" s="11">
        <v>0</v>
      </c>
      <c r="E1289" s="2">
        <f t="shared" si="43"/>
        <v>0</v>
      </c>
      <c r="F1289" s="11">
        <v>0</v>
      </c>
      <c r="G1289" s="3" t="e">
        <f t="shared" si="44"/>
        <v>#DIV/0!</v>
      </c>
      <c r="R1289"/>
    </row>
    <row r="1290" spans="1:18">
      <c r="A1290" s="1">
        <v>17</v>
      </c>
      <c r="B1290" s="1" t="s">
        <v>127</v>
      </c>
      <c r="C1290" s="11">
        <v>52.32</v>
      </c>
      <c r="D1290" s="11">
        <v>52.12</v>
      </c>
      <c r="E1290" s="2">
        <f t="shared" si="43"/>
        <v>0.20000000000000284</v>
      </c>
      <c r="F1290" s="11">
        <v>0.08</v>
      </c>
      <c r="G1290" s="3">
        <f t="shared" si="44"/>
        <v>5.3516819571865987E-3</v>
      </c>
      <c r="R1290"/>
    </row>
    <row r="1291" spans="1:18">
      <c r="A1291" s="1">
        <v>18</v>
      </c>
      <c r="B1291" s="1" t="s">
        <v>127</v>
      </c>
      <c r="C1291" s="11">
        <v>26.84</v>
      </c>
      <c r="D1291" s="11">
        <v>26.62</v>
      </c>
      <c r="E1291" s="2">
        <f t="shared" si="43"/>
        <v>0.21999999999999886</v>
      </c>
      <c r="F1291" s="11">
        <v>0.19</v>
      </c>
      <c r="G1291" s="3">
        <f t="shared" si="44"/>
        <v>1.5275707898658676E-2</v>
      </c>
      <c r="R1291"/>
    </row>
    <row r="1292" spans="1:18">
      <c r="A1292" s="1">
        <v>19</v>
      </c>
      <c r="B1292" s="1" t="s">
        <v>127</v>
      </c>
      <c r="C1292" s="11">
        <v>27.22</v>
      </c>
      <c r="D1292" s="11">
        <v>26.95</v>
      </c>
      <c r="E1292" s="2">
        <f t="shared" si="43"/>
        <v>0.26999999999999957</v>
      </c>
      <c r="F1292" s="11">
        <v>0.17</v>
      </c>
      <c r="G1292" s="3">
        <f t="shared" si="44"/>
        <v>1.6164584864070523E-2</v>
      </c>
      <c r="R1292"/>
    </row>
    <row r="1293" spans="1:18">
      <c r="A1293" s="1">
        <v>20</v>
      </c>
      <c r="B1293" s="1" t="s">
        <v>127</v>
      </c>
      <c r="C1293" s="11">
        <v>0</v>
      </c>
      <c r="D1293" s="11">
        <v>0</v>
      </c>
      <c r="E1293" s="2">
        <f t="shared" si="43"/>
        <v>0</v>
      </c>
      <c r="F1293" s="11">
        <v>0.19</v>
      </c>
      <c r="G1293" s="3" t="e">
        <f t="shared" si="44"/>
        <v>#DIV/0!</v>
      </c>
      <c r="R1293"/>
    </row>
    <row r="1294" spans="1:18">
      <c r="A1294" s="1">
        <v>21</v>
      </c>
      <c r="B1294" s="1" t="s">
        <v>127</v>
      </c>
      <c r="C1294" s="11">
        <v>0</v>
      </c>
      <c r="D1294" s="11">
        <v>0</v>
      </c>
      <c r="E1294" s="2">
        <f t="shared" si="43"/>
        <v>0</v>
      </c>
      <c r="F1294" s="11">
        <v>0.125</v>
      </c>
      <c r="G1294" s="3" t="e">
        <f t="shared" si="44"/>
        <v>#DIV/0!</v>
      </c>
      <c r="R1294"/>
    </row>
    <row r="1295" spans="1:18">
      <c r="A1295" s="1">
        <v>22</v>
      </c>
      <c r="B1295" s="1" t="s">
        <v>127</v>
      </c>
      <c r="C1295" s="11">
        <v>0</v>
      </c>
      <c r="D1295" s="11">
        <v>0</v>
      </c>
      <c r="E1295" s="2">
        <f t="shared" si="43"/>
        <v>0</v>
      </c>
      <c r="F1295" s="11">
        <v>5.5E-2</v>
      </c>
      <c r="G1295" s="3" t="e">
        <f t="shared" si="44"/>
        <v>#DIV/0!</v>
      </c>
      <c r="R1295"/>
    </row>
    <row r="1296" spans="1:18">
      <c r="A1296" s="1">
        <v>23</v>
      </c>
      <c r="B1296" s="1" t="s">
        <v>127</v>
      </c>
      <c r="C1296" s="11">
        <v>27.94</v>
      </c>
      <c r="D1296" s="11">
        <v>27.88</v>
      </c>
      <c r="E1296" s="2">
        <f t="shared" si="43"/>
        <v>6.0000000000002274E-2</v>
      </c>
      <c r="F1296" s="11">
        <v>0.17</v>
      </c>
      <c r="G1296" s="3">
        <f t="shared" si="44"/>
        <v>8.2319255547602822E-3</v>
      </c>
      <c r="R1296"/>
    </row>
    <row r="1297" spans="1:18">
      <c r="A1297" s="1">
        <v>24</v>
      </c>
      <c r="B1297" s="1" t="s">
        <v>127</v>
      </c>
      <c r="C1297" s="11">
        <v>0</v>
      </c>
      <c r="D1297" s="11">
        <v>0</v>
      </c>
      <c r="E1297" s="2">
        <f t="shared" si="43"/>
        <v>0</v>
      </c>
      <c r="F1297" s="11">
        <v>0.21</v>
      </c>
      <c r="G1297" s="3" t="e">
        <f t="shared" si="44"/>
        <v>#DIV/0!</v>
      </c>
      <c r="R1297"/>
    </row>
    <row r="1298" spans="1:18">
      <c r="A1298" s="1">
        <v>25</v>
      </c>
      <c r="B1298" s="1" t="s">
        <v>127</v>
      </c>
      <c r="C1298" s="11">
        <v>52.64</v>
      </c>
      <c r="D1298" s="11">
        <v>52.35</v>
      </c>
      <c r="E1298" s="2">
        <f t="shared" si="43"/>
        <v>0.28999999999999915</v>
      </c>
      <c r="F1298" s="11">
        <v>0.2</v>
      </c>
      <c r="G1298" s="3">
        <f t="shared" si="44"/>
        <v>9.3085106382978563E-3</v>
      </c>
      <c r="R1298"/>
    </row>
    <row r="1299" spans="1:18">
      <c r="A1299" s="1">
        <v>26</v>
      </c>
      <c r="B1299" s="1" t="s">
        <v>127</v>
      </c>
      <c r="C1299" s="11">
        <v>25.75</v>
      </c>
      <c r="D1299" s="11">
        <v>25.55</v>
      </c>
      <c r="E1299" s="2">
        <f t="shared" si="43"/>
        <v>0.19999999999999929</v>
      </c>
      <c r="F1299" s="11">
        <v>0.21</v>
      </c>
      <c r="G1299" s="3">
        <f t="shared" si="44"/>
        <v>1.592233009708735E-2</v>
      </c>
      <c r="R1299"/>
    </row>
    <row r="1300" spans="1:18">
      <c r="A1300" s="1">
        <v>27</v>
      </c>
      <c r="B1300" s="1" t="s">
        <v>127</v>
      </c>
      <c r="C1300" s="11">
        <v>26.99</v>
      </c>
      <c r="D1300" s="11">
        <v>26.7</v>
      </c>
      <c r="E1300" s="2">
        <f t="shared" si="43"/>
        <v>0.28999999999999915</v>
      </c>
      <c r="F1300" s="11">
        <v>0.19</v>
      </c>
      <c r="G1300" s="3">
        <f t="shared" si="44"/>
        <v>1.7784364579473848E-2</v>
      </c>
      <c r="R1300"/>
    </row>
    <row r="1301" spans="1:18">
      <c r="A1301" s="1">
        <v>28</v>
      </c>
      <c r="B1301" s="1" t="s">
        <v>127</v>
      </c>
      <c r="C1301" s="11">
        <v>26.29</v>
      </c>
      <c r="D1301" s="11">
        <v>26.06</v>
      </c>
      <c r="E1301" s="2">
        <f t="shared" si="43"/>
        <v>0.23000000000000043</v>
      </c>
      <c r="F1301" s="11">
        <v>0.18</v>
      </c>
      <c r="G1301" s="3">
        <f t="shared" si="44"/>
        <v>1.5595283377710172E-2</v>
      </c>
      <c r="R1301"/>
    </row>
    <row r="1302" spans="1:18">
      <c r="A1302" s="1">
        <v>29</v>
      </c>
      <c r="B1302" s="1" t="s">
        <v>127</v>
      </c>
      <c r="C1302" s="11">
        <v>0</v>
      </c>
      <c r="D1302" s="11">
        <v>0</v>
      </c>
      <c r="E1302" s="2">
        <f t="shared" si="43"/>
        <v>0</v>
      </c>
      <c r="F1302" s="11">
        <v>0.19500000000000001</v>
      </c>
      <c r="G1302" s="3" t="e">
        <f t="shared" si="44"/>
        <v>#DIV/0!</v>
      </c>
      <c r="R1302"/>
    </row>
    <row r="1303" spans="1:18">
      <c r="A1303" s="1">
        <v>30</v>
      </c>
      <c r="B1303" s="1" t="s">
        <v>127</v>
      </c>
      <c r="C1303" s="11">
        <v>25.57</v>
      </c>
      <c r="D1303" s="11">
        <v>25.28</v>
      </c>
      <c r="E1303" s="2">
        <f t="shared" si="43"/>
        <v>0.28999999999999915</v>
      </c>
      <c r="F1303" s="11">
        <v>0.16500000000000001</v>
      </c>
      <c r="G1303" s="3">
        <f t="shared" si="44"/>
        <v>1.7794290183809118E-2</v>
      </c>
      <c r="R1303"/>
    </row>
    <row r="1304" spans="1:18">
      <c r="A1304" s="1">
        <v>31</v>
      </c>
      <c r="B1304" s="1" t="s">
        <v>127</v>
      </c>
      <c r="C1304" s="11">
        <v>0</v>
      </c>
      <c r="D1304" s="11">
        <v>0</v>
      </c>
      <c r="E1304" s="2">
        <f t="shared" si="43"/>
        <v>0</v>
      </c>
      <c r="F1304" s="11">
        <v>0.185</v>
      </c>
      <c r="G1304" s="3" t="e">
        <f t="shared" si="44"/>
        <v>#DIV/0!</v>
      </c>
      <c r="R1304"/>
    </row>
    <row r="1305" spans="1:18">
      <c r="A1305" s="1">
        <v>1</v>
      </c>
      <c r="B1305" s="1" t="s">
        <v>129</v>
      </c>
      <c r="C1305" s="11">
        <v>0</v>
      </c>
      <c r="D1305" s="11">
        <v>0</v>
      </c>
      <c r="E1305" s="2">
        <f t="shared" si="43"/>
        <v>0</v>
      </c>
      <c r="F1305" s="11">
        <v>0</v>
      </c>
      <c r="G1305" s="3" t="e">
        <f t="shared" si="44"/>
        <v>#DIV/0!</v>
      </c>
      <c r="R1305"/>
    </row>
    <row r="1306" spans="1:18">
      <c r="A1306" s="1">
        <v>2</v>
      </c>
      <c r="B1306" s="1" t="s">
        <v>129</v>
      </c>
      <c r="C1306" s="11">
        <v>0</v>
      </c>
      <c r="D1306" s="11">
        <v>0</v>
      </c>
      <c r="E1306" s="2">
        <f t="shared" si="43"/>
        <v>0</v>
      </c>
      <c r="F1306" s="11">
        <v>0</v>
      </c>
      <c r="G1306" s="3" t="e">
        <f t="shared" si="44"/>
        <v>#DIV/0!</v>
      </c>
      <c r="R1306"/>
    </row>
    <row r="1307" spans="1:18">
      <c r="A1307" s="1">
        <v>3</v>
      </c>
      <c r="B1307" s="1" t="s">
        <v>129</v>
      </c>
      <c r="C1307" s="11">
        <v>0</v>
      </c>
      <c r="D1307" s="11">
        <v>0</v>
      </c>
      <c r="E1307" s="2">
        <f t="shared" si="43"/>
        <v>0</v>
      </c>
      <c r="F1307" s="11">
        <v>0</v>
      </c>
      <c r="G1307" s="3" t="e">
        <f t="shared" si="44"/>
        <v>#DIV/0!</v>
      </c>
      <c r="R1307"/>
    </row>
    <row r="1308" spans="1:18">
      <c r="A1308" s="1">
        <v>4</v>
      </c>
      <c r="B1308" s="1" t="s">
        <v>129</v>
      </c>
      <c r="C1308" s="11">
        <v>0</v>
      </c>
      <c r="D1308" s="11">
        <v>0</v>
      </c>
      <c r="E1308" s="2">
        <f t="shared" si="43"/>
        <v>0</v>
      </c>
      <c r="F1308" s="11">
        <v>0</v>
      </c>
      <c r="G1308" s="3" t="e">
        <f t="shared" si="44"/>
        <v>#DIV/0!</v>
      </c>
      <c r="R1308"/>
    </row>
    <row r="1309" spans="1:18">
      <c r="A1309" s="1">
        <v>5</v>
      </c>
      <c r="B1309" s="1" t="s">
        <v>129</v>
      </c>
      <c r="C1309" s="11">
        <v>0</v>
      </c>
      <c r="D1309" s="11">
        <v>0</v>
      </c>
      <c r="E1309" s="2">
        <f t="shared" si="43"/>
        <v>0</v>
      </c>
      <c r="F1309" s="11">
        <v>0</v>
      </c>
      <c r="G1309" s="3" t="e">
        <f t="shared" si="44"/>
        <v>#DIV/0!</v>
      </c>
      <c r="R1309"/>
    </row>
    <row r="1310" spans="1:18">
      <c r="A1310" s="1">
        <v>6</v>
      </c>
      <c r="B1310" s="1" t="s">
        <v>129</v>
      </c>
      <c r="C1310" s="11">
        <v>0</v>
      </c>
      <c r="D1310" s="11">
        <v>0</v>
      </c>
      <c r="E1310" s="2">
        <f t="shared" si="43"/>
        <v>0</v>
      </c>
      <c r="F1310" s="11">
        <v>0</v>
      </c>
      <c r="G1310" s="3" t="e">
        <f t="shared" si="44"/>
        <v>#DIV/0!</v>
      </c>
      <c r="R1310"/>
    </row>
    <row r="1311" spans="1:18">
      <c r="A1311" s="1">
        <v>7</v>
      </c>
      <c r="B1311" s="1" t="s">
        <v>129</v>
      </c>
      <c r="C1311" s="11">
        <v>0</v>
      </c>
      <c r="D1311" s="11">
        <v>0</v>
      </c>
      <c r="E1311" s="2">
        <f t="shared" si="43"/>
        <v>0</v>
      </c>
      <c r="F1311" s="11">
        <v>0</v>
      </c>
      <c r="G1311" s="3" t="e">
        <f t="shared" si="44"/>
        <v>#DIV/0!</v>
      </c>
      <c r="R1311"/>
    </row>
    <row r="1312" spans="1:18">
      <c r="A1312" s="1">
        <v>8</v>
      </c>
      <c r="B1312" s="1" t="s">
        <v>129</v>
      </c>
      <c r="C1312" s="11">
        <v>0</v>
      </c>
      <c r="D1312" s="11">
        <v>0</v>
      </c>
      <c r="E1312" s="2">
        <f t="shared" si="43"/>
        <v>0</v>
      </c>
      <c r="F1312" s="11">
        <v>0</v>
      </c>
      <c r="G1312" s="3" t="e">
        <f t="shared" si="44"/>
        <v>#DIV/0!</v>
      </c>
      <c r="R1312"/>
    </row>
    <row r="1313" spans="1:18">
      <c r="A1313" s="1">
        <v>9</v>
      </c>
      <c r="B1313" s="1" t="s">
        <v>129</v>
      </c>
      <c r="C1313" s="11">
        <v>0</v>
      </c>
      <c r="D1313" s="11">
        <v>0</v>
      </c>
      <c r="E1313" s="2">
        <f t="shared" si="43"/>
        <v>0</v>
      </c>
      <c r="F1313" s="11">
        <v>0</v>
      </c>
      <c r="G1313" s="3" t="e">
        <f t="shared" si="44"/>
        <v>#DIV/0!</v>
      </c>
      <c r="R1313"/>
    </row>
    <row r="1314" spans="1:18">
      <c r="A1314" s="1">
        <v>10</v>
      </c>
      <c r="B1314" s="1" t="s">
        <v>129</v>
      </c>
      <c r="C1314" s="11">
        <v>0</v>
      </c>
      <c r="D1314" s="11">
        <v>0</v>
      </c>
      <c r="E1314" s="2">
        <f t="shared" si="43"/>
        <v>0</v>
      </c>
      <c r="F1314" s="11">
        <v>0</v>
      </c>
      <c r="G1314" s="3" t="e">
        <f t="shared" si="44"/>
        <v>#DIV/0!</v>
      </c>
      <c r="R1314"/>
    </row>
    <row r="1315" spans="1:18">
      <c r="A1315" s="1">
        <v>11</v>
      </c>
      <c r="B1315" s="1" t="s">
        <v>129</v>
      </c>
      <c r="C1315" s="11">
        <v>0</v>
      </c>
      <c r="D1315" s="11">
        <v>0</v>
      </c>
      <c r="E1315" s="2">
        <f t="shared" si="43"/>
        <v>0</v>
      </c>
      <c r="F1315" s="11">
        <v>0</v>
      </c>
      <c r="G1315" s="3" t="e">
        <f t="shared" si="44"/>
        <v>#DIV/0!</v>
      </c>
      <c r="R1315"/>
    </row>
    <row r="1316" spans="1:18">
      <c r="A1316" s="1">
        <v>12</v>
      </c>
      <c r="B1316" s="1" t="s">
        <v>129</v>
      </c>
      <c r="C1316" s="11">
        <v>0</v>
      </c>
      <c r="D1316" s="11">
        <v>0</v>
      </c>
      <c r="E1316" s="2">
        <f t="shared" si="43"/>
        <v>0</v>
      </c>
      <c r="F1316" s="11">
        <v>0</v>
      </c>
      <c r="G1316" s="3" t="e">
        <f t="shared" si="44"/>
        <v>#DIV/0!</v>
      </c>
      <c r="R1316"/>
    </row>
    <row r="1317" spans="1:18">
      <c r="A1317" s="1">
        <v>13</v>
      </c>
      <c r="B1317" s="1" t="s">
        <v>129</v>
      </c>
      <c r="C1317" s="11">
        <v>0</v>
      </c>
      <c r="D1317" s="11">
        <v>0</v>
      </c>
      <c r="E1317" s="2">
        <f t="shared" si="43"/>
        <v>0</v>
      </c>
      <c r="F1317" s="11">
        <v>0</v>
      </c>
      <c r="G1317" s="3" t="e">
        <f t="shared" si="44"/>
        <v>#DIV/0!</v>
      </c>
      <c r="R1317"/>
    </row>
    <row r="1318" spans="1:18">
      <c r="A1318" s="1">
        <v>14</v>
      </c>
      <c r="B1318" s="1" t="s">
        <v>129</v>
      </c>
      <c r="C1318" s="11">
        <v>0</v>
      </c>
      <c r="D1318" s="11">
        <v>0</v>
      </c>
      <c r="E1318" s="2">
        <f t="shared" si="43"/>
        <v>0</v>
      </c>
      <c r="F1318" s="11">
        <v>0</v>
      </c>
      <c r="G1318" s="3" t="e">
        <f t="shared" si="44"/>
        <v>#DIV/0!</v>
      </c>
      <c r="R1318"/>
    </row>
    <row r="1319" spans="1:18">
      <c r="A1319" s="1">
        <v>15</v>
      </c>
      <c r="B1319" s="1" t="s">
        <v>129</v>
      </c>
      <c r="C1319" s="11">
        <v>0</v>
      </c>
      <c r="D1319" s="11">
        <v>0</v>
      </c>
      <c r="E1319" s="2">
        <f t="shared" si="43"/>
        <v>0</v>
      </c>
      <c r="F1319" s="11">
        <v>0</v>
      </c>
      <c r="G1319" s="3" t="e">
        <f t="shared" si="44"/>
        <v>#DIV/0!</v>
      </c>
      <c r="R1319"/>
    </row>
    <row r="1320" spans="1:18">
      <c r="A1320" s="1">
        <v>16</v>
      </c>
      <c r="B1320" s="1" t="s">
        <v>129</v>
      </c>
      <c r="C1320" s="11">
        <v>0</v>
      </c>
      <c r="D1320" s="11">
        <v>0</v>
      </c>
      <c r="E1320" s="2">
        <f t="shared" si="43"/>
        <v>0</v>
      </c>
      <c r="F1320" s="11">
        <v>0</v>
      </c>
      <c r="G1320" s="3" t="e">
        <f t="shared" si="44"/>
        <v>#DIV/0!</v>
      </c>
      <c r="R1320"/>
    </row>
    <row r="1321" spans="1:18">
      <c r="A1321" s="1">
        <v>17</v>
      </c>
      <c r="B1321" s="1" t="s">
        <v>129</v>
      </c>
      <c r="C1321" s="11">
        <v>0</v>
      </c>
      <c r="D1321" s="11">
        <v>0</v>
      </c>
      <c r="E1321" s="2">
        <f t="shared" si="43"/>
        <v>0</v>
      </c>
      <c r="F1321" s="11">
        <v>0</v>
      </c>
      <c r="G1321" s="3" t="e">
        <f t="shared" si="44"/>
        <v>#DIV/0!</v>
      </c>
      <c r="R1321"/>
    </row>
    <row r="1322" spans="1:18">
      <c r="A1322" s="1">
        <v>18</v>
      </c>
      <c r="B1322" s="1" t="s">
        <v>129</v>
      </c>
      <c r="C1322" s="11">
        <v>0</v>
      </c>
      <c r="D1322" s="11">
        <v>0</v>
      </c>
      <c r="E1322" s="2">
        <f t="shared" si="43"/>
        <v>0</v>
      </c>
      <c r="F1322" s="11">
        <v>0</v>
      </c>
      <c r="G1322" s="3" t="e">
        <f t="shared" si="44"/>
        <v>#DIV/0!</v>
      </c>
      <c r="R1322"/>
    </row>
    <row r="1323" spans="1:18">
      <c r="A1323" s="1">
        <v>19</v>
      </c>
      <c r="B1323" s="1" t="s">
        <v>129</v>
      </c>
      <c r="C1323" s="11">
        <v>0</v>
      </c>
      <c r="D1323" s="11">
        <v>0</v>
      </c>
      <c r="E1323" s="2">
        <f t="shared" si="43"/>
        <v>0</v>
      </c>
      <c r="F1323" s="11">
        <v>0</v>
      </c>
      <c r="G1323" s="3" t="e">
        <f t="shared" si="44"/>
        <v>#DIV/0!</v>
      </c>
      <c r="R1323"/>
    </row>
    <row r="1324" spans="1:18">
      <c r="A1324" s="1">
        <v>20</v>
      </c>
      <c r="B1324" s="1" t="s">
        <v>129</v>
      </c>
      <c r="C1324" s="11">
        <v>0</v>
      </c>
      <c r="D1324" s="11">
        <v>0</v>
      </c>
      <c r="E1324" s="2">
        <f t="shared" si="43"/>
        <v>0</v>
      </c>
      <c r="F1324" s="11">
        <v>0</v>
      </c>
      <c r="G1324" s="3" t="e">
        <f t="shared" si="44"/>
        <v>#DIV/0!</v>
      </c>
      <c r="R1324"/>
    </row>
    <row r="1325" spans="1:18">
      <c r="A1325" s="1">
        <v>21</v>
      </c>
      <c r="B1325" s="1" t="s">
        <v>129</v>
      </c>
      <c r="C1325" s="11">
        <v>0</v>
      </c>
      <c r="D1325" s="11">
        <v>0</v>
      </c>
      <c r="E1325" s="2">
        <f t="shared" si="43"/>
        <v>0</v>
      </c>
      <c r="F1325" s="11">
        <v>0</v>
      </c>
      <c r="G1325" s="3" t="e">
        <f t="shared" si="44"/>
        <v>#DIV/0!</v>
      </c>
      <c r="R1325"/>
    </row>
    <row r="1326" spans="1:18">
      <c r="A1326" s="1">
        <v>22</v>
      </c>
      <c r="B1326" s="1" t="s">
        <v>129</v>
      </c>
      <c r="C1326" s="11">
        <v>0</v>
      </c>
      <c r="D1326" s="11">
        <v>0</v>
      </c>
      <c r="E1326" s="2">
        <f t="shared" si="43"/>
        <v>0</v>
      </c>
      <c r="F1326" s="11">
        <v>0</v>
      </c>
      <c r="G1326" s="3" t="e">
        <f t="shared" si="44"/>
        <v>#DIV/0!</v>
      </c>
      <c r="R1326"/>
    </row>
    <row r="1327" spans="1:18">
      <c r="A1327" s="1">
        <v>23</v>
      </c>
      <c r="B1327" s="1" t="s">
        <v>129</v>
      </c>
      <c r="C1327" s="11">
        <v>0</v>
      </c>
      <c r="D1327" s="11">
        <v>0</v>
      </c>
      <c r="E1327" s="2">
        <f t="shared" si="43"/>
        <v>0</v>
      </c>
      <c r="F1327" s="11">
        <v>0</v>
      </c>
      <c r="G1327" s="3" t="e">
        <f t="shared" si="44"/>
        <v>#DIV/0!</v>
      </c>
      <c r="R1327"/>
    </row>
    <row r="1328" spans="1:18">
      <c r="A1328" s="1">
        <v>24</v>
      </c>
      <c r="B1328" s="1" t="s">
        <v>129</v>
      </c>
      <c r="C1328" s="11">
        <v>0</v>
      </c>
      <c r="D1328" s="11">
        <v>0</v>
      </c>
      <c r="E1328" s="2">
        <f t="shared" si="43"/>
        <v>0</v>
      </c>
      <c r="F1328" s="11">
        <v>0</v>
      </c>
      <c r="G1328" s="3" t="e">
        <f t="shared" si="44"/>
        <v>#DIV/0!</v>
      </c>
      <c r="R1328"/>
    </row>
    <row r="1329" spans="1:18">
      <c r="A1329" s="1">
        <v>25</v>
      </c>
      <c r="B1329" s="1" t="s">
        <v>129</v>
      </c>
      <c r="C1329" s="11">
        <v>0</v>
      </c>
      <c r="D1329" s="11">
        <v>0</v>
      </c>
      <c r="E1329" s="2">
        <f t="shared" si="43"/>
        <v>0</v>
      </c>
      <c r="F1329" s="11">
        <v>0</v>
      </c>
      <c r="G1329" s="3" t="e">
        <f t="shared" si="44"/>
        <v>#DIV/0!</v>
      </c>
      <c r="R1329"/>
    </row>
    <row r="1330" spans="1:18">
      <c r="A1330" s="1">
        <v>26</v>
      </c>
      <c r="B1330" s="1" t="s">
        <v>129</v>
      </c>
      <c r="C1330" s="11">
        <v>0</v>
      </c>
      <c r="D1330" s="11">
        <v>0</v>
      </c>
      <c r="E1330" s="2">
        <f t="shared" si="43"/>
        <v>0</v>
      </c>
      <c r="F1330" s="11">
        <v>0</v>
      </c>
      <c r="G1330" s="3" t="e">
        <f t="shared" si="44"/>
        <v>#DIV/0!</v>
      </c>
      <c r="R1330"/>
    </row>
    <row r="1331" spans="1:18">
      <c r="A1331" s="1">
        <v>27</v>
      </c>
      <c r="B1331" s="1" t="s">
        <v>129</v>
      </c>
      <c r="C1331" s="11">
        <v>0</v>
      </c>
      <c r="D1331" s="11">
        <v>0</v>
      </c>
      <c r="E1331" s="2">
        <f t="shared" si="43"/>
        <v>0</v>
      </c>
      <c r="F1331" s="11">
        <v>0</v>
      </c>
      <c r="G1331" s="3" t="e">
        <f t="shared" si="44"/>
        <v>#DIV/0!</v>
      </c>
      <c r="R1331"/>
    </row>
    <row r="1332" spans="1:18">
      <c r="A1332" s="1">
        <v>28</v>
      </c>
      <c r="B1332" s="1" t="s">
        <v>129</v>
      </c>
      <c r="C1332" s="11">
        <v>0</v>
      </c>
      <c r="D1332" s="11">
        <v>0</v>
      </c>
      <c r="E1332" s="2">
        <f t="shared" si="43"/>
        <v>0</v>
      </c>
      <c r="F1332" s="11">
        <v>0</v>
      </c>
      <c r="G1332" s="3" t="e">
        <f t="shared" si="44"/>
        <v>#DIV/0!</v>
      </c>
      <c r="R1332"/>
    </row>
    <row r="1333" spans="1:18">
      <c r="A1333" s="1">
        <v>29</v>
      </c>
      <c r="B1333" s="1" t="s">
        <v>129</v>
      </c>
      <c r="C1333" s="11">
        <v>57.54</v>
      </c>
      <c r="D1333" s="11">
        <v>57.06</v>
      </c>
      <c r="E1333" s="2">
        <f t="shared" si="43"/>
        <v>0.47999999999999687</v>
      </c>
      <c r="F1333" s="11">
        <v>1.7749999999999999</v>
      </c>
      <c r="G1333" s="3">
        <f>(E1333+F1333)/C1333</f>
        <v>3.9190128606186946E-2</v>
      </c>
      <c r="R1333"/>
    </row>
    <row r="1334" spans="1:18">
      <c r="A1334" s="1">
        <v>30</v>
      </c>
      <c r="B1334" s="1" t="s">
        <v>129</v>
      </c>
      <c r="C1334" s="11">
        <v>23.74</v>
      </c>
      <c r="D1334" s="11">
        <v>23.61</v>
      </c>
      <c r="E1334" s="2">
        <f t="shared" si="43"/>
        <v>0.12999999999999901</v>
      </c>
      <c r="F1334" s="11">
        <v>0.22900000000000001</v>
      </c>
      <c r="G1334" s="3">
        <f t="shared" si="44"/>
        <v>1.5122156697556824E-2</v>
      </c>
      <c r="R1334"/>
    </row>
    <row r="1335" spans="1:18">
      <c r="A1335" s="1">
        <v>31</v>
      </c>
      <c r="B1335" s="1" t="s">
        <v>129</v>
      </c>
      <c r="C1335" s="11">
        <v>23.2</v>
      </c>
      <c r="D1335" s="11">
        <v>23.04</v>
      </c>
      <c r="E1335" s="2">
        <f t="shared" si="43"/>
        <v>0.16000000000000014</v>
      </c>
      <c r="F1335" s="11">
        <v>0.51400000000000001</v>
      </c>
      <c r="G1335" s="3">
        <f t="shared" si="44"/>
        <v>2.9051724137931043E-2</v>
      </c>
      <c r="R1335"/>
    </row>
    <row r="1336" spans="1:18">
      <c r="A1336" s="1">
        <v>1</v>
      </c>
      <c r="B1336" s="1" t="s">
        <v>130</v>
      </c>
      <c r="C1336" s="11">
        <v>0</v>
      </c>
      <c r="D1336" s="11">
        <v>0</v>
      </c>
      <c r="E1336" s="2">
        <f t="shared" ref="E1336:E1366" si="45">C1336-D1336</f>
        <v>0</v>
      </c>
      <c r="F1336" s="11">
        <v>0</v>
      </c>
      <c r="G1336" s="3" t="e">
        <f t="shared" ref="G1336:G1366" si="46">(E1336+F1336)/C1336</f>
        <v>#DIV/0!</v>
      </c>
      <c r="R1336"/>
    </row>
    <row r="1337" spans="1:18">
      <c r="A1337" s="1">
        <v>2</v>
      </c>
      <c r="B1337" s="1" t="s">
        <v>130</v>
      </c>
      <c r="C1337" s="11">
        <v>0</v>
      </c>
      <c r="D1337" s="11">
        <v>0</v>
      </c>
      <c r="E1337" s="2">
        <f t="shared" si="45"/>
        <v>0</v>
      </c>
      <c r="F1337" s="11">
        <v>0</v>
      </c>
      <c r="G1337" s="3" t="e">
        <f t="shared" si="46"/>
        <v>#DIV/0!</v>
      </c>
      <c r="R1337"/>
    </row>
    <row r="1338" spans="1:18">
      <c r="A1338" s="1">
        <v>3</v>
      </c>
      <c r="B1338" s="1" t="s">
        <v>130</v>
      </c>
      <c r="C1338" s="11">
        <v>0</v>
      </c>
      <c r="D1338" s="11">
        <v>0</v>
      </c>
      <c r="E1338" s="2">
        <f t="shared" si="45"/>
        <v>0</v>
      </c>
      <c r="F1338" s="11">
        <v>0</v>
      </c>
      <c r="G1338" s="3" t="e">
        <f t="shared" si="46"/>
        <v>#DIV/0!</v>
      </c>
      <c r="R1338"/>
    </row>
    <row r="1339" spans="1:18">
      <c r="A1339" s="1">
        <v>4</v>
      </c>
      <c r="B1339" s="1" t="s">
        <v>130</v>
      </c>
      <c r="C1339" s="11">
        <v>0</v>
      </c>
      <c r="D1339" s="11">
        <v>0</v>
      </c>
      <c r="E1339" s="2">
        <f t="shared" si="45"/>
        <v>0</v>
      </c>
      <c r="F1339" s="11">
        <v>0</v>
      </c>
      <c r="G1339" s="3" t="e">
        <f t="shared" si="46"/>
        <v>#DIV/0!</v>
      </c>
      <c r="R1339"/>
    </row>
    <row r="1340" spans="1:18">
      <c r="A1340" s="1">
        <v>5</v>
      </c>
      <c r="B1340" s="1" t="s">
        <v>130</v>
      </c>
      <c r="C1340" s="11">
        <v>0</v>
      </c>
      <c r="D1340" s="11">
        <v>0</v>
      </c>
      <c r="E1340" s="2">
        <f t="shared" si="45"/>
        <v>0</v>
      </c>
      <c r="F1340" s="11">
        <v>0</v>
      </c>
      <c r="G1340" s="3" t="e">
        <f t="shared" si="46"/>
        <v>#DIV/0!</v>
      </c>
      <c r="R1340"/>
    </row>
    <row r="1341" spans="1:18">
      <c r="A1341" s="1">
        <v>6</v>
      </c>
      <c r="B1341" s="1" t="s">
        <v>130</v>
      </c>
      <c r="C1341" s="11">
        <v>0</v>
      </c>
      <c r="D1341" s="11">
        <v>0</v>
      </c>
      <c r="E1341" s="2">
        <f t="shared" si="45"/>
        <v>0</v>
      </c>
      <c r="F1341" s="11">
        <v>0</v>
      </c>
      <c r="G1341" s="3" t="e">
        <f t="shared" si="46"/>
        <v>#DIV/0!</v>
      </c>
      <c r="R1341"/>
    </row>
    <row r="1342" spans="1:18">
      <c r="A1342" s="1">
        <v>7</v>
      </c>
      <c r="B1342" s="1" t="s">
        <v>130</v>
      </c>
      <c r="C1342" s="11">
        <v>0</v>
      </c>
      <c r="D1342" s="11">
        <v>0</v>
      </c>
      <c r="E1342" s="2">
        <f t="shared" si="45"/>
        <v>0</v>
      </c>
      <c r="F1342" s="11">
        <v>0</v>
      </c>
      <c r="G1342" s="3" t="e">
        <f t="shared" si="46"/>
        <v>#DIV/0!</v>
      </c>
      <c r="R1342"/>
    </row>
    <row r="1343" spans="1:18">
      <c r="A1343" s="1">
        <v>8</v>
      </c>
      <c r="B1343" s="1" t="s">
        <v>130</v>
      </c>
      <c r="C1343" s="11">
        <v>0</v>
      </c>
      <c r="D1343" s="11">
        <v>0</v>
      </c>
      <c r="E1343" s="2">
        <f t="shared" si="45"/>
        <v>0</v>
      </c>
      <c r="F1343" s="11">
        <v>0</v>
      </c>
      <c r="G1343" s="3" t="e">
        <f t="shared" si="46"/>
        <v>#DIV/0!</v>
      </c>
      <c r="R1343"/>
    </row>
    <row r="1344" spans="1:18">
      <c r="A1344" s="1">
        <v>9</v>
      </c>
      <c r="B1344" s="1" t="s">
        <v>130</v>
      </c>
      <c r="C1344" s="11">
        <v>0</v>
      </c>
      <c r="D1344" s="11">
        <v>0</v>
      </c>
      <c r="E1344" s="2">
        <f t="shared" si="45"/>
        <v>0</v>
      </c>
      <c r="F1344" s="11">
        <v>0</v>
      </c>
      <c r="G1344" s="3" t="e">
        <f t="shared" si="46"/>
        <v>#DIV/0!</v>
      </c>
      <c r="R1344"/>
    </row>
    <row r="1345" spans="1:18">
      <c r="A1345" s="1">
        <v>10</v>
      </c>
      <c r="B1345" s="1" t="s">
        <v>130</v>
      </c>
      <c r="C1345" s="11">
        <v>0</v>
      </c>
      <c r="D1345" s="11">
        <v>0</v>
      </c>
      <c r="E1345" s="2">
        <f t="shared" si="45"/>
        <v>0</v>
      </c>
      <c r="F1345" s="11">
        <v>0</v>
      </c>
      <c r="G1345" s="3" t="e">
        <f t="shared" si="46"/>
        <v>#DIV/0!</v>
      </c>
      <c r="R1345"/>
    </row>
    <row r="1346" spans="1:18">
      <c r="A1346" s="1">
        <v>11</v>
      </c>
      <c r="B1346" s="1" t="s">
        <v>130</v>
      </c>
      <c r="C1346" s="11">
        <v>0</v>
      </c>
      <c r="D1346" s="11">
        <v>0</v>
      </c>
      <c r="E1346" s="2">
        <f t="shared" si="45"/>
        <v>0</v>
      </c>
      <c r="F1346" s="11">
        <v>0</v>
      </c>
      <c r="G1346" s="3" t="e">
        <f t="shared" si="46"/>
        <v>#DIV/0!</v>
      </c>
      <c r="R1346"/>
    </row>
    <row r="1347" spans="1:18">
      <c r="A1347" s="1">
        <v>12</v>
      </c>
      <c r="B1347" s="1" t="s">
        <v>130</v>
      </c>
      <c r="C1347" s="11">
        <v>0</v>
      </c>
      <c r="D1347" s="11">
        <v>0</v>
      </c>
      <c r="E1347" s="2">
        <f t="shared" si="45"/>
        <v>0</v>
      </c>
      <c r="F1347" s="11">
        <v>0</v>
      </c>
      <c r="G1347" s="3" t="e">
        <f t="shared" si="46"/>
        <v>#DIV/0!</v>
      </c>
      <c r="R1347"/>
    </row>
    <row r="1348" spans="1:18">
      <c r="A1348" s="1">
        <v>13</v>
      </c>
      <c r="B1348" s="1" t="s">
        <v>130</v>
      </c>
      <c r="C1348" s="11">
        <v>0</v>
      </c>
      <c r="D1348" s="11">
        <v>0</v>
      </c>
      <c r="E1348" s="2">
        <f t="shared" si="45"/>
        <v>0</v>
      </c>
      <c r="F1348" s="11">
        <v>0</v>
      </c>
      <c r="G1348" s="3" t="e">
        <f t="shared" si="46"/>
        <v>#DIV/0!</v>
      </c>
      <c r="R1348"/>
    </row>
    <row r="1349" spans="1:18">
      <c r="A1349" s="1">
        <v>14</v>
      </c>
      <c r="B1349" s="1" t="s">
        <v>130</v>
      </c>
      <c r="C1349" s="11">
        <v>0</v>
      </c>
      <c r="D1349" s="11">
        <v>0</v>
      </c>
      <c r="E1349" s="2">
        <f t="shared" si="45"/>
        <v>0</v>
      </c>
      <c r="F1349" s="11">
        <v>0</v>
      </c>
      <c r="G1349" s="3" t="e">
        <f t="shared" si="46"/>
        <v>#DIV/0!</v>
      </c>
      <c r="R1349"/>
    </row>
    <row r="1350" spans="1:18">
      <c r="A1350" s="1">
        <v>15</v>
      </c>
      <c r="B1350" s="1" t="s">
        <v>130</v>
      </c>
      <c r="C1350" s="11">
        <v>0</v>
      </c>
      <c r="D1350" s="11">
        <v>0</v>
      </c>
      <c r="E1350" s="2">
        <f t="shared" si="45"/>
        <v>0</v>
      </c>
      <c r="F1350" s="11">
        <v>0</v>
      </c>
      <c r="G1350" s="3" t="e">
        <f t="shared" si="46"/>
        <v>#DIV/0!</v>
      </c>
      <c r="R1350"/>
    </row>
    <row r="1351" spans="1:18">
      <c r="A1351" s="1">
        <v>16</v>
      </c>
      <c r="B1351" s="1" t="s">
        <v>130</v>
      </c>
      <c r="C1351" s="11">
        <v>0</v>
      </c>
      <c r="D1351" s="11">
        <v>0</v>
      </c>
      <c r="E1351" s="2">
        <f t="shared" si="45"/>
        <v>0</v>
      </c>
      <c r="F1351" s="11">
        <v>0</v>
      </c>
      <c r="G1351" s="3" t="e">
        <f t="shared" si="46"/>
        <v>#DIV/0!</v>
      </c>
      <c r="R1351"/>
    </row>
    <row r="1352" spans="1:18">
      <c r="A1352" s="1">
        <v>17</v>
      </c>
      <c r="B1352" s="1" t="s">
        <v>130</v>
      </c>
      <c r="C1352" s="11">
        <v>0</v>
      </c>
      <c r="D1352" s="11">
        <v>0</v>
      </c>
      <c r="E1352" s="2">
        <f t="shared" si="45"/>
        <v>0</v>
      </c>
      <c r="F1352" s="11">
        <v>0</v>
      </c>
      <c r="G1352" s="3" t="e">
        <f t="shared" si="46"/>
        <v>#DIV/0!</v>
      </c>
      <c r="R1352"/>
    </row>
    <row r="1353" spans="1:18">
      <c r="A1353" s="1">
        <v>18</v>
      </c>
      <c r="B1353" s="1" t="s">
        <v>130</v>
      </c>
      <c r="C1353" s="11">
        <v>0</v>
      </c>
      <c r="D1353" s="11">
        <v>0</v>
      </c>
      <c r="E1353" s="2">
        <f t="shared" si="45"/>
        <v>0</v>
      </c>
      <c r="F1353" s="11">
        <v>0</v>
      </c>
      <c r="G1353" s="3" t="e">
        <f t="shared" si="46"/>
        <v>#DIV/0!</v>
      </c>
      <c r="R1353"/>
    </row>
    <row r="1354" spans="1:18">
      <c r="A1354" s="1">
        <v>19</v>
      </c>
      <c r="B1354" s="1" t="s">
        <v>130</v>
      </c>
      <c r="C1354" s="11">
        <v>0</v>
      </c>
      <c r="D1354" s="11">
        <v>0</v>
      </c>
      <c r="E1354" s="2">
        <f t="shared" si="45"/>
        <v>0</v>
      </c>
      <c r="F1354" s="11">
        <v>0</v>
      </c>
      <c r="G1354" s="3" t="e">
        <f t="shared" si="46"/>
        <v>#DIV/0!</v>
      </c>
      <c r="R1354"/>
    </row>
    <row r="1355" spans="1:18">
      <c r="A1355" s="1">
        <v>20</v>
      </c>
      <c r="B1355" s="1" t="s">
        <v>130</v>
      </c>
      <c r="C1355" s="11">
        <v>0</v>
      </c>
      <c r="D1355" s="11">
        <v>0</v>
      </c>
      <c r="E1355" s="2">
        <f t="shared" si="45"/>
        <v>0</v>
      </c>
      <c r="F1355" s="11">
        <v>0</v>
      </c>
      <c r="G1355" s="3" t="e">
        <f t="shared" si="46"/>
        <v>#DIV/0!</v>
      </c>
      <c r="R1355"/>
    </row>
    <row r="1356" spans="1:18">
      <c r="A1356" s="1">
        <v>21</v>
      </c>
      <c r="B1356" s="1" t="s">
        <v>130</v>
      </c>
      <c r="C1356" s="11">
        <v>0</v>
      </c>
      <c r="D1356" s="11">
        <v>0</v>
      </c>
      <c r="E1356" s="2">
        <f t="shared" si="45"/>
        <v>0</v>
      </c>
      <c r="F1356" s="11">
        <v>0</v>
      </c>
      <c r="G1356" s="3" t="e">
        <f t="shared" si="46"/>
        <v>#DIV/0!</v>
      </c>
      <c r="R1356"/>
    </row>
    <row r="1357" spans="1:18">
      <c r="A1357" s="1">
        <v>22</v>
      </c>
      <c r="B1357" s="1" t="s">
        <v>130</v>
      </c>
      <c r="C1357" s="11">
        <v>0</v>
      </c>
      <c r="D1357" s="11">
        <v>0</v>
      </c>
      <c r="E1357" s="2">
        <f t="shared" si="45"/>
        <v>0</v>
      </c>
      <c r="F1357" s="11">
        <v>0</v>
      </c>
      <c r="G1357" s="3" t="e">
        <f t="shared" si="46"/>
        <v>#DIV/0!</v>
      </c>
      <c r="R1357"/>
    </row>
    <row r="1358" spans="1:18">
      <c r="A1358" s="1">
        <v>23</v>
      </c>
      <c r="B1358" s="1" t="s">
        <v>130</v>
      </c>
      <c r="C1358" s="11">
        <v>0</v>
      </c>
      <c r="D1358" s="11">
        <v>0</v>
      </c>
      <c r="E1358" s="2">
        <f t="shared" si="45"/>
        <v>0</v>
      </c>
      <c r="F1358" s="11">
        <v>0</v>
      </c>
      <c r="G1358" s="3" t="e">
        <f t="shared" si="46"/>
        <v>#DIV/0!</v>
      </c>
      <c r="R1358"/>
    </row>
    <row r="1359" spans="1:18">
      <c r="A1359" s="1">
        <v>24</v>
      </c>
      <c r="B1359" s="1" t="s">
        <v>130</v>
      </c>
      <c r="C1359" s="11">
        <v>0</v>
      </c>
      <c r="D1359" s="11">
        <v>0</v>
      </c>
      <c r="E1359" s="2">
        <f t="shared" si="45"/>
        <v>0</v>
      </c>
      <c r="F1359" s="11">
        <v>0</v>
      </c>
      <c r="G1359" s="3" t="e">
        <f t="shared" si="46"/>
        <v>#DIV/0!</v>
      </c>
      <c r="R1359"/>
    </row>
    <row r="1360" spans="1:18">
      <c r="A1360" s="1">
        <v>25</v>
      </c>
      <c r="B1360" s="1" t="s">
        <v>130</v>
      </c>
      <c r="C1360" s="11">
        <v>0</v>
      </c>
      <c r="D1360" s="11">
        <v>0</v>
      </c>
      <c r="E1360" s="2">
        <f t="shared" si="45"/>
        <v>0</v>
      </c>
      <c r="F1360" s="11">
        <v>0</v>
      </c>
      <c r="G1360" s="3" t="e">
        <f t="shared" si="46"/>
        <v>#DIV/0!</v>
      </c>
      <c r="R1360"/>
    </row>
    <row r="1361" spans="1:18">
      <c r="A1361" s="1">
        <v>26</v>
      </c>
      <c r="B1361" s="1" t="s">
        <v>130</v>
      </c>
      <c r="C1361" s="11">
        <v>0</v>
      </c>
      <c r="D1361" s="11">
        <v>0</v>
      </c>
      <c r="E1361" s="2">
        <f t="shared" si="45"/>
        <v>0</v>
      </c>
      <c r="F1361" s="11">
        <v>0</v>
      </c>
      <c r="G1361" s="3" t="e">
        <f t="shared" si="46"/>
        <v>#DIV/0!</v>
      </c>
      <c r="R1361"/>
    </row>
    <row r="1362" spans="1:18">
      <c r="A1362" s="1">
        <v>27</v>
      </c>
      <c r="B1362" s="1" t="s">
        <v>130</v>
      </c>
      <c r="C1362" s="11">
        <v>0</v>
      </c>
      <c r="D1362" s="11">
        <v>0</v>
      </c>
      <c r="E1362" s="2">
        <f t="shared" si="45"/>
        <v>0</v>
      </c>
      <c r="F1362" s="11">
        <v>0</v>
      </c>
      <c r="G1362" s="3" t="e">
        <f t="shared" si="46"/>
        <v>#DIV/0!</v>
      </c>
      <c r="R1362"/>
    </row>
    <row r="1363" spans="1:18">
      <c r="A1363" s="1">
        <v>28</v>
      </c>
      <c r="B1363" s="1" t="s">
        <v>130</v>
      </c>
      <c r="C1363" s="11">
        <v>0</v>
      </c>
      <c r="D1363" s="11">
        <v>0</v>
      </c>
      <c r="E1363" s="2">
        <f t="shared" si="45"/>
        <v>0</v>
      </c>
      <c r="F1363" s="11">
        <v>0</v>
      </c>
      <c r="G1363" s="3" t="e">
        <f t="shared" si="46"/>
        <v>#DIV/0!</v>
      </c>
      <c r="R1363"/>
    </row>
    <row r="1364" spans="1:18">
      <c r="A1364" s="1">
        <v>29</v>
      </c>
      <c r="B1364" s="1" t="s">
        <v>130</v>
      </c>
      <c r="C1364" s="11">
        <v>0</v>
      </c>
      <c r="D1364" s="11">
        <v>0</v>
      </c>
      <c r="E1364" s="2">
        <f t="shared" si="45"/>
        <v>0</v>
      </c>
      <c r="F1364" s="11">
        <v>0</v>
      </c>
      <c r="G1364" s="3" t="e">
        <f t="shared" si="46"/>
        <v>#DIV/0!</v>
      </c>
      <c r="R1364"/>
    </row>
    <row r="1365" spans="1:18">
      <c r="A1365" s="1">
        <v>30</v>
      </c>
      <c r="B1365" s="1" t="s">
        <v>130</v>
      </c>
      <c r="C1365" s="11">
        <v>49.59</v>
      </c>
      <c r="D1365" s="11">
        <v>49.34</v>
      </c>
      <c r="E1365" s="2">
        <f t="shared" si="45"/>
        <v>0.25</v>
      </c>
      <c r="F1365" s="11">
        <v>0.46</v>
      </c>
      <c r="G1365" s="3">
        <f t="shared" si="46"/>
        <v>1.4317402702157691E-2</v>
      </c>
      <c r="R1365"/>
    </row>
    <row r="1366" spans="1:18">
      <c r="A1366" s="1">
        <v>31</v>
      </c>
      <c r="B1366" s="1" t="s">
        <v>130</v>
      </c>
      <c r="C1366" s="11">
        <v>105.68</v>
      </c>
      <c r="D1366" s="11">
        <v>104.75</v>
      </c>
      <c r="E1366" s="2">
        <f t="shared" si="45"/>
        <v>0.93000000000000682</v>
      </c>
      <c r="F1366" s="11">
        <v>0.76500000000000001</v>
      </c>
      <c r="G1366" s="3">
        <f t="shared" si="46"/>
        <v>1.6038985616956915E-2</v>
      </c>
      <c r="R1366"/>
    </row>
    <row r="1367" spans="1:18">
      <c r="A1367" s="1">
        <v>1</v>
      </c>
      <c r="B1367" s="1" t="s">
        <v>131</v>
      </c>
      <c r="C1367" s="11">
        <v>0</v>
      </c>
      <c r="D1367" s="11">
        <v>0</v>
      </c>
      <c r="E1367" s="2">
        <f t="shared" si="43"/>
        <v>0</v>
      </c>
      <c r="F1367" s="11">
        <v>0</v>
      </c>
      <c r="G1367" s="3" t="e">
        <f t="shared" si="44"/>
        <v>#DIV/0!</v>
      </c>
      <c r="R1367"/>
    </row>
    <row r="1368" spans="1:18">
      <c r="A1368" s="1">
        <v>2</v>
      </c>
      <c r="B1368" s="1" t="s">
        <v>131</v>
      </c>
      <c r="C1368" s="11">
        <v>0</v>
      </c>
      <c r="D1368" s="11">
        <v>0</v>
      </c>
      <c r="E1368" s="2">
        <f t="shared" si="43"/>
        <v>0</v>
      </c>
      <c r="F1368" s="11">
        <v>0</v>
      </c>
      <c r="G1368" s="3" t="e">
        <f t="shared" si="44"/>
        <v>#DIV/0!</v>
      </c>
      <c r="R1368"/>
    </row>
    <row r="1369" spans="1:18">
      <c r="A1369" s="1">
        <v>3</v>
      </c>
      <c r="B1369" s="1" t="s">
        <v>131</v>
      </c>
      <c r="C1369" s="11">
        <v>0</v>
      </c>
      <c r="D1369" s="11">
        <v>0</v>
      </c>
      <c r="E1369" s="2">
        <f t="shared" si="43"/>
        <v>0</v>
      </c>
      <c r="F1369" s="11">
        <v>0</v>
      </c>
      <c r="G1369" s="3" t="e">
        <f t="shared" si="44"/>
        <v>#DIV/0!</v>
      </c>
      <c r="R1369"/>
    </row>
    <row r="1370" spans="1:18">
      <c r="A1370" s="1">
        <v>4</v>
      </c>
      <c r="B1370" s="1" t="s">
        <v>131</v>
      </c>
      <c r="C1370" s="11">
        <v>0</v>
      </c>
      <c r="D1370" s="11">
        <v>0</v>
      </c>
      <c r="E1370" s="2">
        <f t="shared" si="43"/>
        <v>0</v>
      </c>
      <c r="F1370" s="11">
        <v>0</v>
      </c>
      <c r="G1370" s="3" t="e">
        <f t="shared" si="44"/>
        <v>#DIV/0!</v>
      </c>
      <c r="R1370"/>
    </row>
    <row r="1371" spans="1:18">
      <c r="A1371" s="1">
        <v>5</v>
      </c>
      <c r="B1371" s="1" t="s">
        <v>131</v>
      </c>
      <c r="C1371" s="11">
        <v>0</v>
      </c>
      <c r="D1371" s="11">
        <v>0</v>
      </c>
      <c r="E1371" s="2">
        <f t="shared" ref="E1371:E1395" si="47">C1371-D1371</f>
        <v>0</v>
      </c>
      <c r="F1371" s="11">
        <v>0</v>
      </c>
      <c r="G1371" s="3" t="e">
        <f t="shared" ref="G1371:G1397" si="48">(E1371+F1371)/C1371</f>
        <v>#DIV/0!</v>
      </c>
      <c r="R1371"/>
    </row>
    <row r="1372" spans="1:18">
      <c r="A1372" s="1">
        <v>6</v>
      </c>
      <c r="B1372" s="1" t="s">
        <v>131</v>
      </c>
      <c r="C1372" s="11">
        <v>0</v>
      </c>
      <c r="D1372" s="11">
        <v>0</v>
      </c>
      <c r="E1372" s="2">
        <f t="shared" si="47"/>
        <v>0</v>
      </c>
      <c r="F1372" s="11">
        <v>0</v>
      </c>
      <c r="G1372" s="3" t="e">
        <f t="shared" si="48"/>
        <v>#DIV/0!</v>
      </c>
      <c r="R1372"/>
    </row>
    <row r="1373" spans="1:18">
      <c r="A1373" s="1">
        <v>7</v>
      </c>
      <c r="B1373" s="1" t="s">
        <v>131</v>
      </c>
      <c r="C1373" s="11">
        <v>0</v>
      </c>
      <c r="D1373" s="11">
        <v>0</v>
      </c>
      <c r="E1373" s="2">
        <f t="shared" si="47"/>
        <v>0</v>
      </c>
      <c r="F1373" s="11">
        <v>0</v>
      </c>
      <c r="G1373" s="3" t="e">
        <f t="shared" si="48"/>
        <v>#DIV/0!</v>
      </c>
      <c r="R1373"/>
    </row>
    <row r="1374" spans="1:18">
      <c r="A1374" s="1">
        <v>8</v>
      </c>
      <c r="B1374" s="1" t="s">
        <v>131</v>
      </c>
      <c r="C1374" s="11">
        <v>0</v>
      </c>
      <c r="D1374" s="11">
        <v>0</v>
      </c>
      <c r="E1374" s="2">
        <f t="shared" si="47"/>
        <v>0</v>
      </c>
      <c r="F1374" s="11">
        <v>0</v>
      </c>
      <c r="G1374" s="3" t="e">
        <f t="shared" si="48"/>
        <v>#DIV/0!</v>
      </c>
      <c r="R1374"/>
    </row>
    <row r="1375" spans="1:18">
      <c r="A1375" s="1">
        <v>9</v>
      </c>
      <c r="B1375" s="1" t="s">
        <v>131</v>
      </c>
      <c r="C1375" s="11">
        <v>0</v>
      </c>
      <c r="D1375" s="11">
        <v>0</v>
      </c>
      <c r="E1375" s="2">
        <f t="shared" si="47"/>
        <v>0</v>
      </c>
      <c r="F1375" s="11">
        <v>0</v>
      </c>
      <c r="G1375" s="3" t="e">
        <f t="shared" si="48"/>
        <v>#DIV/0!</v>
      </c>
      <c r="R1375"/>
    </row>
    <row r="1376" spans="1:18">
      <c r="A1376" s="1">
        <v>10</v>
      </c>
      <c r="B1376" s="1" t="s">
        <v>131</v>
      </c>
      <c r="C1376" s="11">
        <v>0</v>
      </c>
      <c r="D1376" s="11">
        <v>0</v>
      </c>
      <c r="E1376" s="2">
        <f t="shared" si="47"/>
        <v>0</v>
      </c>
      <c r="F1376" s="11">
        <v>0</v>
      </c>
      <c r="G1376" s="3" t="e">
        <f t="shared" si="48"/>
        <v>#DIV/0!</v>
      </c>
      <c r="R1376"/>
    </row>
    <row r="1377" spans="1:18">
      <c r="A1377" s="1">
        <v>11</v>
      </c>
      <c r="B1377" s="1" t="s">
        <v>131</v>
      </c>
      <c r="C1377" s="11">
        <v>0</v>
      </c>
      <c r="D1377" s="11">
        <v>0</v>
      </c>
      <c r="E1377" s="2">
        <f t="shared" si="47"/>
        <v>0</v>
      </c>
      <c r="F1377" s="11">
        <v>0</v>
      </c>
      <c r="G1377" s="3" t="e">
        <f t="shared" si="48"/>
        <v>#DIV/0!</v>
      </c>
      <c r="R1377"/>
    </row>
    <row r="1378" spans="1:18">
      <c r="A1378" s="1">
        <v>12</v>
      </c>
      <c r="B1378" s="1" t="s">
        <v>131</v>
      </c>
      <c r="C1378" s="11">
        <v>0</v>
      </c>
      <c r="D1378" s="11">
        <v>0</v>
      </c>
      <c r="E1378" s="2">
        <f t="shared" si="47"/>
        <v>0</v>
      </c>
      <c r="F1378" s="11">
        <v>0</v>
      </c>
      <c r="G1378" s="3" t="e">
        <f t="shared" si="48"/>
        <v>#DIV/0!</v>
      </c>
      <c r="R1378"/>
    </row>
    <row r="1379" spans="1:18">
      <c r="A1379" s="1">
        <v>13</v>
      </c>
      <c r="B1379" s="1" t="s">
        <v>131</v>
      </c>
      <c r="C1379" s="11">
        <v>0</v>
      </c>
      <c r="D1379" s="11">
        <v>0</v>
      </c>
      <c r="E1379" s="2">
        <f t="shared" si="47"/>
        <v>0</v>
      </c>
      <c r="F1379" s="11">
        <v>0</v>
      </c>
      <c r="G1379" s="3" t="e">
        <f t="shared" si="48"/>
        <v>#DIV/0!</v>
      </c>
      <c r="R1379"/>
    </row>
    <row r="1380" spans="1:18">
      <c r="A1380" s="1">
        <v>14</v>
      </c>
      <c r="B1380" s="1" t="s">
        <v>131</v>
      </c>
      <c r="C1380" s="11">
        <v>0</v>
      </c>
      <c r="D1380" s="11">
        <v>0</v>
      </c>
      <c r="E1380" s="2">
        <f t="shared" si="47"/>
        <v>0</v>
      </c>
      <c r="F1380" s="11">
        <v>0</v>
      </c>
      <c r="G1380" s="3" t="e">
        <f t="shared" si="48"/>
        <v>#DIV/0!</v>
      </c>
      <c r="R1380"/>
    </row>
    <row r="1381" spans="1:18">
      <c r="A1381" s="1">
        <v>15</v>
      </c>
      <c r="B1381" s="1" t="s">
        <v>131</v>
      </c>
      <c r="C1381" s="11">
        <v>0</v>
      </c>
      <c r="D1381" s="11">
        <v>0</v>
      </c>
      <c r="E1381" s="2">
        <f t="shared" si="47"/>
        <v>0</v>
      </c>
      <c r="F1381" s="11">
        <v>0</v>
      </c>
      <c r="G1381" s="3" t="e">
        <f t="shared" si="48"/>
        <v>#DIV/0!</v>
      </c>
      <c r="R1381"/>
    </row>
    <row r="1382" spans="1:18">
      <c r="A1382" s="1">
        <v>16</v>
      </c>
      <c r="B1382" s="1" t="s">
        <v>131</v>
      </c>
      <c r="C1382" s="11">
        <v>0</v>
      </c>
      <c r="D1382" s="11">
        <v>0</v>
      </c>
      <c r="E1382" s="2">
        <f t="shared" si="47"/>
        <v>0</v>
      </c>
      <c r="F1382" s="11">
        <v>0</v>
      </c>
      <c r="G1382" s="3" t="e">
        <f t="shared" si="48"/>
        <v>#DIV/0!</v>
      </c>
      <c r="R1382"/>
    </row>
    <row r="1383" spans="1:18">
      <c r="A1383" s="1">
        <v>17</v>
      </c>
      <c r="B1383" s="1" t="s">
        <v>131</v>
      </c>
      <c r="C1383" s="11">
        <v>0</v>
      </c>
      <c r="D1383" s="11">
        <v>0</v>
      </c>
      <c r="E1383" s="2">
        <f t="shared" si="47"/>
        <v>0</v>
      </c>
      <c r="F1383" s="11">
        <v>0</v>
      </c>
      <c r="G1383" s="3" t="e">
        <f t="shared" si="48"/>
        <v>#DIV/0!</v>
      </c>
      <c r="R1383"/>
    </row>
    <row r="1384" spans="1:18">
      <c r="A1384" s="1">
        <v>18</v>
      </c>
      <c r="B1384" s="1" t="s">
        <v>131</v>
      </c>
      <c r="C1384" s="11">
        <v>0</v>
      </c>
      <c r="D1384" s="11">
        <v>0</v>
      </c>
      <c r="E1384" s="2">
        <f t="shared" si="47"/>
        <v>0</v>
      </c>
      <c r="F1384" s="11">
        <v>0</v>
      </c>
      <c r="G1384" s="3" t="e">
        <f t="shared" si="48"/>
        <v>#DIV/0!</v>
      </c>
      <c r="R1384"/>
    </row>
    <row r="1385" spans="1:18">
      <c r="A1385" s="1">
        <v>19</v>
      </c>
      <c r="B1385" s="1" t="s">
        <v>131</v>
      </c>
      <c r="C1385" s="11">
        <v>0</v>
      </c>
      <c r="D1385" s="11">
        <v>0</v>
      </c>
      <c r="E1385" s="2">
        <f t="shared" si="47"/>
        <v>0</v>
      </c>
      <c r="F1385" s="11">
        <v>0</v>
      </c>
      <c r="G1385" s="3" t="e">
        <f t="shared" si="48"/>
        <v>#DIV/0!</v>
      </c>
      <c r="R1385"/>
    </row>
    <row r="1386" spans="1:18">
      <c r="A1386" s="1">
        <v>20</v>
      </c>
      <c r="B1386" s="1" t="s">
        <v>131</v>
      </c>
      <c r="C1386" s="11">
        <v>0</v>
      </c>
      <c r="D1386" s="11">
        <v>0</v>
      </c>
      <c r="E1386" s="2">
        <f t="shared" si="47"/>
        <v>0</v>
      </c>
      <c r="F1386" s="11">
        <v>0</v>
      </c>
      <c r="G1386" s="3" t="e">
        <f t="shared" si="48"/>
        <v>#DIV/0!</v>
      </c>
      <c r="R1386"/>
    </row>
    <row r="1387" spans="1:18">
      <c r="A1387" s="1">
        <v>21</v>
      </c>
      <c r="B1387" s="1" t="s">
        <v>131</v>
      </c>
      <c r="C1387" s="11">
        <v>0</v>
      </c>
      <c r="D1387" s="11">
        <v>0</v>
      </c>
      <c r="E1387" s="2">
        <f t="shared" si="47"/>
        <v>0</v>
      </c>
      <c r="F1387" s="11">
        <v>0</v>
      </c>
      <c r="G1387" s="3" t="e">
        <f t="shared" si="48"/>
        <v>#DIV/0!</v>
      </c>
      <c r="R1387"/>
    </row>
    <row r="1388" spans="1:18">
      <c r="A1388" s="1">
        <v>22</v>
      </c>
      <c r="B1388" s="1" t="s">
        <v>131</v>
      </c>
      <c r="C1388" s="11">
        <v>0</v>
      </c>
      <c r="D1388" s="11">
        <v>0</v>
      </c>
      <c r="E1388" s="2">
        <f t="shared" si="47"/>
        <v>0</v>
      </c>
      <c r="F1388" s="11">
        <v>0</v>
      </c>
      <c r="G1388" s="3" t="e">
        <f t="shared" si="48"/>
        <v>#DIV/0!</v>
      </c>
      <c r="R1388"/>
    </row>
    <row r="1389" spans="1:18">
      <c r="A1389" s="1">
        <v>23</v>
      </c>
      <c r="B1389" s="1" t="s">
        <v>131</v>
      </c>
      <c r="C1389" s="11">
        <v>0</v>
      </c>
      <c r="D1389" s="11">
        <v>0</v>
      </c>
      <c r="E1389" s="2">
        <f t="shared" si="47"/>
        <v>0</v>
      </c>
      <c r="F1389" s="11">
        <v>0</v>
      </c>
      <c r="G1389" s="3" t="e">
        <f t="shared" si="48"/>
        <v>#DIV/0!</v>
      </c>
      <c r="R1389"/>
    </row>
    <row r="1390" spans="1:18">
      <c r="A1390" s="1">
        <v>24</v>
      </c>
      <c r="B1390" s="1" t="s">
        <v>131</v>
      </c>
      <c r="C1390" s="11">
        <v>0</v>
      </c>
      <c r="D1390" s="11">
        <v>0</v>
      </c>
      <c r="E1390" s="2">
        <f t="shared" si="47"/>
        <v>0</v>
      </c>
      <c r="F1390" s="11">
        <v>0</v>
      </c>
      <c r="G1390" s="3" t="e">
        <f t="shared" si="48"/>
        <v>#DIV/0!</v>
      </c>
      <c r="R1390"/>
    </row>
    <row r="1391" spans="1:18">
      <c r="A1391" s="1">
        <v>25</v>
      </c>
      <c r="B1391" s="1" t="s">
        <v>131</v>
      </c>
      <c r="C1391" s="11">
        <v>0</v>
      </c>
      <c r="D1391" s="11">
        <v>0</v>
      </c>
      <c r="E1391" s="2">
        <f t="shared" si="47"/>
        <v>0</v>
      </c>
      <c r="F1391" s="11">
        <v>0</v>
      </c>
      <c r="G1391" s="3" t="e">
        <f t="shared" si="48"/>
        <v>#DIV/0!</v>
      </c>
      <c r="R1391"/>
    </row>
    <row r="1392" spans="1:18">
      <c r="A1392" s="1">
        <v>26</v>
      </c>
      <c r="B1392" s="1" t="s">
        <v>131</v>
      </c>
      <c r="C1392" s="11">
        <v>0</v>
      </c>
      <c r="D1392" s="11">
        <v>0</v>
      </c>
      <c r="E1392" s="2">
        <f t="shared" si="47"/>
        <v>0</v>
      </c>
      <c r="F1392" s="11">
        <v>0</v>
      </c>
      <c r="G1392" s="3" t="e">
        <f t="shared" si="48"/>
        <v>#DIV/0!</v>
      </c>
      <c r="R1392"/>
    </row>
    <row r="1393" spans="1:18">
      <c r="A1393" s="1">
        <v>27</v>
      </c>
      <c r="B1393" s="1" t="s">
        <v>131</v>
      </c>
      <c r="C1393" s="11">
        <v>0</v>
      </c>
      <c r="D1393" s="11">
        <v>0</v>
      </c>
      <c r="E1393" s="2">
        <f t="shared" si="47"/>
        <v>0</v>
      </c>
      <c r="F1393" s="11">
        <v>0</v>
      </c>
      <c r="G1393" s="3" t="e">
        <f t="shared" si="48"/>
        <v>#DIV/0!</v>
      </c>
      <c r="R1393"/>
    </row>
    <row r="1394" spans="1:18">
      <c r="A1394" s="1">
        <v>28</v>
      </c>
      <c r="B1394" s="1" t="s">
        <v>131</v>
      </c>
      <c r="C1394" s="11">
        <v>0</v>
      </c>
      <c r="D1394" s="11">
        <v>0</v>
      </c>
      <c r="E1394" s="2">
        <f t="shared" si="47"/>
        <v>0</v>
      </c>
      <c r="F1394" s="11">
        <v>0</v>
      </c>
      <c r="G1394" s="3" t="e">
        <f t="shared" si="48"/>
        <v>#DIV/0!</v>
      </c>
      <c r="R1394"/>
    </row>
    <row r="1395" spans="1:18">
      <c r="A1395" s="1">
        <v>29</v>
      </c>
      <c r="B1395" s="1" t="s">
        <v>131</v>
      </c>
      <c r="C1395" s="11">
        <v>0</v>
      </c>
      <c r="D1395" s="11">
        <v>0</v>
      </c>
      <c r="E1395" s="2">
        <f t="shared" si="47"/>
        <v>0</v>
      </c>
      <c r="F1395" s="11">
        <v>0</v>
      </c>
      <c r="G1395" s="3" t="e">
        <f t="shared" si="48"/>
        <v>#DIV/0!</v>
      </c>
      <c r="R1395"/>
    </row>
    <row r="1396" spans="1:18">
      <c r="A1396" s="1">
        <v>30</v>
      </c>
      <c r="B1396" s="1" t="s">
        <v>131</v>
      </c>
      <c r="C1396" s="11">
        <v>0</v>
      </c>
      <c r="D1396" s="11">
        <v>0</v>
      </c>
      <c r="E1396" s="2">
        <f t="shared" ref="E1396:E1397" si="49">C1396-D1396</f>
        <v>0</v>
      </c>
      <c r="F1396" s="11">
        <v>0</v>
      </c>
      <c r="G1396" s="3" t="e">
        <f t="shared" si="48"/>
        <v>#DIV/0!</v>
      </c>
      <c r="R1396"/>
    </row>
    <row r="1397" spans="1:18">
      <c r="A1397" s="1">
        <v>31</v>
      </c>
      <c r="B1397" s="1" t="s">
        <v>131</v>
      </c>
      <c r="C1397" s="11">
        <v>85.49</v>
      </c>
      <c r="D1397" s="11">
        <v>84.42</v>
      </c>
      <c r="E1397" s="2">
        <f t="shared" si="49"/>
        <v>1.0699999999999932</v>
      </c>
      <c r="F1397" s="11">
        <v>0.21199999999999999</v>
      </c>
      <c r="G1397" s="3">
        <f t="shared" si="48"/>
        <v>1.4995905953912659E-2</v>
      </c>
      <c r="R1397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22212-CCE6-410D-8459-C30404F4996D}">
  <sheetPr>
    <tabColor rgb="FFFF0000"/>
  </sheetPr>
  <dimension ref="A1:G1428"/>
  <sheetViews>
    <sheetView workbookViewId="0">
      <pane xSplit="1" ySplit="2" topLeftCell="B1405" activePane="bottomRight" state="frozen"/>
      <selection activeCell="F114" sqref="F114"/>
      <selection pane="topRight" activeCell="F114" sqref="F114"/>
      <selection pane="bottomLeft" activeCell="F114" sqref="F114"/>
      <selection pane="bottomRight" activeCell="A2" sqref="A2:G1428"/>
    </sheetView>
  </sheetViews>
  <sheetFormatPr defaultRowHeight="14.4"/>
  <cols>
    <col min="2" max="2" width="16.44140625" bestFit="1" customWidth="1"/>
    <col min="3" max="3" width="12.109375" style="9" bestFit="1" customWidth="1"/>
    <col min="4" max="4" width="10.109375" style="9" bestFit="1" customWidth="1"/>
    <col min="5" max="5" width="11.6640625" style="9" bestFit="1" customWidth="1"/>
    <col min="6" max="6" width="10.88671875" style="12" bestFit="1" customWidth="1"/>
    <col min="7" max="7" width="10.44140625" style="4" customWidth="1"/>
  </cols>
  <sheetData>
    <row r="1" spans="1:7">
      <c r="A1" s="117" t="s">
        <v>7</v>
      </c>
      <c r="B1" s="117"/>
      <c r="C1" s="118"/>
      <c r="D1" s="118"/>
      <c r="E1" s="118"/>
      <c r="F1" s="117"/>
      <c r="G1" s="119"/>
    </row>
    <row r="2" spans="1:7" ht="13.2" customHeight="1">
      <c r="A2" s="5" t="s">
        <v>1</v>
      </c>
      <c r="B2" s="5" t="s">
        <v>0</v>
      </c>
      <c r="C2" s="8" t="s">
        <v>2</v>
      </c>
      <c r="D2" s="8" t="s">
        <v>3</v>
      </c>
      <c r="E2" s="8" t="s">
        <v>4</v>
      </c>
      <c r="F2" s="10" t="s">
        <v>5</v>
      </c>
      <c r="G2" s="6" t="s">
        <v>43</v>
      </c>
    </row>
    <row r="3" spans="1:7">
      <c r="A3" s="1">
        <v>1</v>
      </c>
      <c r="B3" s="1" t="s">
        <v>8</v>
      </c>
      <c r="C3" s="11">
        <v>200</v>
      </c>
      <c r="D3" s="11">
        <v>198.29000000000002</v>
      </c>
      <c r="E3" s="2">
        <f>C3-D3</f>
        <v>1.7099999999999795</v>
      </c>
      <c r="F3" s="11">
        <v>8.9000000000012847E-2</v>
      </c>
      <c r="G3" s="3">
        <f>(E3+F3)/C3</f>
        <v>8.9949999999999614E-3</v>
      </c>
    </row>
    <row r="4" spans="1:7">
      <c r="A4" s="1">
        <v>2</v>
      </c>
      <c r="B4" s="1" t="s">
        <v>8</v>
      </c>
      <c r="C4" s="11">
        <v>360</v>
      </c>
      <c r="D4" s="11">
        <v>357.01</v>
      </c>
      <c r="E4" s="2">
        <f t="shared" ref="E4:E67" si="0">C4-D4</f>
        <v>2.9900000000000091</v>
      </c>
      <c r="F4" s="11">
        <v>5.8000000000000003E-2</v>
      </c>
      <c r="G4" s="3">
        <f t="shared" ref="G4:G67" si="1">(E4+F4)/C4</f>
        <v>8.4666666666666918E-3</v>
      </c>
    </row>
    <row r="5" spans="1:7">
      <c r="A5" s="1">
        <v>3</v>
      </c>
      <c r="B5" s="1" t="s">
        <v>8</v>
      </c>
      <c r="C5" s="11">
        <v>640</v>
      </c>
      <c r="D5" s="11">
        <v>635.20000000000005</v>
      </c>
      <c r="E5" s="2">
        <f t="shared" si="0"/>
        <v>4.7999999999999545</v>
      </c>
      <c r="F5" s="11">
        <v>0.15</v>
      </c>
      <c r="G5" s="3">
        <f t="shared" si="1"/>
        <v>7.7343749999999297E-3</v>
      </c>
    </row>
    <row r="6" spans="1:7">
      <c r="A6" s="1">
        <v>4</v>
      </c>
      <c r="B6" s="1" t="s">
        <v>8</v>
      </c>
      <c r="C6" s="11">
        <v>460</v>
      </c>
      <c r="D6" s="11">
        <v>457.3</v>
      </c>
      <c r="E6" s="2">
        <f t="shared" si="0"/>
        <v>2.6999999999999886</v>
      </c>
      <c r="F6" s="11">
        <v>0.06</v>
      </c>
      <c r="G6" s="3">
        <f t="shared" si="1"/>
        <v>5.999999999999975E-3</v>
      </c>
    </row>
    <row r="7" spans="1:7">
      <c r="A7" s="1">
        <v>5</v>
      </c>
      <c r="B7" s="1" t="s">
        <v>8</v>
      </c>
      <c r="C7" s="11">
        <v>160</v>
      </c>
      <c r="D7" s="11">
        <v>158.5</v>
      </c>
      <c r="E7" s="2">
        <f t="shared" si="0"/>
        <v>1.5</v>
      </c>
      <c r="F7" s="11">
        <v>0.05</v>
      </c>
      <c r="G7" s="3">
        <f t="shared" si="1"/>
        <v>9.6874999999999999E-3</v>
      </c>
    </row>
    <row r="8" spans="1:7">
      <c r="A8" s="1">
        <v>6</v>
      </c>
      <c r="B8" s="1" t="s">
        <v>8</v>
      </c>
      <c r="C8" s="11">
        <v>200</v>
      </c>
      <c r="D8" s="11">
        <v>198.03</v>
      </c>
      <c r="E8" s="2">
        <f t="shared" si="0"/>
        <v>1.9699999999999989</v>
      </c>
      <c r="F8" s="11">
        <v>0.05</v>
      </c>
      <c r="G8" s="3">
        <f t="shared" si="1"/>
        <v>1.0099999999999993E-2</v>
      </c>
    </row>
    <row r="9" spans="1:7">
      <c r="A9" s="1">
        <v>7</v>
      </c>
      <c r="B9" s="1" t="s">
        <v>8</v>
      </c>
      <c r="C9" s="11">
        <v>380</v>
      </c>
      <c r="D9" s="11">
        <v>376.6</v>
      </c>
      <c r="E9" s="2">
        <f t="shared" si="0"/>
        <v>3.3999999999999773</v>
      </c>
      <c r="F9" s="11">
        <v>1</v>
      </c>
      <c r="G9" s="3">
        <f t="shared" si="1"/>
        <v>1.1578947368420993E-2</v>
      </c>
    </row>
    <row r="10" spans="1:7">
      <c r="A10" s="1">
        <v>10</v>
      </c>
      <c r="B10" s="1" t="s">
        <v>8</v>
      </c>
      <c r="C10" s="11">
        <v>478.16</v>
      </c>
      <c r="D10" s="11">
        <v>473.99</v>
      </c>
      <c r="E10" s="2">
        <f t="shared" si="0"/>
        <v>4.1700000000000159</v>
      </c>
      <c r="F10" s="11">
        <v>0</v>
      </c>
      <c r="G10" s="3">
        <f t="shared" si="1"/>
        <v>8.7209302325581724E-3</v>
      </c>
    </row>
    <row r="11" spans="1:7">
      <c r="A11" s="1">
        <v>8</v>
      </c>
      <c r="B11" s="1" t="s">
        <v>8</v>
      </c>
      <c r="C11" s="11">
        <v>210</v>
      </c>
      <c r="D11" s="11">
        <v>208.18</v>
      </c>
      <c r="E11" s="2">
        <f t="shared" si="0"/>
        <v>1.8199999999999932</v>
      </c>
      <c r="F11" s="11">
        <v>8.5000000000000006E-2</v>
      </c>
      <c r="G11" s="3">
        <f t="shared" si="1"/>
        <v>9.0714285714285393E-3</v>
      </c>
    </row>
    <row r="12" spans="1:7">
      <c r="A12" s="1">
        <v>9</v>
      </c>
      <c r="B12" s="1" t="s">
        <v>8</v>
      </c>
      <c r="C12" s="11">
        <v>296.02999999999997</v>
      </c>
      <c r="D12" s="11">
        <v>293.95999999999998</v>
      </c>
      <c r="E12" s="2">
        <f t="shared" si="0"/>
        <v>2.0699999999999932</v>
      </c>
      <c r="F12" s="11">
        <v>0.01</v>
      </c>
      <c r="G12" s="3">
        <f t="shared" si="1"/>
        <v>7.0263149005168161E-3</v>
      </c>
    </row>
    <row r="13" spans="1:7">
      <c r="A13" s="1">
        <v>11</v>
      </c>
      <c r="B13" s="1" t="s">
        <v>8</v>
      </c>
      <c r="C13" s="11">
        <v>324.51</v>
      </c>
      <c r="D13" s="11">
        <v>322.07</v>
      </c>
      <c r="E13" s="2">
        <f t="shared" si="0"/>
        <v>2.4399999999999977</v>
      </c>
      <c r="F13" s="11">
        <v>0.01</v>
      </c>
      <c r="G13" s="3">
        <f t="shared" si="1"/>
        <v>7.5498443807586746E-3</v>
      </c>
    </row>
    <row r="14" spans="1:7">
      <c r="A14" s="1">
        <v>12</v>
      </c>
      <c r="B14" s="1" t="s">
        <v>8</v>
      </c>
      <c r="C14" s="11">
        <v>63.21</v>
      </c>
      <c r="D14" s="11">
        <v>62.67</v>
      </c>
      <c r="E14" s="2">
        <f t="shared" si="0"/>
        <v>0.53999999999999915</v>
      </c>
      <c r="F14" s="11">
        <v>0.01</v>
      </c>
      <c r="G14" s="3">
        <f t="shared" si="1"/>
        <v>8.7011548805568609E-3</v>
      </c>
    </row>
    <row r="15" spans="1:7">
      <c r="A15" s="1">
        <v>13</v>
      </c>
      <c r="B15" s="1" t="s">
        <v>8</v>
      </c>
      <c r="C15" s="11">
        <v>143.07</v>
      </c>
      <c r="D15" s="11">
        <v>142.08000000000001</v>
      </c>
      <c r="E15" s="2">
        <f t="shared" si="0"/>
        <v>0.98999999999998067</v>
      </c>
      <c r="F15" s="11">
        <v>2.1000000000000001E-2</v>
      </c>
      <c r="G15" s="3">
        <f t="shared" si="1"/>
        <v>7.066470958272039E-3</v>
      </c>
    </row>
    <row r="16" spans="1:7">
      <c r="A16" s="1">
        <v>14</v>
      </c>
      <c r="B16" s="1" t="s">
        <v>8</v>
      </c>
      <c r="C16" s="11">
        <v>276</v>
      </c>
      <c r="D16" s="11">
        <v>274.64</v>
      </c>
      <c r="E16" s="2">
        <f t="shared" si="0"/>
        <v>1.3600000000000136</v>
      </c>
      <c r="F16" s="11">
        <v>5.1999999999999998E-2</v>
      </c>
      <c r="G16" s="3">
        <f t="shared" si="1"/>
        <v>5.1159420289855571E-3</v>
      </c>
    </row>
    <row r="17" spans="1:7">
      <c r="A17" s="1">
        <v>15</v>
      </c>
      <c r="B17" s="1" t="s">
        <v>8</v>
      </c>
      <c r="C17" s="11">
        <v>48.13</v>
      </c>
      <c r="D17" s="11">
        <v>47.54</v>
      </c>
      <c r="E17" s="2">
        <f t="shared" si="0"/>
        <v>0.59000000000000341</v>
      </c>
      <c r="F17" s="11">
        <v>0</v>
      </c>
      <c r="G17" s="3">
        <f t="shared" si="1"/>
        <v>1.2258466652815362E-2</v>
      </c>
    </row>
    <row r="18" spans="1:7">
      <c r="A18" s="1">
        <v>16</v>
      </c>
      <c r="B18" s="1" t="s">
        <v>8</v>
      </c>
      <c r="C18" s="11">
        <v>60</v>
      </c>
      <c r="D18" s="11">
        <v>59.57</v>
      </c>
      <c r="E18" s="2">
        <f t="shared" si="0"/>
        <v>0.42999999999999972</v>
      </c>
      <c r="F18" s="11">
        <v>3.0000000000000001E-3</v>
      </c>
      <c r="G18" s="3">
        <f t="shared" si="1"/>
        <v>7.216666666666662E-3</v>
      </c>
    </row>
    <row r="19" spans="1:7">
      <c r="A19" s="1">
        <v>17</v>
      </c>
      <c r="B19" s="1" t="s">
        <v>8</v>
      </c>
      <c r="C19" s="11">
        <v>344.64</v>
      </c>
      <c r="D19" s="11">
        <v>342.63</v>
      </c>
      <c r="E19" s="2">
        <f t="shared" si="0"/>
        <v>2.0099999999999909</v>
      </c>
      <c r="F19" s="11">
        <v>0.45100000000000001</v>
      </c>
      <c r="G19" s="3">
        <f t="shared" si="1"/>
        <v>7.1407845868152013E-3</v>
      </c>
    </row>
    <row r="20" spans="1:7">
      <c r="A20" s="1">
        <v>18</v>
      </c>
      <c r="B20" s="1" t="s">
        <v>8</v>
      </c>
      <c r="C20" s="11">
        <v>184.35</v>
      </c>
      <c r="D20" s="11">
        <v>182.78</v>
      </c>
      <c r="E20" s="2">
        <f t="shared" si="0"/>
        <v>1.5699999999999932</v>
      </c>
      <c r="F20" s="11">
        <v>0.505</v>
      </c>
      <c r="G20" s="3">
        <f t="shared" si="1"/>
        <v>1.1255763493354994E-2</v>
      </c>
    </row>
    <row r="21" spans="1:7">
      <c r="A21" s="1">
        <v>19</v>
      </c>
      <c r="B21" s="1" t="s">
        <v>8</v>
      </c>
      <c r="C21" s="11">
        <v>196.03</v>
      </c>
      <c r="D21" s="11">
        <v>194.64</v>
      </c>
      <c r="E21" s="2">
        <f t="shared" si="0"/>
        <v>1.3900000000000148</v>
      </c>
      <c r="F21" s="11">
        <v>0.30499999999999999</v>
      </c>
      <c r="G21" s="3">
        <f t="shared" si="1"/>
        <v>8.6466357190226745E-3</v>
      </c>
    </row>
    <row r="22" spans="1:7">
      <c r="A22" s="1">
        <v>20</v>
      </c>
      <c r="B22" s="1" t="s">
        <v>8</v>
      </c>
      <c r="C22" s="11">
        <v>248.5</v>
      </c>
      <c r="D22" s="11">
        <v>246.74</v>
      </c>
      <c r="E22" s="2">
        <f t="shared" si="0"/>
        <v>1.7599999999999909</v>
      </c>
      <c r="F22" s="11">
        <v>0.46600000000000003</v>
      </c>
      <c r="G22" s="3">
        <f t="shared" si="1"/>
        <v>8.957746478873204E-3</v>
      </c>
    </row>
    <row r="23" spans="1:7">
      <c r="A23" s="1">
        <v>21</v>
      </c>
      <c r="B23" s="1" t="s">
        <v>8</v>
      </c>
      <c r="C23" s="11">
        <v>127.68</v>
      </c>
      <c r="D23" s="11">
        <v>126.52</v>
      </c>
      <c r="E23" s="2">
        <f t="shared" si="0"/>
        <v>1.1600000000000108</v>
      </c>
      <c r="F23" s="11">
        <v>0.32500000000000001</v>
      </c>
      <c r="G23" s="3">
        <f t="shared" si="1"/>
        <v>1.1630639097744444E-2</v>
      </c>
    </row>
    <row r="24" spans="1:7">
      <c r="A24" s="1">
        <v>22</v>
      </c>
      <c r="B24" s="1" t="s">
        <v>8</v>
      </c>
      <c r="C24" s="11">
        <v>146.44</v>
      </c>
      <c r="D24" s="11">
        <v>144.94999999999999</v>
      </c>
      <c r="E24" s="2">
        <f t="shared" si="0"/>
        <v>1.4900000000000091</v>
      </c>
      <c r="F24" s="11">
        <v>0.42199999999999999</v>
      </c>
      <c r="G24" s="3">
        <f t="shared" si="1"/>
        <v>1.3056541928434915E-2</v>
      </c>
    </row>
    <row r="25" spans="1:7">
      <c r="A25" s="1">
        <v>23</v>
      </c>
      <c r="B25" s="1" t="s">
        <v>8</v>
      </c>
      <c r="C25" s="11">
        <v>254.3</v>
      </c>
      <c r="D25" s="11">
        <v>252.45</v>
      </c>
      <c r="E25" s="2">
        <f t="shared" si="0"/>
        <v>1.8500000000000227</v>
      </c>
      <c r="F25" s="11">
        <v>0.46899999999999997</v>
      </c>
      <c r="G25" s="3">
        <f t="shared" si="1"/>
        <v>9.1191506095164073E-3</v>
      </c>
    </row>
    <row r="26" spans="1:7">
      <c r="A26" s="1">
        <v>24</v>
      </c>
      <c r="B26" s="1" t="s">
        <v>8</v>
      </c>
      <c r="C26" s="11">
        <v>196.64</v>
      </c>
      <c r="D26" s="11">
        <v>195.45</v>
      </c>
      <c r="E26" s="2">
        <f t="shared" si="0"/>
        <v>1.1899999999999977</v>
      </c>
      <c r="F26" s="11">
        <v>0.52500000000000002</v>
      </c>
      <c r="G26" s="3">
        <f t="shared" si="1"/>
        <v>8.7215215622457164E-3</v>
      </c>
    </row>
    <row r="27" spans="1:7">
      <c r="A27" s="1">
        <v>25</v>
      </c>
      <c r="B27" s="1" t="s">
        <v>8</v>
      </c>
      <c r="C27" s="11">
        <v>251.84</v>
      </c>
      <c r="D27" s="11">
        <v>249.95</v>
      </c>
      <c r="E27" s="2">
        <f t="shared" si="0"/>
        <v>1.8900000000000148</v>
      </c>
      <c r="F27" s="11">
        <v>0.51</v>
      </c>
      <c r="G27" s="3">
        <f t="shared" si="1"/>
        <v>9.5298602287167029E-3</v>
      </c>
    </row>
    <row r="28" spans="1:7">
      <c r="A28" s="1">
        <v>26</v>
      </c>
      <c r="B28" s="1" t="s">
        <v>8</v>
      </c>
      <c r="C28" s="11">
        <v>132.72</v>
      </c>
      <c r="D28" s="11">
        <v>131.84</v>
      </c>
      <c r="E28" s="2">
        <f t="shared" si="0"/>
        <v>0.87999999999999545</v>
      </c>
      <c r="F28" s="11">
        <v>0.26700000000000002</v>
      </c>
      <c r="G28" s="3">
        <f t="shared" si="1"/>
        <v>8.6422543701024368E-3</v>
      </c>
    </row>
    <row r="29" spans="1:7">
      <c r="A29" s="1">
        <v>27</v>
      </c>
      <c r="B29" s="1" t="s">
        <v>8</v>
      </c>
      <c r="C29" s="11">
        <v>206.36</v>
      </c>
      <c r="D29" s="11">
        <v>204.61</v>
      </c>
      <c r="E29" s="2">
        <f t="shared" si="0"/>
        <v>1.75</v>
      </c>
      <c r="F29" s="11">
        <v>0.46800000000000003</v>
      </c>
      <c r="G29" s="3">
        <f t="shared" si="1"/>
        <v>1.0748207016863732E-2</v>
      </c>
    </row>
    <row r="30" spans="1:7">
      <c r="A30" s="1">
        <v>28</v>
      </c>
      <c r="B30" s="1" t="s">
        <v>8</v>
      </c>
      <c r="C30" s="11">
        <v>341.69</v>
      </c>
      <c r="D30" s="11">
        <v>339.11</v>
      </c>
      <c r="E30" s="2">
        <f t="shared" si="0"/>
        <v>2.5799999999999841</v>
      </c>
      <c r="F30" s="11">
        <v>0.45</v>
      </c>
      <c r="G30" s="3">
        <f t="shared" si="1"/>
        <v>8.8676870847844078E-3</v>
      </c>
    </row>
    <row r="31" spans="1:7">
      <c r="A31" s="1">
        <v>29</v>
      </c>
      <c r="B31" s="1" t="s">
        <v>8</v>
      </c>
      <c r="C31" s="11">
        <v>310.98</v>
      </c>
      <c r="D31" s="11">
        <v>307.54000000000002</v>
      </c>
      <c r="E31" s="2">
        <f t="shared" si="0"/>
        <v>3.4399999999999977</v>
      </c>
      <c r="F31" s="11">
        <v>0.40100000000000002</v>
      </c>
      <c r="G31" s="3">
        <f t="shared" si="1"/>
        <v>1.235127660942825E-2</v>
      </c>
    </row>
    <row r="32" spans="1:7">
      <c r="A32" s="1">
        <v>30</v>
      </c>
      <c r="B32" s="1" t="s">
        <v>8</v>
      </c>
      <c r="C32" s="11">
        <v>176.9</v>
      </c>
      <c r="D32" s="11">
        <v>175.14</v>
      </c>
      <c r="E32" s="2">
        <f t="shared" si="0"/>
        <v>1.7600000000000193</v>
      </c>
      <c r="F32" s="11">
        <v>0.35399999999999998</v>
      </c>
      <c r="G32" s="3">
        <f t="shared" si="1"/>
        <v>1.1950254381006328E-2</v>
      </c>
    </row>
    <row r="33" spans="1:7">
      <c r="A33" s="1">
        <v>31</v>
      </c>
      <c r="B33" s="1" t="s">
        <v>8</v>
      </c>
      <c r="C33" s="11">
        <v>319.01</v>
      </c>
      <c r="D33" s="11">
        <v>316.57</v>
      </c>
      <c r="E33" s="2">
        <f t="shared" si="0"/>
        <v>2.4399999999999977</v>
      </c>
      <c r="F33" s="11">
        <v>0.51500000000000001</v>
      </c>
      <c r="G33" s="3">
        <f t="shared" si="1"/>
        <v>9.2630325068179618E-3</v>
      </c>
    </row>
    <row r="34" spans="1:7">
      <c r="A34" s="1">
        <v>1</v>
      </c>
      <c r="B34" s="1" t="s">
        <v>9</v>
      </c>
      <c r="C34" s="11">
        <v>140</v>
      </c>
      <c r="D34" s="11">
        <v>139.56</v>
      </c>
      <c r="E34" s="2">
        <f t="shared" si="0"/>
        <v>0.43999999999999773</v>
      </c>
      <c r="F34" s="11">
        <v>1.9610000000000001</v>
      </c>
      <c r="G34" s="3">
        <f t="shared" si="1"/>
        <v>1.7149999999999985E-2</v>
      </c>
    </row>
    <row r="35" spans="1:7">
      <c r="A35" s="1">
        <v>2</v>
      </c>
      <c r="B35" s="1" t="s">
        <v>9</v>
      </c>
      <c r="C35" s="11">
        <v>300</v>
      </c>
      <c r="D35" s="11">
        <v>299.10000000000002</v>
      </c>
      <c r="E35" s="2">
        <f t="shared" si="0"/>
        <v>0.89999999999997726</v>
      </c>
      <c r="F35" s="11">
        <v>4.8659999999999997</v>
      </c>
      <c r="G35" s="3">
        <f t="shared" si="1"/>
        <v>1.9219999999999925E-2</v>
      </c>
    </row>
    <row r="36" spans="1:7">
      <c r="A36" s="1">
        <v>3</v>
      </c>
      <c r="B36" s="1" t="s">
        <v>9</v>
      </c>
      <c r="C36" s="11">
        <v>930</v>
      </c>
      <c r="D36" s="11">
        <v>924.56</v>
      </c>
      <c r="E36" s="2">
        <f t="shared" si="0"/>
        <v>5.4400000000000546</v>
      </c>
      <c r="F36" s="11">
        <v>12.997</v>
      </c>
      <c r="G36" s="3">
        <f t="shared" si="1"/>
        <v>1.9824731182795756E-2</v>
      </c>
    </row>
    <row r="37" spans="1:7">
      <c r="A37" s="1">
        <v>4</v>
      </c>
      <c r="B37" s="1" t="s">
        <v>9</v>
      </c>
      <c r="C37" s="11">
        <v>540</v>
      </c>
      <c r="D37" s="11">
        <v>535.88</v>
      </c>
      <c r="E37" s="2">
        <f t="shared" si="0"/>
        <v>4.1200000000000045</v>
      </c>
      <c r="F37" s="11">
        <v>6.5019999999999998</v>
      </c>
      <c r="G37" s="3">
        <f t="shared" si="1"/>
        <v>1.9670370370370376E-2</v>
      </c>
    </row>
    <row r="38" spans="1:7">
      <c r="A38" s="1">
        <v>5</v>
      </c>
      <c r="B38" s="1" t="s">
        <v>9</v>
      </c>
      <c r="C38" s="11">
        <v>200</v>
      </c>
      <c r="D38" s="11">
        <v>198.42</v>
      </c>
      <c r="E38" s="2">
        <f t="shared" si="0"/>
        <v>1.5800000000000125</v>
      </c>
      <c r="F38" s="11">
        <v>2.3079999999999998</v>
      </c>
      <c r="G38" s="3">
        <f t="shared" si="1"/>
        <v>1.9440000000000061E-2</v>
      </c>
    </row>
    <row r="39" spans="1:7">
      <c r="A39" s="1">
        <v>6</v>
      </c>
      <c r="B39" s="1" t="s">
        <v>9</v>
      </c>
      <c r="C39" s="11">
        <v>20</v>
      </c>
      <c r="D39" s="11">
        <v>19.84</v>
      </c>
      <c r="E39" s="2">
        <f t="shared" si="0"/>
        <v>0.16000000000000014</v>
      </c>
      <c r="F39" s="11">
        <v>0.221</v>
      </c>
      <c r="G39" s="3">
        <f t="shared" si="1"/>
        <v>1.9050000000000004E-2</v>
      </c>
    </row>
    <row r="40" spans="1:7">
      <c r="A40" s="1">
        <v>7</v>
      </c>
      <c r="B40" s="1" t="s">
        <v>9</v>
      </c>
      <c r="C40" s="11">
        <v>40</v>
      </c>
      <c r="D40" s="11">
        <v>39.840000000000003</v>
      </c>
      <c r="E40" s="2">
        <f t="shared" si="0"/>
        <v>0.15999999999999659</v>
      </c>
      <c r="F40" s="11">
        <v>0.216</v>
      </c>
      <c r="G40" s="3">
        <f t="shared" si="1"/>
        <v>9.3999999999999136E-3</v>
      </c>
    </row>
    <row r="41" spans="1:7">
      <c r="A41" s="1">
        <v>10</v>
      </c>
      <c r="B41" s="1" t="s">
        <v>9</v>
      </c>
      <c r="C41" s="11">
        <v>500</v>
      </c>
      <c r="D41" s="11">
        <v>496.68</v>
      </c>
      <c r="E41" s="2">
        <f t="shared" si="0"/>
        <v>3.3199999999999932</v>
      </c>
      <c r="F41" s="11">
        <v>5.8179999999999996</v>
      </c>
      <c r="G41" s="3">
        <f t="shared" si="1"/>
        <v>1.8275999999999987E-2</v>
      </c>
    </row>
    <row r="42" spans="1:7">
      <c r="A42" s="1">
        <v>8</v>
      </c>
      <c r="B42" s="1" t="s">
        <v>9</v>
      </c>
      <c r="C42" s="11">
        <v>300</v>
      </c>
      <c r="D42" s="11">
        <v>296.3</v>
      </c>
      <c r="E42" s="2">
        <f t="shared" si="0"/>
        <v>3.6999999999999886</v>
      </c>
      <c r="F42" s="11">
        <v>1.3360000000000001</v>
      </c>
      <c r="G42" s="3">
        <f t="shared" si="1"/>
        <v>1.678666666666663E-2</v>
      </c>
    </row>
    <row r="43" spans="1:7">
      <c r="A43" s="1">
        <v>9</v>
      </c>
      <c r="B43" s="1" t="s">
        <v>9</v>
      </c>
      <c r="C43" s="11">
        <v>240</v>
      </c>
      <c r="D43" s="11">
        <v>238.54</v>
      </c>
      <c r="E43" s="2">
        <f t="shared" si="0"/>
        <v>1.460000000000008</v>
      </c>
      <c r="F43" s="11">
        <v>2.1469999999999998</v>
      </c>
      <c r="G43" s="3">
        <f t="shared" si="1"/>
        <v>1.5029166666666699E-2</v>
      </c>
    </row>
    <row r="44" spans="1:7">
      <c r="A44" s="1">
        <v>11</v>
      </c>
      <c r="B44" s="1" t="s">
        <v>9</v>
      </c>
      <c r="C44" s="11">
        <v>140</v>
      </c>
      <c r="D44" s="11">
        <v>139.38</v>
      </c>
      <c r="E44" s="2">
        <f t="shared" si="0"/>
        <v>0.62000000000000455</v>
      </c>
      <c r="F44" s="11">
        <v>1.6950000000000001</v>
      </c>
      <c r="G44" s="3">
        <f t="shared" si="1"/>
        <v>1.653571428571432E-2</v>
      </c>
    </row>
    <row r="45" spans="1:7">
      <c r="A45" s="1">
        <v>12</v>
      </c>
      <c r="B45" s="1" t="s">
        <v>9</v>
      </c>
      <c r="C45" s="11">
        <v>20</v>
      </c>
      <c r="D45" s="11">
        <v>19.760000000000002</v>
      </c>
      <c r="E45" s="2">
        <f t="shared" si="0"/>
        <v>0.23999999999999844</v>
      </c>
      <c r="F45" s="11">
        <v>0.25600000000000001</v>
      </c>
      <c r="G45" s="3">
        <f t="shared" si="1"/>
        <v>2.4799999999999923E-2</v>
      </c>
    </row>
    <row r="46" spans="1:7">
      <c r="A46" s="1">
        <v>13</v>
      </c>
      <c r="B46" s="1" t="s">
        <v>9</v>
      </c>
      <c r="C46" s="11">
        <v>80</v>
      </c>
      <c r="D46" s="11">
        <v>79.44</v>
      </c>
      <c r="E46" s="2">
        <f t="shared" si="0"/>
        <v>0.56000000000000227</v>
      </c>
      <c r="F46" s="11">
        <v>0.66500000000000004</v>
      </c>
      <c r="G46" s="3">
        <f t="shared" si="1"/>
        <v>1.5312500000000029E-2</v>
      </c>
    </row>
    <row r="47" spans="1:7">
      <c r="A47" s="1">
        <v>14</v>
      </c>
      <c r="B47" s="1" t="s">
        <v>9</v>
      </c>
      <c r="C47" s="11">
        <v>50</v>
      </c>
      <c r="D47" s="11">
        <v>49.7</v>
      </c>
      <c r="E47" s="2">
        <f t="shared" si="0"/>
        <v>0.29999999999999716</v>
      </c>
      <c r="F47" s="11">
        <v>0.34499999999999997</v>
      </c>
      <c r="G47" s="3">
        <f t="shared" si="1"/>
        <v>1.2899999999999943E-2</v>
      </c>
    </row>
    <row r="48" spans="1:7">
      <c r="A48" s="1">
        <v>15</v>
      </c>
      <c r="B48" s="1" t="s">
        <v>9</v>
      </c>
      <c r="C48" s="11">
        <v>100</v>
      </c>
      <c r="D48" s="11">
        <v>99.62</v>
      </c>
      <c r="E48" s="2">
        <f t="shared" si="0"/>
        <v>0.37999999999999545</v>
      </c>
      <c r="F48" s="11">
        <v>1.2030000000000001</v>
      </c>
      <c r="G48" s="3">
        <f t="shared" si="1"/>
        <v>1.5829999999999955E-2</v>
      </c>
    </row>
    <row r="49" spans="1:7">
      <c r="A49" s="1">
        <v>16</v>
      </c>
      <c r="B49" s="1" t="s">
        <v>9</v>
      </c>
      <c r="C49" s="11">
        <v>225</v>
      </c>
      <c r="D49" s="11">
        <v>223.8</v>
      </c>
      <c r="E49" s="2">
        <f t="shared" si="0"/>
        <v>1.1999999999999886</v>
      </c>
      <c r="F49" s="11">
        <v>2.8730000000000002</v>
      </c>
      <c r="G49" s="3">
        <f t="shared" si="1"/>
        <v>1.8102222222222172E-2</v>
      </c>
    </row>
    <row r="50" spans="1:7">
      <c r="A50" s="1">
        <v>17</v>
      </c>
      <c r="B50" s="1" t="s">
        <v>9</v>
      </c>
      <c r="C50" s="11">
        <v>215</v>
      </c>
      <c r="D50" s="11">
        <v>213.54</v>
      </c>
      <c r="E50" s="2">
        <f t="shared" si="0"/>
        <v>1.460000000000008</v>
      </c>
      <c r="F50" s="11">
        <v>1.8029999999999999</v>
      </c>
      <c r="G50" s="3">
        <f t="shared" si="1"/>
        <v>1.5176744186046549E-2</v>
      </c>
    </row>
    <row r="51" spans="1:7">
      <c r="A51" s="1">
        <v>18</v>
      </c>
      <c r="B51" s="1" t="s">
        <v>9</v>
      </c>
      <c r="C51" s="11">
        <v>425</v>
      </c>
      <c r="D51" s="11">
        <v>423.36</v>
      </c>
      <c r="E51" s="2">
        <f t="shared" si="0"/>
        <v>1.6399999999999864</v>
      </c>
      <c r="F51" s="11">
        <v>6.6909999999999998</v>
      </c>
      <c r="G51" s="3">
        <f t="shared" si="1"/>
        <v>1.9602352941176435E-2</v>
      </c>
    </row>
    <row r="52" spans="1:7">
      <c r="A52" s="1">
        <v>19</v>
      </c>
      <c r="B52" s="1" t="s">
        <v>9</v>
      </c>
      <c r="C52" s="11">
        <v>100</v>
      </c>
      <c r="D52" s="11">
        <v>99.08</v>
      </c>
      <c r="E52" s="2">
        <f t="shared" si="0"/>
        <v>0.92000000000000171</v>
      </c>
      <c r="F52" s="11">
        <v>0.51100000000000001</v>
      </c>
      <c r="G52" s="3">
        <f t="shared" si="1"/>
        <v>1.4310000000000019E-2</v>
      </c>
    </row>
    <row r="53" spans="1:7">
      <c r="A53" s="1">
        <v>20</v>
      </c>
      <c r="B53" s="1" t="s">
        <v>9</v>
      </c>
      <c r="C53" s="11">
        <v>200</v>
      </c>
      <c r="D53" s="11">
        <v>197.6</v>
      </c>
      <c r="E53" s="2">
        <f t="shared" si="0"/>
        <v>2.4000000000000057</v>
      </c>
      <c r="F53" s="11">
        <v>1.2290000000000001</v>
      </c>
      <c r="G53" s="3">
        <f t="shared" si="1"/>
        <v>1.8145000000000029E-2</v>
      </c>
    </row>
    <row r="54" spans="1:7">
      <c r="A54" s="1">
        <v>21</v>
      </c>
      <c r="B54" s="1" t="s">
        <v>9</v>
      </c>
      <c r="C54" s="11">
        <v>100</v>
      </c>
      <c r="D54" s="11">
        <v>99.6</v>
      </c>
      <c r="E54" s="2">
        <f t="shared" si="0"/>
        <v>0.40000000000000568</v>
      </c>
      <c r="F54" s="11">
        <v>1.1910000000000001</v>
      </c>
      <c r="G54" s="3">
        <f t="shared" si="1"/>
        <v>1.5910000000000056E-2</v>
      </c>
    </row>
    <row r="55" spans="1:7">
      <c r="A55" s="1">
        <v>22</v>
      </c>
      <c r="B55" s="1" t="s">
        <v>9</v>
      </c>
      <c r="C55" s="11">
        <v>150</v>
      </c>
      <c r="D55" s="11">
        <v>149.72</v>
      </c>
      <c r="E55" s="2">
        <f t="shared" si="0"/>
        <v>0.28000000000000114</v>
      </c>
      <c r="F55" s="11">
        <v>2.5779999999999998</v>
      </c>
      <c r="G55" s="3">
        <f t="shared" si="1"/>
        <v>1.9053333333333339E-2</v>
      </c>
    </row>
    <row r="56" spans="1:7">
      <c r="A56" s="1">
        <v>23</v>
      </c>
      <c r="B56" s="1" t="s">
        <v>9</v>
      </c>
      <c r="C56" s="11">
        <v>165</v>
      </c>
      <c r="D56" s="11">
        <v>164.44</v>
      </c>
      <c r="E56" s="2">
        <f t="shared" si="0"/>
        <v>0.56000000000000227</v>
      </c>
      <c r="F56" s="11">
        <v>2.657</v>
      </c>
      <c r="G56" s="3">
        <f t="shared" si="1"/>
        <v>1.9496969696969711E-2</v>
      </c>
    </row>
    <row r="57" spans="1:7">
      <c r="A57" s="1">
        <v>24</v>
      </c>
      <c r="B57" s="1" t="s">
        <v>9</v>
      </c>
      <c r="C57" s="11">
        <v>400</v>
      </c>
      <c r="D57" s="11">
        <v>398.8</v>
      </c>
      <c r="E57" s="2">
        <f t="shared" si="0"/>
        <v>1.1999999999999886</v>
      </c>
      <c r="F57" s="11">
        <v>6.2939999999999996</v>
      </c>
      <c r="G57" s="3">
        <f t="shared" si="1"/>
        <v>1.873499999999997E-2</v>
      </c>
    </row>
    <row r="58" spans="1:7">
      <c r="A58" s="1">
        <v>25</v>
      </c>
      <c r="B58" s="1" t="s">
        <v>9</v>
      </c>
      <c r="C58" s="11">
        <v>225.82</v>
      </c>
      <c r="D58" s="11">
        <v>225.4</v>
      </c>
      <c r="E58" s="2">
        <f t="shared" si="0"/>
        <v>0.41999999999998749</v>
      </c>
      <c r="F58" s="11">
        <v>4.0620000000000003</v>
      </c>
      <c r="G58" s="3">
        <f t="shared" si="1"/>
        <v>1.9847666282880115E-2</v>
      </c>
    </row>
    <row r="59" spans="1:7">
      <c r="A59" s="1">
        <v>26</v>
      </c>
      <c r="B59" s="1" t="s">
        <v>9</v>
      </c>
      <c r="C59" s="11">
        <v>200</v>
      </c>
      <c r="D59" s="11">
        <v>199.44</v>
      </c>
      <c r="E59" s="2">
        <f t="shared" si="0"/>
        <v>0.56000000000000227</v>
      </c>
      <c r="F59" s="11">
        <v>3.274</v>
      </c>
      <c r="G59" s="3">
        <f t="shared" si="1"/>
        <v>1.917000000000001E-2</v>
      </c>
    </row>
    <row r="60" spans="1:7">
      <c r="A60" s="1">
        <v>27</v>
      </c>
      <c r="B60" s="1" t="s">
        <v>9</v>
      </c>
      <c r="C60" s="11">
        <v>100</v>
      </c>
      <c r="D60" s="11">
        <v>99.78</v>
      </c>
      <c r="E60" s="2">
        <f t="shared" si="0"/>
        <v>0.21999999999999886</v>
      </c>
      <c r="F60" s="11">
        <v>1.621</v>
      </c>
      <c r="G60" s="3">
        <f t="shared" si="1"/>
        <v>1.8409999999999989E-2</v>
      </c>
    </row>
    <row r="61" spans="1:7">
      <c r="A61" s="1">
        <v>28</v>
      </c>
      <c r="B61" s="1" t="s">
        <v>9</v>
      </c>
      <c r="C61" s="11">
        <v>317.08999999999997</v>
      </c>
      <c r="D61" s="11">
        <v>316.18</v>
      </c>
      <c r="E61" s="2">
        <f t="shared" si="0"/>
        <v>0.90999999999996817</v>
      </c>
      <c r="F61" s="11">
        <v>5.0110000000000001</v>
      </c>
      <c r="G61" s="3">
        <f t="shared" si="1"/>
        <v>1.8672931975148913E-2</v>
      </c>
    </row>
    <row r="62" spans="1:7">
      <c r="A62" s="1">
        <v>29</v>
      </c>
      <c r="B62" s="1" t="s">
        <v>9</v>
      </c>
      <c r="C62" s="11">
        <v>160</v>
      </c>
      <c r="D62" s="11">
        <v>159.78</v>
      </c>
      <c r="E62" s="2">
        <f t="shared" si="0"/>
        <v>0.21999999999999886</v>
      </c>
      <c r="F62" s="11">
        <v>2.952</v>
      </c>
      <c r="G62" s="3">
        <f t="shared" si="1"/>
        <v>1.9824999999999992E-2</v>
      </c>
    </row>
    <row r="63" spans="1:7">
      <c r="A63" s="1">
        <v>30</v>
      </c>
      <c r="B63" s="1" t="s">
        <v>9</v>
      </c>
      <c r="C63" s="11">
        <v>375</v>
      </c>
      <c r="D63" s="11">
        <v>374.06</v>
      </c>
      <c r="E63" s="2">
        <f t="shared" si="0"/>
        <v>0.93999999999999773</v>
      </c>
      <c r="F63" s="11">
        <v>6.4889999999999999</v>
      </c>
      <c r="G63" s="3">
        <f t="shared" si="1"/>
        <v>1.981066666666666E-2</v>
      </c>
    </row>
    <row r="64" spans="1:7">
      <c r="A64" s="1">
        <v>31</v>
      </c>
      <c r="B64" s="1" t="s">
        <v>9</v>
      </c>
      <c r="C64" s="11">
        <v>260</v>
      </c>
      <c r="D64" s="11">
        <v>259.52</v>
      </c>
      <c r="E64" s="2">
        <f t="shared" si="0"/>
        <v>0.48000000000001819</v>
      </c>
      <c r="F64" s="11">
        <v>4.2539999999999996</v>
      </c>
      <c r="G64" s="3">
        <f t="shared" si="1"/>
        <v>1.8207692307692376E-2</v>
      </c>
    </row>
    <row r="65" spans="1:7">
      <c r="A65" s="1">
        <v>1</v>
      </c>
      <c r="B65" s="1" t="s">
        <v>10</v>
      </c>
      <c r="C65" s="11">
        <v>200</v>
      </c>
      <c r="D65" s="11">
        <v>196.4</v>
      </c>
      <c r="E65" s="2">
        <f t="shared" si="0"/>
        <v>3.5999999999999943</v>
      </c>
      <c r="F65" s="11">
        <v>0.42199999999999999</v>
      </c>
      <c r="G65" s="3">
        <f t="shared" si="1"/>
        <v>2.0109999999999972E-2</v>
      </c>
    </row>
    <row r="66" spans="1:7">
      <c r="A66" s="1">
        <v>2</v>
      </c>
      <c r="B66" s="1" t="s">
        <v>10</v>
      </c>
      <c r="C66" s="11">
        <v>200</v>
      </c>
      <c r="D66" s="11">
        <v>197.26</v>
      </c>
      <c r="E66" s="2">
        <f t="shared" si="0"/>
        <v>2.7400000000000091</v>
      </c>
      <c r="F66" s="11">
        <v>0.36899999999999999</v>
      </c>
      <c r="G66" s="3">
        <f t="shared" si="1"/>
        <v>1.5545000000000045E-2</v>
      </c>
    </row>
    <row r="67" spans="1:7">
      <c r="A67" s="1">
        <v>3</v>
      </c>
      <c r="B67" s="1" t="s">
        <v>10</v>
      </c>
      <c r="C67" s="11">
        <v>220</v>
      </c>
      <c r="D67" s="11">
        <v>217.02</v>
      </c>
      <c r="E67" s="2">
        <f t="shared" si="0"/>
        <v>2.9799999999999898</v>
      </c>
      <c r="F67" s="11">
        <v>0.52800000000000002</v>
      </c>
      <c r="G67" s="3">
        <f t="shared" si="1"/>
        <v>1.5945454545454499E-2</v>
      </c>
    </row>
    <row r="68" spans="1:7">
      <c r="A68" s="1">
        <v>4</v>
      </c>
      <c r="B68" s="1" t="s">
        <v>10</v>
      </c>
      <c r="C68" s="11">
        <v>160</v>
      </c>
      <c r="D68" s="11">
        <v>157.21</v>
      </c>
      <c r="E68" s="2">
        <f t="shared" ref="E68:E131" si="2">C68-D68</f>
        <v>2.789999999999992</v>
      </c>
      <c r="F68" s="11">
        <v>0.41199999999999998</v>
      </c>
      <c r="G68" s="3">
        <f t="shared" ref="G68:G131" si="3">(E68+F68)/C68</f>
        <v>2.001249999999995E-2</v>
      </c>
    </row>
    <row r="69" spans="1:7">
      <c r="A69" s="1">
        <v>5</v>
      </c>
      <c r="B69" s="1" t="s">
        <v>10</v>
      </c>
      <c r="C69" s="11">
        <v>120</v>
      </c>
      <c r="D69" s="11">
        <v>117.76</v>
      </c>
      <c r="E69" s="2">
        <f t="shared" si="2"/>
        <v>2.2399999999999949</v>
      </c>
      <c r="F69" s="11">
        <v>0.36899999999999999</v>
      </c>
      <c r="G69" s="3">
        <f t="shared" si="3"/>
        <v>2.1741666666666621E-2</v>
      </c>
    </row>
    <row r="70" spans="1:7">
      <c r="A70" s="1">
        <v>6</v>
      </c>
      <c r="B70" s="1" t="s">
        <v>10</v>
      </c>
      <c r="C70" s="11">
        <v>80</v>
      </c>
      <c r="D70" s="11">
        <v>78.55</v>
      </c>
      <c r="E70" s="2">
        <f t="shared" si="2"/>
        <v>1.4500000000000028</v>
      </c>
      <c r="F70" s="11">
        <v>0.38800000000000001</v>
      </c>
      <c r="G70" s="3">
        <f t="shared" si="3"/>
        <v>2.2975000000000034E-2</v>
      </c>
    </row>
    <row r="71" spans="1:7">
      <c r="A71" s="1">
        <v>7</v>
      </c>
      <c r="B71" s="1" t="s">
        <v>10</v>
      </c>
      <c r="C71" s="11">
        <v>80</v>
      </c>
      <c r="D71" s="11">
        <v>79.27</v>
      </c>
      <c r="E71" s="2">
        <f t="shared" si="2"/>
        <v>0.73000000000000398</v>
      </c>
      <c r="F71" s="11">
        <v>0.442</v>
      </c>
      <c r="G71" s="3">
        <f t="shared" si="3"/>
        <v>1.4650000000000048E-2</v>
      </c>
    </row>
    <row r="72" spans="1:7">
      <c r="A72" s="1">
        <v>10</v>
      </c>
      <c r="B72" s="1" t="s">
        <v>10</v>
      </c>
      <c r="C72" s="11">
        <v>80</v>
      </c>
      <c r="D72" s="11">
        <v>78.86</v>
      </c>
      <c r="E72" s="2">
        <f t="shared" si="2"/>
        <v>1.1400000000000006</v>
      </c>
      <c r="F72" s="11">
        <v>0.32</v>
      </c>
      <c r="G72" s="3">
        <f t="shared" si="3"/>
        <v>1.8250000000000009E-2</v>
      </c>
    </row>
    <row r="73" spans="1:7">
      <c r="A73" s="1">
        <v>8</v>
      </c>
      <c r="B73" s="1" t="s">
        <v>10</v>
      </c>
      <c r="C73" s="11">
        <v>80</v>
      </c>
      <c r="D73" s="11">
        <v>78.849999999999994</v>
      </c>
      <c r="E73" s="2">
        <f t="shared" si="2"/>
        <v>1.1500000000000057</v>
      </c>
      <c r="F73" s="11">
        <v>0.376</v>
      </c>
      <c r="G73" s="3">
        <f t="shared" si="3"/>
        <v>1.9075000000000071E-2</v>
      </c>
    </row>
    <row r="74" spans="1:7">
      <c r="A74" s="1">
        <v>9</v>
      </c>
      <c r="B74" s="1" t="s">
        <v>10</v>
      </c>
      <c r="C74" s="11">
        <v>80</v>
      </c>
      <c r="D74" s="11">
        <v>78.62</v>
      </c>
      <c r="E74" s="2">
        <f t="shared" si="2"/>
        <v>1.3799999999999955</v>
      </c>
      <c r="F74" s="11">
        <v>0.38900000000000001</v>
      </c>
      <c r="G74" s="3">
        <f t="shared" si="3"/>
        <v>2.2112499999999945E-2</v>
      </c>
    </row>
    <row r="75" spans="1:7">
      <c r="A75" s="1">
        <v>11</v>
      </c>
      <c r="B75" s="1" t="s">
        <v>10</v>
      </c>
      <c r="C75" s="11">
        <v>80</v>
      </c>
      <c r="D75" s="11">
        <v>78.61</v>
      </c>
      <c r="E75" s="2">
        <f t="shared" si="2"/>
        <v>1.3900000000000006</v>
      </c>
      <c r="F75" s="11">
        <v>0.308</v>
      </c>
      <c r="G75" s="3">
        <f t="shared" si="3"/>
        <v>2.1225000000000008E-2</v>
      </c>
    </row>
    <row r="76" spans="1:7">
      <c r="A76" s="1">
        <v>12</v>
      </c>
      <c r="B76" s="1" t="s">
        <v>10</v>
      </c>
      <c r="C76" s="11">
        <v>160</v>
      </c>
      <c r="D76" s="11">
        <v>157.44</v>
      </c>
      <c r="E76" s="2">
        <f t="shared" si="2"/>
        <v>2.5600000000000023</v>
      </c>
      <c r="F76" s="11">
        <v>0.46600000000000003</v>
      </c>
      <c r="G76" s="3">
        <f t="shared" si="3"/>
        <v>1.8912500000000016E-2</v>
      </c>
    </row>
    <row r="77" spans="1:7">
      <c r="A77" s="1">
        <v>13</v>
      </c>
      <c r="B77" s="1" t="s">
        <v>10</v>
      </c>
      <c r="C77" s="11">
        <v>40</v>
      </c>
      <c r="D77" s="11">
        <v>39.299999999999997</v>
      </c>
      <c r="E77" s="2">
        <f t="shared" si="2"/>
        <v>0.70000000000000284</v>
      </c>
      <c r="F77" s="11">
        <v>0.44200000000000017</v>
      </c>
      <c r="G77" s="3">
        <f t="shared" si="3"/>
        <v>2.8550000000000075E-2</v>
      </c>
    </row>
    <row r="78" spans="1:7">
      <c r="A78" s="1">
        <v>14</v>
      </c>
      <c r="B78" s="1" t="s">
        <v>10</v>
      </c>
      <c r="C78" s="11">
        <v>80</v>
      </c>
      <c r="D78" s="11">
        <v>78.11</v>
      </c>
      <c r="E78" s="2">
        <f t="shared" si="2"/>
        <v>1.8900000000000006</v>
      </c>
      <c r="F78" s="11">
        <v>0.33800000000000002</v>
      </c>
      <c r="G78" s="3">
        <f t="shared" si="3"/>
        <v>2.7850000000000007E-2</v>
      </c>
    </row>
    <row r="79" spans="1:7">
      <c r="A79" s="1">
        <v>15</v>
      </c>
      <c r="B79" s="1" t="s">
        <v>10</v>
      </c>
      <c r="C79" s="11">
        <v>82.84</v>
      </c>
      <c r="D79" s="11">
        <v>81.56</v>
      </c>
      <c r="E79" s="2">
        <f t="shared" si="2"/>
        <v>1.2800000000000011</v>
      </c>
      <c r="F79" s="11">
        <v>0.30199999999999999</v>
      </c>
      <c r="G79" s="3">
        <f t="shared" si="3"/>
        <v>1.9097054563013052E-2</v>
      </c>
    </row>
    <row r="80" spans="1:7">
      <c r="A80" s="1">
        <v>16</v>
      </c>
      <c r="B80" s="1" t="s">
        <v>10</v>
      </c>
      <c r="C80" s="11">
        <v>147.726</v>
      </c>
      <c r="D80" s="11">
        <v>145.37</v>
      </c>
      <c r="E80" s="2">
        <f t="shared" si="2"/>
        <v>2.3559999999999945</v>
      </c>
      <c r="F80" s="11">
        <v>0.32900000000000001</v>
      </c>
      <c r="G80" s="3">
        <f t="shared" si="3"/>
        <v>1.8175541204662651E-2</v>
      </c>
    </row>
    <row r="81" spans="1:7">
      <c r="A81" s="1">
        <v>17</v>
      </c>
      <c r="B81" s="1" t="s">
        <v>10</v>
      </c>
      <c r="C81" s="11">
        <v>153.25</v>
      </c>
      <c r="D81" s="11">
        <v>151.38</v>
      </c>
      <c r="E81" s="2">
        <f t="shared" si="2"/>
        <v>1.8700000000000045</v>
      </c>
      <c r="F81" s="11">
        <v>0.32400000000000001</v>
      </c>
      <c r="G81" s="3">
        <f t="shared" si="3"/>
        <v>1.4316476345840158E-2</v>
      </c>
    </row>
    <row r="82" spans="1:7">
      <c r="A82" s="1">
        <v>18</v>
      </c>
      <c r="B82" s="1" t="s">
        <v>10</v>
      </c>
      <c r="C82" s="11">
        <v>87.15</v>
      </c>
      <c r="D82" s="11">
        <v>85.6</v>
      </c>
      <c r="E82" s="2">
        <f t="shared" si="2"/>
        <v>1.5500000000000114</v>
      </c>
      <c r="F82" s="11">
        <v>0.35399999999999998</v>
      </c>
      <c r="G82" s="3">
        <f t="shared" si="3"/>
        <v>2.1847389558233062E-2</v>
      </c>
    </row>
    <row r="83" spans="1:7">
      <c r="A83" s="1">
        <v>19</v>
      </c>
      <c r="B83" s="1" t="s">
        <v>10</v>
      </c>
      <c r="C83" s="11">
        <v>252.64</v>
      </c>
      <c r="D83" s="11">
        <v>249.84</v>
      </c>
      <c r="E83" s="2">
        <f t="shared" si="2"/>
        <v>2.7999999999999829</v>
      </c>
      <c r="F83" s="11">
        <v>0.38600000000000001</v>
      </c>
      <c r="G83" s="3">
        <f t="shared" si="3"/>
        <v>1.2610829639011967E-2</v>
      </c>
    </row>
    <row r="84" spans="1:7">
      <c r="A84" s="1">
        <v>20</v>
      </c>
      <c r="B84" s="1" t="s">
        <v>10</v>
      </c>
      <c r="C84" s="11">
        <v>73.11</v>
      </c>
      <c r="D84" s="11">
        <v>72.16</v>
      </c>
      <c r="E84" s="2">
        <f t="shared" si="2"/>
        <v>0.95000000000000284</v>
      </c>
      <c r="F84" s="11">
        <v>0.48099999999999998</v>
      </c>
      <c r="G84" s="3">
        <f t="shared" si="3"/>
        <v>1.9573245794009066E-2</v>
      </c>
    </row>
    <row r="85" spans="1:7">
      <c r="A85" s="1">
        <v>21</v>
      </c>
      <c r="B85" s="1" t="s">
        <v>10</v>
      </c>
      <c r="C85" s="11">
        <v>74.78</v>
      </c>
      <c r="D85" s="11">
        <v>73.95</v>
      </c>
      <c r="E85" s="2">
        <f t="shared" si="2"/>
        <v>0.82999999999999829</v>
      </c>
      <c r="F85" s="11">
        <v>0.36599999999999999</v>
      </c>
      <c r="G85" s="3">
        <f t="shared" si="3"/>
        <v>1.5993581171436191E-2</v>
      </c>
    </row>
    <row r="86" spans="1:7">
      <c r="A86" s="1">
        <v>22</v>
      </c>
      <c r="B86" s="1" t="s">
        <v>10</v>
      </c>
      <c r="C86" s="11">
        <v>60</v>
      </c>
      <c r="D86" s="11">
        <v>59.13</v>
      </c>
      <c r="E86" s="2">
        <f t="shared" si="2"/>
        <v>0.86999999999999744</v>
      </c>
      <c r="F86" s="11">
        <v>0.32600000000000101</v>
      </c>
      <c r="G86" s="3">
        <f t="shared" si="3"/>
        <v>1.9933333333333306E-2</v>
      </c>
    </row>
    <row r="87" spans="1:7">
      <c r="A87" s="1">
        <v>23</v>
      </c>
      <c r="B87" s="1" t="s">
        <v>10</v>
      </c>
      <c r="C87" s="11">
        <v>120</v>
      </c>
      <c r="D87" s="11">
        <v>118.33</v>
      </c>
      <c r="E87" s="2">
        <f t="shared" si="2"/>
        <v>1.6700000000000017</v>
      </c>
      <c r="F87" s="11">
        <v>0.309</v>
      </c>
      <c r="G87" s="3">
        <f t="shared" si="3"/>
        <v>1.6491666666666679E-2</v>
      </c>
    </row>
    <row r="88" spans="1:7">
      <c r="A88" s="1">
        <v>24</v>
      </c>
      <c r="B88" s="1" t="s">
        <v>10</v>
      </c>
      <c r="C88" s="11">
        <v>180</v>
      </c>
      <c r="D88" s="11">
        <v>177.34</v>
      </c>
      <c r="E88" s="2">
        <f t="shared" si="2"/>
        <v>2.6599999999999966</v>
      </c>
      <c r="F88" s="11">
        <v>0.32200000000000001</v>
      </c>
      <c r="G88" s="3">
        <f t="shared" si="3"/>
        <v>1.656666666666665E-2</v>
      </c>
    </row>
    <row r="89" spans="1:7">
      <c r="A89" s="1">
        <v>25</v>
      </c>
      <c r="B89" s="1" t="s">
        <v>10</v>
      </c>
      <c r="C89" s="11">
        <v>149.25</v>
      </c>
      <c r="D89" s="11">
        <v>147.6</v>
      </c>
      <c r="E89" s="2">
        <f t="shared" si="2"/>
        <v>1.6500000000000057</v>
      </c>
      <c r="F89" s="11">
        <v>0.316</v>
      </c>
      <c r="G89" s="3">
        <f t="shared" si="3"/>
        <v>1.3172529313232869E-2</v>
      </c>
    </row>
    <row r="90" spans="1:7">
      <c r="A90" s="1">
        <v>26</v>
      </c>
      <c r="B90" s="1" t="s">
        <v>10</v>
      </c>
      <c r="C90" s="11">
        <v>160</v>
      </c>
      <c r="D90" s="11">
        <v>158.38</v>
      </c>
      <c r="E90" s="2">
        <f t="shared" si="2"/>
        <v>1.6200000000000045</v>
      </c>
      <c r="F90" s="11">
        <v>0.39600000000000002</v>
      </c>
      <c r="G90" s="3">
        <f t="shared" si="3"/>
        <v>1.2600000000000028E-2</v>
      </c>
    </row>
    <row r="91" spans="1:7">
      <c r="A91" s="1">
        <v>27</v>
      </c>
      <c r="B91" s="1" t="s">
        <v>10</v>
      </c>
      <c r="C91" s="11">
        <v>162.35</v>
      </c>
      <c r="D91" s="11">
        <v>159.72</v>
      </c>
      <c r="E91" s="2">
        <f t="shared" si="2"/>
        <v>2.6299999999999955</v>
      </c>
      <c r="F91" s="11">
        <v>0.41199999999999998</v>
      </c>
      <c r="G91" s="3">
        <f t="shared" si="3"/>
        <v>1.8737295965506592E-2</v>
      </c>
    </row>
    <row r="92" spans="1:7">
      <c r="A92" s="1">
        <v>28</v>
      </c>
      <c r="B92" s="1" t="s">
        <v>10</v>
      </c>
      <c r="C92" s="11">
        <v>82.45</v>
      </c>
      <c r="D92" s="11">
        <v>81.48</v>
      </c>
      <c r="E92" s="2">
        <f t="shared" si="2"/>
        <v>0.96999999999999886</v>
      </c>
      <c r="F92" s="11">
        <v>0.38200000000000001</v>
      </c>
      <c r="G92" s="3">
        <f t="shared" si="3"/>
        <v>1.639781685870223E-2</v>
      </c>
    </row>
    <row r="93" spans="1:7">
      <c r="A93" s="1">
        <v>29</v>
      </c>
      <c r="B93" s="1" t="s">
        <v>10</v>
      </c>
      <c r="C93" s="11">
        <v>100</v>
      </c>
      <c r="D93" s="11">
        <v>98.81</v>
      </c>
      <c r="E93" s="2">
        <f t="shared" si="2"/>
        <v>1.1899999999999977</v>
      </c>
      <c r="F93" s="11">
        <v>0.39400000000000002</v>
      </c>
      <c r="G93" s="3">
        <f t="shared" si="3"/>
        <v>1.5839999999999979E-2</v>
      </c>
    </row>
    <row r="94" spans="1:7">
      <c r="A94" s="1">
        <v>30</v>
      </c>
      <c r="B94" s="1" t="s">
        <v>10</v>
      </c>
      <c r="C94" s="11">
        <v>100</v>
      </c>
      <c r="D94" s="11">
        <v>97.91</v>
      </c>
      <c r="E94" s="2">
        <f t="shared" si="2"/>
        <v>2.0900000000000034</v>
      </c>
      <c r="F94" s="11">
        <v>0.27900000000000003</v>
      </c>
      <c r="G94" s="3">
        <f t="shared" si="3"/>
        <v>2.3690000000000034E-2</v>
      </c>
    </row>
    <row r="95" spans="1:7">
      <c r="A95" s="1">
        <v>31</v>
      </c>
      <c r="B95" s="1" t="s">
        <v>10</v>
      </c>
      <c r="C95" s="11">
        <v>100</v>
      </c>
      <c r="D95" s="11">
        <v>98</v>
      </c>
      <c r="E95" s="2">
        <f t="shared" si="2"/>
        <v>2</v>
      </c>
      <c r="F95" s="11">
        <v>0.30199999999999999</v>
      </c>
      <c r="G95" s="3">
        <f t="shared" si="3"/>
        <v>2.3019999999999999E-2</v>
      </c>
    </row>
    <row r="96" spans="1:7">
      <c r="A96" s="1">
        <v>1</v>
      </c>
      <c r="B96" s="1" t="s">
        <v>11</v>
      </c>
      <c r="C96" s="11">
        <v>0</v>
      </c>
      <c r="D96" s="11">
        <v>0</v>
      </c>
      <c r="E96" s="2">
        <f t="shared" si="2"/>
        <v>0</v>
      </c>
      <c r="F96" s="11">
        <v>0</v>
      </c>
      <c r="G96" s="3" t="e">
        <f t="shared" si="3"/>
        <v>#DIV/0!</v>
      </c>
    </row>
    <row r="97" spans="1:7">
      <c r="A97" s="1">
        <v>2</v>
      </c>
      <c r="B97" s="1" t="s">
        <v>11</v>
      </c>
      <c r="C97" s="11">
        <v>245</v>
      </c>
      <c r="D97" s="11">
        <v>243.68</v>
      </c>
      <c r="E97" s="2">
        <f t="shared" si="2"/>
        <v>1.3199999999999932</v>
      </c>
      <c r="F97" s="11">
        <v>0.53</v>
      </c>
      <c r="G97" s="3">
        <f t="shared" si="3"/>
        <v>7.5510204081632379E-3</v>
      </c>
    </row>
    <row r="98" spans="1:7">
      <c r="A98" s="1">
        <v>3</v>
      </c>
      <c r="B98" s="1" t="s">
        <v>11</v>
      </c>
      <c r="C98" s="11">
        <v>245</v>
      </c>
      <c r="D98" s="11">
        <v>243.32000000000002</v>
      </c>
      <c r="E98" s="2">
        <f t="shared" si="2"/>
        <v>1.6799999999999784</v>
      </c>
      <c r="F98" s="11">
        <v>0</v>
      </c>
      <c r="G98" s="3">
        <f t="shared" si="3"/>
        <v>6.8571428571427692E-3</v>
      </c>
    </row>
    <row r="99" spans="1:7">
      <c r="A99" s="1">
        <v>4</v>
      </c>
      <c r="B99" s="1" t="s">
        <v>11</v>
      </c>
      <c r="C99" s="11">
        <v>200</v>
      </c>
      <c r="D99" s="11">
        <v>198.96</v>
      </c>
      <c r="E99" s="2">
        <f t="shared" si="2"/>
        <v>1.039999999999992</v>
      </c>
      <c r="F99" s="11">
        <v>0.45</v>
      </c>
      <c r="G99" s="3">
        <f t="shared" si="3"/>
        <v>7.4499999999999601E-3</v>
      </c>
    </row>
    <row r="100" spans="1:7">
      <c r="A100" s="1">
        <v>5</v>
      </c>
      <c r="B100" s="1" t="s">
        <v>11</v>
      </c>
      <c r="C100" s="11">
        <v>140</v>
      </c>
      <c r="D100" s="11">
        <v>139.22</v>
      </c>
      <c r="E100" s="2">
        <f t="shared" si="2"/>
        <v>0.78000000000000114</v>
      </c>
      <c r="F100" s="11">
        <v>0</v>
      </c>
      <c r="G100" s="3">
        <f t="shared" si="3"/>
        <v>5.5714285714285796E-3</v>
      </c>
    </row>
    <row r="101" spans="1:7">
      <c r="A101" s="1">
        <v>6</v>
      </c>
      <c r="B101" s="1" t="s">
        <v>11</v>
      </c>
      <c r="C101" s="11">
        <v>120</v>
      </c>
      <c r="D101" s="11">
        <v>119.54</v>
      </c>
      <c r="E101" s="2">
        <f t="shared" si="2"/>
        <v>0.45999999999999375</v>
      </c>
      <c r="F101" s="11">
        <v>0.36699999999999999</v>
      </c>
      <c r="G101" s="3">
        <f t="shared" si="3"/>
        <v>6.8916666666666146E-3</v>
      </c>
    </row>
    <row r="102" spans="1:7">
      <c r="A102" s="1">
        <v>7</v>
      </c>
      <c r="B102" s="1" t="s">
        <v>11</v>
      </c>
      <c r="C102" s="11">
        <v>80</v>
      </c>
      <c r="D102" s="11">
        <v>79.7</v>
      </c>
      <c r="E102" s="2">
        <f t="shared" si="2"/>
        <v>0.29999999999999716</v>
      </c>
      <c r="F102" s="11">
        <v>0.48</v>
      </c>
      <c r="G102" s="3">
        <f t="shared" si="3"/>
        <v>9.7499999999999636E-3</v>
      </c>
    </row>
    <row r="103" spans="1:7">
      <c r="A103" s="1">
        <v>10</v>
      </c>
      <c r="B103" s="1" t="s">
        <v>11</v>
      </c>
      <c r="C103" s="11">
        <v>160</v>
      </c>
      <c r="D103" s="11">
        <v>159.24</v>
      </c>
      <c r="E103" s="2">
        <f t="shared" si="2"/>
        <v>0.75999999999999091</v>
      </c>
      <c r="F103" s="11">
        <v>0.23</v>
      </c>
      <c r="G103" s="3">
        <f t="shared" si="3"/>
        <v>6.187499999999943E-3</v>
      </c>
    </row>
    <row r="104" spans="1:7">
      <c r="A104" s="1">
        <v>8</v>
      </c>
      <c r="B104" s="1" t="s">
        <v>11</v>
      </c>
      <c r="C104" s="11">
        <v>160</v>
      </c>
      <c r="D104" s="11">
        <v>158.94</v>
      </c>
      <c r="E104" s="2">
        <f t="shared" si="2"/>
        <v>1.0600000000000023</v>
      </c>
      <c r="F104" s="11">
        <v>0.51</v>
      </c>
      <c r="G104" s="3">
        <f t="shared" si="3"/>
        <v>9.8125000000000139E-3</v>
      </c>
    </row>
    <row r="105" spans="1:7">
      <c r="A105" s="1">
        <v>9</v>
      </c>
      <c r="B105" s="1" t="s">
        <v>11</v>
      </c>
      <c r="C105" s="11">
        <v>160</v>
      </c>
      <c r="D105" s="11">
        <v>158.66</v>
      </c>
      <c r="E105" s="2">
        <f t="shared" si="2"/>
        <v>1.3400000000000034</v>
      </c>
      <c r="F105" s="11">
        <v>0.34100000000000003</v>
      </c>
      <c r="G105" s="3">
        <f t="shared" si="3"/>
        <v>1.0506250000000021E-2</v>
      </c>
    </row>
    <row r="106" spans="1:7">
      <c r="A106" s="1">
        <v>11</v>
      </c>
      <c r="B106" s="1" t="s">
        <v>11</v>
      </c>
      <c r="C106" s="11">
        <v>160</v>
      </c>
      <c r="D106" s="11">
        <v>159.02000000000001</v>
      </c>
      <c r="E106" s="2">
        <f t="shared" si="2"/>
        <v>0.97999999999998977</v>
      </c>
      <c r="F106" s="11">
        <v>0.42099999999999999</v>
      </c>
      <c r="G106" s="3">
        <f t="shared" si="3"/>
        <v>8.756249999999936E-3</v>
      </c>
    </row>
    <row r="107" spans="1:7">
      <c r="A107" s="1">
        <v>12</v>
      </c>
      <c r="B107" s="1" t="s">
        <v>11</v>
      </c>
      <c r="C107" s="11">
        <v>65.72</v>
      </c>
      <c r="D107" s="11">
        <v>65.28</v>
      </c>
      <c r="E107" s="2">
        <f t="shared" si="2"/>
        <v>0.43999999999999773</v>
      </c>
      <c r="F107" s="11">
        <v>0.24399999999999999</v>
      </c>
      <c r="G107" s="3">
        <f t="shared" si="3"/>
        <v>1.0407790626901975E-2</v>
      </c>
    </row>
    <row r="108" spans="1:7">
      <c r="A108" s="1">
        <v>13</v>
      </c>
      <c r="B108" s="1" t="s">
        <v>11</v>
      </c>
      <c r="C108" s="11">
        <v>24.18</v>
      </c>
      <c r="D108" s="11">
        <v>23.84</v>
      </c>
      <c r="E108" s="2">
        <f t="shared" si="2"/>
        <v>0.33999999999999986</v>
      </c>
      <c r="F108" s="11">
        <v>0.37</v>
      </c>
      <c r="G108" s="3">
        <f t="shared" si="3"/>
        <v>2.9363110008271291E-2</v>
      </c>
    </row>
    <row r="109" spans="1:7">
      <c r="A109" s="1">
        <v>14</v>
      </c>
      <c r="B109" s="1" t="s">
        <v>11</v>
      </c>
      <c r="C109" s="11">
        <v>98.91</v>
      </c>
      <c r="D109" s="11">
        <v>97.84</v>
      </c>
      <c r="E109" s="2">
        <f t="shared" si="2"/>
        <v>1.0699999999999932</v>
      </c>
      <c r="F109" s="11">
        <v>0.125</v>
      </c>
      <c r="G109" s="3">
        <f t="shared" si="3"/>
        <v>1.2081690425639401E-2</v>
      </c>
    </row>
    <row r="110" spans="1:7">
      <c r="A110" s="1">
        <v>15</v>
      </c>
      <c r="B110" s="1" t="s">
        <v>11</v>
      </c>
      <c r="C110" s="11">
        <v>131.27000000000001</v>
      </c>
      <c r="D110" s="11">
        <v>129.69999999999999</v>
      </c>
      <c r="E110" s="2">
        <f t="shared" si="2"/>
        <v>1.5700000000000216</v>
      </c>
      <c r="F110" s="11">
        <v>0.25</v>
      </c>
      <c r="G110" s="3">
        <f t="shared" si="3"/>
        <v>1.3864553972728129E-2</v>
      </c>
    </row>
    <row r="111" spans="1:7">
      <c r="A111" s="1">
        <v>16</v>
      </c>
      <c r="B111" s="1" t="s">
        <v>11</v>
      </c>
      <c r="C111" s="11">
        <v>135.02000000000001</v>
      </c>
      <c r="D111" s="11">
        <v>132.36000000000001</v>
      </c>
      <c r="E111" s="2">
        <f t="shared" si="2"/>
        <v>2.6599999999999966</v>
      </c>
      <c r="F111" s="11">
        <v>0.28699999999999998</v>
      </c>
      <c r="G111" s="3">
        <f t="shared" si="3"/>
        <v>2.1826396089468198E-2</v>
      </c>
    </row>
    <row r="112" spans="1:7">
      <c r="A112" s="1">
        <v>17</v>
      </c>
      <c r="B112" s="1" t="s">
        <v>11</v>
      </c>
      <c r="C112" s="11">
        <v>152.69999999999999</v>
      </c>
      <c r="D112" s="11">
        <v>151.66</v>
      </c>
      <c r="E112" s="2">
        <f t="shared" si="2"/>
        <v>1.039999999999992</v>
      </c>
      <c r="F112" s="11">
        <v>0.28000000000000003</v>
      </c>
      <c r="G112" s="3">
        <f t="shared" si="3"/>
        <v>8.6444007858545654E-3</v>
      </c>
    </row>
    <row r="113" spans="1:7">
      <c r="A113" s="1">
        <v>18</v>
      </c>
      <c r="B113" s="1" t="s">
        <v>11</v>
      </c>
      <c r="C113" s="11">
        <v>60</v>
      </c>
      <c r="D113" s="11">
        <v>59.62</v>
      </c>
      <c r="E113" s="2">
        <f t="shared" si="2"/>
        <v>0.38000000000000256</v>
      </c>
      <c r="F113" s="11">
        <v>0.31</v>
      </c>
      <c r="G113" s="3">
        <f t="shared" si="3"/>
        <v>1.1500000000000043E-2</v>
      </c>
    </row>
    <row r="114" spans="1:7">
      <c r="A114" s="1">
        <v>19</v>
      </c>
      <c r="B114" s="1" t="s">
        <v>11</v>
      </c>
      <c r="C114" s="11">
        <v>149.94</v>
      </c>
      <c r="D114" s="11">
        <v>147.72</v>
      </c>
      <c r="E114" s="2">
        <f t="shared" si="2"/>
        <v>2.2199999999999989</v>
      </c>
      <c r="F114" s="11">
        <v>0.222</v>
      </c>
      <c r="G114" s="3">
        <f t="shared" si="3"/>
        <v>1.628651460584233E-2</v>
      </c>
    </row>
    <row r="115" spans="1:7">
      <c r="A115" s="1">
        <v>20</v>
      </c>
      <c r="B115" s="1" t="s">
        <v>11</v>
      </c>
      <c r="C115" s="11">
        <v>86.81</v>
      </c>
      <c r="D115" s="11">
        <v>86.18</v>
      </c>
      <c r="E115" s="2">
        <f t="shared" si="2"/>
        <v>0.62999999999999545</v>
      </c>
      <c r="F115" s="11">
        <v>0.24099999999999999</v>
      </c>
      <c r="G115" s="3">
        <f t="shared" si="3"/>
        <v>1.003340628959792E-2</v>
      </c>
    </row>
    <row r="116" spans="1:7">
      <c r="A116" s="1">
        <v>21</v>
      </c>
      <c r="B116" s="1" t="s">
        <v>11</v>
      </c>
      <c r="C116" s="11">
        <v>40</v>
      </c>
      <c r="D116" s="11">
        <v>39.64</v>
      </c>
      <c r="E116" s="2">
        <f t="shared" si="2"/>
        <v>0.35999999999999943</v>
      </c>
      <c r="F116" s="11">
        <v>0.32</v>
      </c>
      <c r="G116" s="3">
        <f t="shared" si="3"/>
        <v>1.6999999999999987E-2</v>
      </c>
    </row>
    <row r="117" spans="1:7">
      <c r="A117" s="1">
        <v>22</v>
      </c>
      <c r="B117" s="1" t="s">
        <v>11</v>
      </c>
      <c r="C117" s="11">
        <v>66.296000000000006</v>
      </c>
      <c r="D117" s="11">
        <v>66.06</v>
      </c>
      <c r="E117" s="2">
        <f t="shared" si="2"/>
        <v>0.23600000000000421</v>
      </c>
      <c r="F117" s="11">
        <v>0.254000000000005</v>
      </c>
      <c r="G117" s="3">
        <f t="shared" si="3"/>
        <v>7.39109448533862E-3</v>
      </c>
    </row>
    <row r="118" spans="1:7">
      <c r="A118" s="1">
        <v>23</v>
      </c>
      <c r="B118" s="1" t="s">
        <v>11</v>
      </c>
      <c r="C118" s="11">
        <v>43.16</v>
      </c>
      <c r="D118" s="11">
        <v>42.96</v>
      </c>
      <c r="E118" s="2">
        <f t="shared" si="2"/>
        <v>0.19999999999999574</v>
      </c>
      <c r="F118" s="11">
        <v>0.36399999999999999</v>
      </c>
      <c r="G118" s="3">
        <f t="shared" si="3"/>
        <v>1.3067655236329837E-2</v>
      </c>
    </row>
    <row r="119" spans="1:7">
      <c r="A119" s="1">
        <v>24</v>
      </c>
      <c r="B119" s="1" t="s">
        <v>11</v>
      </c>
      <c r="C119" s="11">
        <v>82.168000000000006</v>
      </c>
      <c r="D119" s="11">
        <v>81.52000000000001</v>
      </c>
      <c r="E119" s="2">
        <f t="shared" si="2"/>
        <v>0.64799999999999613</v>
      </c>
      <c r="F119" s="11">
        <v>0.24099999999999966</v>
      </c>
      <c r="G119" s="3">
        <f t="shared" si="3"/>
        <v>1.08192970499464E-2</v>
      </c>
    </row>
    <row r="120" spans="1:7">
      <c r="A120" s="1">
        <v>25</v>
      </c>
      <c r="B120" s="1" t="s">
        <v>11</v>
      </c>
      <c r="C120" s="11">
        <v>200</v>
      </c>
      <c r="D120" s="11">
        <v>199.48</v>
      </c>
      <c r="E120" s="2">
        <f t="shared" si="2"/>
        <v>0.52000000000001023</v>
      </c>
      <c r="F120" s="11">
        <v>0.45900000000000002</v>
      </c>
      <c r="G120" s="3">
        <f t="shared" si="3"/>
        <v>4.8950000000000512E-3</v>
      </c>
    </row>
    <row r="121" spans="1:7">
      <c r="A121" s="1">
        <v>26</v>
      </c>
      <c r="B121" s="1" t="s">
        <v>11</v>
      </c>
      <c r="C121" s="11">
        <v>200</v>
      </c>
      <c r="D121" s="11">
        <v>199.48</v>
      </c>
      <c r="E121" s="2">
        <f t="shared" si="2"/>
        <v>0.52000000000001023</v>
      </c>
      <c r="F121" s="11">
        <v>0.35399999999999998</v>
      </c>
      <c r="G121" s="3">
        <f t="shared" si="3"/>
        <v>4.3700000000000509E-3</v>
      </c>
    </row>
    <row r="122" spans="1:7">
      <c r="A122" s="1">
        <v>27</v>
      </c>
      <c r="B122" s="1" t="s">
        <v>11</v>
      </c>
      <c r="C122" s="11">
        <v>0</v>
      </c>
      <c r="D122" s="11">
        <v>0</v>
      </c>
      <c r="E122" s="2">
        <f t="shared" si="2"/>
        <v>0</v>
      </c>
      <c r="F122" s="11">
        <v>0.35</v>
      </c>
      <c r="G122" s="3" t="e">
        <f t="shared" si="3"/>
        <v>#DIV/0!</v>
      </c>
    </row>
    <row r="123" spans="1:7">
      <c r="A123" s="1">
        <v>28</v>
      </c>
      <c r="B123" s="1" t="s">
        <v>11</v>
      </c>
      <c r="C123" s="11">
        <v>154.58000000000001</v>
      </c>
      <c r="D123" s="11">
        <v>152.74</v>
      </c>
      <c r="E123" s="2">
        <f t="shared" si="2"/>
        <v>1.8400000000000034</v>
      </c>
      <c r="F123" s="11">
        <v>0.5</v>
      </c>
      <c r="G123" s="3">
        <f t="shared" si="3"/>
        <v>1.5137792728684197E-2</v>
      </c>
    </row>
    <row r="124" spans="1:7">
      <c r="A124" s="1">
        <v>29</v>
      </c>
      <c r="B124" s="1" t="s">
        <v>11</v>
      </c>
      <c r="C124" s="11">
        <v>86.13</v>
      </c>
      <c r="D124" s="11">
        <v>85.52</v>
      </c>
      <c r="E124" s="2">
        <f t="shared" si="2"/>
        <v>0.60999999999999943</v>
      </c>
      <c r="F124" s="11">
        <v>0.41</v>
      </c>
      <c r="G124" s="3">
        <f t="shared" si="3"/>
        <v>1.1842563566701492E-2</v>
      </c>
    </row>
    <row r="125" spans="1:7">
      <c r="A125" s="1">
        <v>30</v>
      </c>
      <c r="B125" s="1" t="s">
        <v>11</v>
      </c>
      <c r="C125" s="11">
        <v>160</v>
      </c>
      <c r="D125" s="11">
        <v>159.18</v>
      </c>
      <c r="E125" s="2">
        <f t="shared" si="2"/>
        <v>0.81999999999999318</v>
      </c>
      <c r="F125" s="11">
        <v>0.35</v>
      </c>
      <c r="G125" s="3">
        <f t="shared" si="3"/>
        <v>7.3124999999999579E-3</v>
      </c>
    </row>
    <row r="126" spans="1:7">
      <c r="A126" s="1">
        <v>31</v>
      </c>
      <c r="B126" s="1" t="s">
        <v>11</v>
      </c>
      <c r="C126" s="11">
        <v>123.71</v>
      </c>
      <c r="D126" s="11">
        <v>123.28</v>
      </c>
      <c r="E126" s="2">
        <f t="shared" si="2"/>
        <v>0.42999999999999261</v>
      </c>
      <c r="F126" s="11">
        <v>0.43</v>
      </c>
      <c r="G126" s="3">
        <f t="shared" si="3"/>
        <v>6.951741977204693E-3</v>
      </c>
    </row>
    <row r="127" spans="1:7">
      <c r="A127" s="1">
        <v>1</v>
      </c>
      <c r="B127" s="1" t="s">
        <v>12</v>
      </c>
      <c r="C127" s="11">
        <v>200</v>
      </c>
      <c r="D127" s="11">
        <v>196.5</v>
      </c>
      <c r="E127" s="2">
        <f t="shared" si="2"/>
        <v>3.5</v>
      </c>
      <c r="F127" s="11">
        <v>0.85899999999996624</v>
      </c>
      <c r="G127" s="3">
        <f t="shared" si="3"/>
        <v>2.1794999999999832E-2</v>
      </c>
    </row>
    <row r="128" spans="1:7">
      <c r="A128" s="1">
        <v>2</v>
      </c>
      <c r="B128" s="1" t="s">
        <v>12</v>
      </c>
      <c r="C128" s="11">
        <v>120</v>
      </c>
      <c r="D128" s="11">
        <v>118.85</v>
      </c>
      <c r="E128" s="2">
        <f t="shared" si="2"/>
        <v>1.1500000000000057</v>
      </c>
      <c r="F128" s="11">
        <v>0.33400000000000002</v>
      </c>
      <c r="G128" s="3">
        <f t="shared" si="3"/>
        <v>1.2366666666666715E-2</v>
      </c>
    </row>
    <row r="129" spans="1:7">
      <c r="A129" s="1">
        <v>3</v>
      </c>
      <c r="B129" s="1" t="s">
        <v>12</v>
      </c>
      <c r="C129" s="11">
        <v>220</v>
      </c>
      <c r="D129" s="11">
        <v>214.85</v>
      </c>
      <c r="E129" s="2">
        <f t="shared" si="2"/>
        <v>5.1500000000000057</v>
      </c>
      <c r="F129" s="11">
        <v>0.33400000000000002</v>
      </c>
      <c r="G129" s="3">
        <f t="shared" si="3"/>
        <v>2.4927272727272753E-2</v>
      </c>
    </row>
    <row r="130" spans="1:7">
      <c r="A130" s="1">
        <v>4</v>
      </c>
      <c r="B130" s="1" t="s">
        <v>12</v>
      </c>
      <c r="C130" s="11">
        <v>200</v>
      </c>
      <c r="D130" s="11">
        <v>197.79999999999998</v>
      </c>
      <c r="E130" s="2">
        <f t="shared" si="2"/>
        <v>2.2000000000000171</v>
      </c>
      <c r="F130" s="11">
        <v>0.75499999999996703</v>
      </c>
      <c r="G130" s="3">
        <f t="shared" si="3"/>
        <v>1.477499999999992E-2</v>
      </c>
    </row>
    <row r="131" spans="1:7">
      <c r="A131" s="1">
        <v>5</v>
      </c>
      <c r="B131" s="1" t="s">
        <v>12</v>
      </c>
      <c r="C131" s="11">
        <v>40</v>
      </c>
      <c r="D131" s="11">
        <v>39.75</v>
      </c>
      <c r="E131" s="2">
        <f t="shared" si="2"/>
        <v>0.25</v>
      </c>
      <c r="F131" s="11">
        <v>0.59799999999999998</v>
      </c>
      <c r="G131" s="3">
        <f t="shared" si="3"/>
        <v>2.12E-2</v>
      </c>
    </row>
    <row r="132" spans="1:7">
      <c r="A132" s="1">
        <v>6</v>
      </c>
      <c r="B132" s="1" t="s">
        <v>12</v>
      </c>
      <c r="C132" s="11">
        <v>140</v>
      </c>
      <c r="D132" s="11">
        <v>139.15</v>
      </c>
      <c r="E132" s="2">
        <f t="shared" ref="E132:E195" si="4">C132-D132</f>
        <v>0.84999999999999432</v>
      </c>
      <c r="F132" s="11">
        <v>1.1779999999999999</v>
      </c>
      <c r="G132" s="3">
        <f t="shared" ref="G132:G195" si="5">(E132+F132)/C132</f>
        <v>1.4485714285714244E-2</v>
      </c>
    </row>
    <row r="133" spans="1:7">
      <c r="A133" s="1">
        <v>7</v>
      </c>
      <c r="B133" s="1" t="s">
        <v>12</v>
      </c>
      <c r="C133" s="11">
        <v>120</v>
      </c>
      <c r="D133" s="11">
        <v>118.85</v>
      </c>
      <c r="E133" s="2">
        <f t="shared" si="4"/>
        <v>1.1500000000000057</v>
      </c>
      <c r="F133" s="11">
        <v>1.038</v>
      </c>
      <c r="G133" s="3">
        <f t="shared" si="5"/>
        <v>1.8233333333333383E-2</v>
      </c>
    </row>
    <row r="134" spans="1:7">
      <c r="A134" s="1">
        <v>10</v>
      </c>
      <c r="B134" s="1" t="s">
        <v>12</v>
      </c>
      <c r="C134" s="11">
        <v>67.408000000000001</v>
      </c>
      <c r="D134" s="11">
        <v>66.900000000000006</v>
      </c>
      <c r="E134" s="2">
        <f t="shared" si="4"/>
        <v>0.50799999999999557</v>
      </c>
      <c r="F134" s="11">
        <v>1.7760000000000034</v>
      </c>
      <c r="G134" s="3">
        <f t="shared" si="5"/>
        <v>3.3883218609067157E-2</v>
      </c>
    </row>
    <row r="135" spans="1:7">
      <c r="A135" s="1">
        <v>8</v>
      </c>
      <c r="B135" s="1" t="s">
        <v>12</v>
      </c>
      <c r="C135" s="11">
        <v>100</v>
      </c>
      <c r="D135" s="11">
        <v>97.75</v>
      </c>
      <c r="E135" s="2">
        <f t="shared" si="4"/>
        <v>2.25</v>
      </c>
      <c r="F135" s="11">
        <v>2.2120000000000002</v>
      </c>
      <c r="G135" s="3">
        <f t="shared" si="5"/>
        <v>4.462E-2</v>
      </c>
    </row>
    <row r="136" spans="1:7">
      <c r="A136" s="1">
        <v>9</v>
      </c>
      <c r="B136" s="1" t="s">
        <v>12</v>
      </c>
      <c r="C136" s="11">
        <v>21.97</v>
      </c>
      <c r="D136" s="11">
        <v>21.85</v>
      </c>
      <c r="E136" s="2">
        <f t="shared" si="4"/>
        <v>0.11999999999999744</v>
      </c>
      <c r="F136" s="11">
        <v>2.032</v>
      </c>
      <c r="G136" s="3">
        <f t="shared" si="5"/>
        <v>9.7951752389622102E-2</v>
      </c>
    </row>
    <row r="137" spans="1:7">
      <c r="A137" s="1">
        <v>11</v>
      </c>
      <c r="B137" s="1" t="s">
        <v>12</v>
      </c>
      <c r="C137" s="11">
        <v>101.44</v>
      </c>
      <c r="D137" s="11">
        <v>98.4</v>
      </c>
      <c r="E137" s="2">
        <f t="shared" si="4"/>
        <v>3.039999999999992</v>
      </c>
      <c r="F137" s="11">
        <v>0.95599999999999996</v>
      </c>
      <c r="G137" s="3">
        <f t="shared" si="5"/>
        <v>3.9392744479495187E-2</v>
      </c>
    </row>
    <row r="138" spans="1:7">
      <c r="A138" s="1">
        <v>12</v>
      </c>
      <c r="B138" s="1" t="s">
        <v>12</v>
      </c>
      <c r="C138" s="11">
        <v>50.38</v>
      </c>
      <c r="D138" s="11">
        <v>49.7</v>
      </c>
      <c r="E138" s="2">
        <f t="shared" si="4"/>
        <v>0.67999999999999972</v>
      </c>
      <c r="F138" s="11">
        <v>0.71299999999999997</v>
      </c>
      <c r="G138" s="3">
        <f t="shared" si="5"/>
        <v>2.7649861055974587E-2</v>
      </c>
    </row>
    <row r="139" spans="1:7">
      <c r="A139" s="1">
        <v>13</v>
      </c>
      <c r="B139" s="1" t="s">
        <v>12</v>
      </c>
      <c r="C139" s="11">
        <v>84.63</v>
      </c>
      <c r="D139" s="11">
        <v>84.13</v>
      </c>
      <c r="E139" s="2">
        <f t="shared" si="4"/>
        <v>0.5</v>
      </c>
      <c r="F139" s="11">
        <v>1.21</v>
      </c>
      <c r="G139" s="3">
        <f t="shared" si="5"/>
        <v>2.0205600850762142E-2</v>
      </c>
    </row>
    <row r="140" spans="1:7">
      <c r="A140" s="1">
        <v>14</v>
      </c>
      <c r="B140" s="1" t="s">
        <v>12</v>
      </c>
      <c r="C140" s="11">
        <v>63.19</v>
      </c>
      <c r="D140" s="11">
        <v>61.4</v>
      </c>
      <c r="E140" s="2">
        <f t="shared" si="4"/>
        <v>1.7899999999999991</v>
      </c>
      <c r="F140" s="11">
        <v>0.93799999999999994</v>
      </c>
      <c r="G140" s="3">
        <f t="shared" si="5"/>
        <v>4.3171387877828753E-2</v>
      </c>
    </row>
    <row r="141" spans="1:7">
      <c r="A141" s="1">
        <v>15</v>
      </c>
      <c r="B141" s="1" t="s">
        <v>12</v>
      </c>
      <c r="C141" s="11">
        <v>78.099999999999994</v>
      </c>
      <c r="D141" s="11">
        <v>77.349999999999994</v>
      </c>
      <c r="E141" s="2">
        <f t="shared" si="4"/>
        <v>0.75</v>
      </c>
      <c r="F141" s="11">
        <v>1.0740000000000001</v>
      </c>
      <c r="G141" s="3">
        <f t="shared" si="5"/>
        <v>2.335467349551857E-2</v>
      </c>
    </row>
    <row r="142" spans="1:7">
      <c r="A142" s="1">
        <v>16</v>
      </c>
      <c r="B142" s="1" t="s">
        <v>12</v>
      </c>
      <c r="C142" s="11">
        <v>97.71</v>
      </c>
      <c r="D142" s="11">
        <v>97.3</v>
      </c>
      <c r="E142" s="2">
        <f t="shared" si="4"/>
        <v>0.40999999999999659</v>
      </c>
      <c r="F142" s="11">
        <v>0.39400000000000002</v>
      </c>
      <c r="G142" s="3">
        <f t="shared" si="5"/>
        <v>8.2284310715381916E-3</v>
      </c>
    </row>
    <row r="143" spans="1:7">
      <c r="A143" s="1">
        <v>17</v>
      </c>
      <c r="B143" s="1" t="s">
        <v>12</v>
      </c>
      <c r="C143" s="11">
        <v>183.5</v>
      </c>
      <c r="D143" s="11">
        <v>181.95</v>
      </c>
      <c r="E143" s="2">
        <f t="shared" si="4"/>
        <v>1.5500000000000114</v>
      </c>
      <c r="F143" s="11">
        <v>0.60399999999999998</v>
      </c>
      <c r="G143" s="3">
        <f t="shared" si="5"/>
        <v>1.1738419618528673E-2</v>
      </c>
    </row>
    <row r="144" spans="1:7">
      <c r="A144" s="1">
        <v>18</v>
      </c>
      <c r="B144" s="1" t="s">
        <v>12</v>
      </c>
      <c r="C144" s="11">
        <v>85</v>
      </c>
      <c r="D144" s="11">
        <v>84.65</v>
      </c>
      <c r="E144" s="2">
        <f t="shared" si="4"/>
        <v>0.34999999999999432</v>
      </c>
      <c r="F144" s="11">
        <v>0.58099999999999996</v>
      </c>
      <c r="G144" s="3">
        <f t="shared" si="5"/>
        <v>1.0952941176470521E-2</v>
      </c>
    </row>
    <row r="145" spans="1:7">
      <c r="A145" s="1">
        <v>19</v>
      </c>
      <c r="B145" s="1" t="s">
        <v>12</v>
      </c>
      <c r="C145" s="11">
        <v>177.31</v>
      </c>
      <c r="D145" s="11">
        <v>175.2</v>
      </c>
      <c r="E145" s="2">
        <f t="shared" si="4"/>
        <v>2.1100000000000136</v>
      </c>
      <c r="F145" s="11">
        <v>1.6539999999999999</v>
      </c>
      <c r="G145" s="3">
        <f t="shared" si="5"/>
        <v>2.1228357114658019E-2</v>
      </c>
    </row>
    <row r="146" spans="1:7">
      <c r="A146" s="1">
        <v>20</v>
      </c>
      <c r="B146" s="1" t="s">
        <v>12</v>
      </c>
      <c r="C146" s="11">
        <v>50</v>
      </c>
      <c r="D146" s="11">
        <v>49.55</v>
      </c>
      <c r="E146" s="2">
        <f t="shared" si="4"/>
        <v>0.45000000000000284</v>
      </c>
      <c r="F146" s="11">
        <v>3.6019999999999999</v>
      </c>
      <c r="G146" s="3">
        <f t="shared" si="5"/>
        <v>8.1040000000000056E-2</v>
      </c>
    </row>
    <row r="147" spans="1:7">
      <c r="A147" s="1">
        <v>21</v>
      </c>
      <c r="B147" s="1" t="s">
        <v>12</v>
      </c>
      <c r="C147" s="11">
        <v>125</v>
      </c>
      <c r="D147" s="11">
        <v>124</v>
      </c>
      <c r="E147" s="2">
        <f t="shared" si="4"/>
        <v>1</v>
      </c>
      <c r="F147" s="11">
        <v>0.76400000000000001</v>
      </c>
      <c r="G147" s="3">
        <f t="shared" si="5"/>
        <v>1.4112E-2</v>
      </c>
    </row>
    <row r="148" spans="1:7">
      <c r="A148" s="1">
        <v>22</v>
      </c>
      <c r="B148" s="1" t="s">
        <v>12</v>
      </c>
      <c r="C148" s="11">
        <v>122.408</v>
      </c>
      <c r="D148" s="11">
        <f>21.6+99.05</f>
        <v>120.65</v>
      </c>
      <c r="E148" s="2">
        <f t="shared" si="4"/>
        <v>1.7579999999999956</v>
      </c>
      <c r="F148" s="11">
        <v>2.3980000000000201</v>
      </c>
      <c r="G148" s="3">
        <f t="shared" si="5"/>
        <v>3.3952029279132212E-2</v>
      </c>
    </row>
    <row r="149" spans="1:7">
      <c r="A149" s="1">
        <v>23</v>
      </c>
      <c r="B149" s="1" t="s">
        <v>12</v>
      </c>
      <c r="C149" s="11">
        <v>70</v>
      </c>
      <c r="D149" s="11">
        <v>69.25</v>
      </c>
      <c r="E149" s="2">
        <f t="shared" si="4"/>
        <v>0.75</v>
      </c>
      <c r="F149" s="11">
        <v>0.9</v>
      </c>
      <c r="G149" s="3">
        <f t="shared" si="5"/>
        <v>2.357142857142857E-2</v>
      </c>
    </row>
    <row r="150" spans="1:7">
      <c r="A150" s="1">
        <v>24</v>
      </c>
      <c r="B150" s="1" t="s">
        <v>12</v>
      </c>
      <c r="C150" s="11">
        <v>91.13</v>
      </c>
      <c r="D150" s="11">
        <v>89.65</v>
      </c>
      <c r="E150" s="2">
        <f t="shared" si="4"/>
        <v>1.4799999999999898</v>
      </c>
      <c r="F150" s="11">
        <v>0.68400000000000005</v>
      </c>
      <c r="G150" s="3">
        <f t="shared" si="5"/>
        <v>2.3746296499506089E-2</v>
      </c>
    </row>
    <row r="151" spans="1:7">
      <c r="A151" s="1">
        <v>25</v>
      </c>
      <c r="B151" s="1" t="s">
        <v>12</v>
      </c>
      <c r="C151" s="11">
        <v>75</v>
      </c>
      <c r="D151" s="11">
        <v>74.45</v>
      </c>
      <c r="E151" s="2">
        <f t="shared" si="4"/>
        <v>0.54999999999999716</v>
      </c>
      <c r="F151" s="11">
        <v>1.7</v>
      </c>
      <c r="G151" s="3">
        <f t="shared" si="5"/>
        <v>2.9999999999999964E-2</v>
      </c>
    </row>
    <row r="152" spans="1:7">
      <c r="A152" s="1">
        <v>26</v>
      </c>
      <c r="B152" s="1" t="s">
        <v>12</v>
      </c>
      <c r="C152" s="11">
        <v>110</v>
      </c>
      <c r="D152" s="11">
        <v>108.35</v>
      </c>
      <c r="E152" s="2">
        <f t="shared" si="4"/>
        <v>1.6500000000000057</v>
      </c>
      <c r="F152" s="11">
        <v>1.3680000000000001</v>
      </c>
      <c r="G152" s="3">
        <f t="shared" si="5"/>
        <v>2.7436363636363693E-2</v>
      </c>
    </row>
    <row r="153" spans="1:7">
      <c r="A153" s="1">
        <v>27</v>
      </c>
      <c r="B153" s="1" t="s">
        <v>12</v>
      </c>
      <c r="C153" s="11">
        <v>70</v>
      </c>
      <c r="D153" s="11">
        <v>69.400000000000006</v>
      </c>
      <c r="E153" s="2">
        <f t="shared" si="4"/>
        <v>0.59999999999999432</v>
      </c>
      <c r="F153" s="11">
        <v>0.996</v>
      </c>
      <c r="G153" s="3">
        <f t="shared" si="5"/>
        <v>2.2799999999999918E-2</v>
      </c>
    </row>
    <row r="154" spans="1:7">
      <c r="A154" s="1">
        <v>28</v>
      </c>
      <c r="B154" s="1" t="s">
        <v>12</v>
      </c>
      <c r="C154" s="11">
        <v>160</v>
      </c>
      <c r="D154" s="11">
        <v>158.4</v>
      </c>
      <c r="E154" s="2">
        <f t="shared" si="4"/>
        <v>1.5999999999999943</v>
      </c>
      <c r="F154" s="11">
        <v>1.9079999999999999</v>
      </c>
      <c r="G154" s="3">
        <f t="shared" si="5"/>
        <v>2.1924999999999965E-2</v>
      </c>
    </row>
    <row r="155" spans="1:7">
      <c r="A155" s="1">
        <v>29</v>
      </c>
      <c r="B155" s="1" t="s">
        <v>12</v>
      </c>
      <c r="C155" s="11">
        <v>110</v>
      </c>
      <c r="D155" s="11">
        <v>109.3</v>
      </c>
      <c r="E155" s="2">
        <f t="shared" si="4"/>
        <v>0.70000000000000284</v>
      </c>
      <c r="F155" s="11">
        <v>1.5489999999999999</v>
      </c>
      <c r="G155" s="3">
        <f t="shared" si="5"/>
        <v>2.0445454545454572E-2</v>
      </c>
    </row>
    <row r="156" spans="1:7">
      <c r="A156" s="1">
        <v>30</v>
      </c>
      <c r="B156" s="1" t="s">
        <v>12</v>
      </c>
      <c r="C156" s="11">
        <v>90</v>
      </c>
      <c r="D156" s="11">
        <v>88.6</v>
      </c>
      <c r="E156" s="2">
        <f t="shared" si="4"/>
        <v>1.4000000000000057</v>
      </c>
      <c r="F156" s="11">
        <v>0.77600000000000002</v>
      </c>
      <c r="G156" s="3">
        <f t="shared" si="5"/>
        <v>2.417777777777784E-2</v>
      </c>
    </row>
    <row r="157" spans="1:7">
      <c r="A157" s="1">
        <v>31</v>
      </c>
      <c r="B157" s="1" t="s">
        <v>12</v>
      </c>
      <c r="C157" s="11">
        <v>25</v>
      </c>
      <c r="D157" s="11">
        <v>24.6</v>
      </c>
      <c r="E157" s="2">
        <f t="shared" si="4"/>
        <v>0.39999999999999858</v>
      </c>
      <c r="F157" s="11">
        <v>1.363</v>
      </c>
      <c r="G157" s="3">
        <f t="shared" si="5"/>
        <v>7.0519999999999944E-2</v>
      </c>
    </row>
    <row r="158" spans="1:7">
      <c r="A158" s="1">
        <v>1</v>
      </c>
      <c r="B158" s="1" t="s">
        <v>13</v>
      </c>
      <c r="C158" s="11">
        <v>100</v>
      </c>
      <c r="D158" s="11">
        <v>98.64</v>
      </c>
      <c r="E158" s="2">
        <f t="shared" si="4"/>
        <v>1.3599999999999994</v>
      </c>
      <c r="F158" s="11">
        <v>0.14199999999999999</v>
      </c>
      <c r="G158" s="3">
        <f t="shared" si="5"/>
        <v>1.5019999999999993E-2</v>
      </c>
    </row>
    <row r="159" spans="1:7">
      <c r="A159" s="1">
        <v>2</v>
      </c>
      <c r="B159" s="1" t="s">
        <v>13</v>
      </c>
      <c r="C159" s="11">
        <v>265</v>
      </c>
      <c r="D159" s="11">
        <v>262.26</v>
      </c>
      <c r="E159" s="2">
        <f t="shared" si="4"/>
        <v>2.7400000000000091</v>
      </c>
      <c r="F159" s="11">
        <v>0.21</v>
      </c>
      <c r="G159" s="3">
        <f t="shared" si="5"/>
        <v>1.1132075471698148E-2</v>
      </c>
    </row>
    <row r="160" spans="1:7">
      <c r="A160" s="1">
        <v>3</v>
      </c>
      <c r="B160" s="1" t="s">
        <v>13</v>
      </c>
      <c r="C160" s="11">
        <v>265</v>
      </c>
      <c r="D160" s="11">
        <v>262.18</v>
      </c>
      <c r="E160" s="2">
        <f t="shared" si="4"/>
        <v>2.8199999999999932</v>
      </c>
      <c r="F160" s="11">
        <v>0.17599999999999999</v>
      </c>
      <c r="G160" s="3">
        <f t="shared" si="5"/>
        <v>1.1305660377358466E-2</v>
      </c>
    </row>
    <row r="161" spans="1:7">
      <c r="A161" s="1">
        <v>4</v>
      </c>
      <c r="B161" s="1" t="s">
        <v>13</v>
      </c>
      <c r="C161" s="11">
        <v>100</v>
      </c>
      <c r="D161" s="11">
        <v>98.94</v>
      </c>
      <c r="E161" s="2">
        <f t="shared" si="4"/>
        <v>1.0600000000000023</v>
      </c>
      <c r="F161" s="11">
        <v>0.245</v>
      </c>
      <c r="G161" s="3">
        <f t="shared" si="5"/>
        <v>1.3050000000000023E-2</v>
      </c>
    </row>
    <row r="162" spans="1:7">
      <c r="A162" s="1">
        <v>5</v>
      </c>
      <c r="B162" s="1" t="s">
        <v>13</v>
      </c>
      <c r="C162" s="11">
        <v>60</v>
      </c>
      <c r="D162" s="11">
        <v>59.52</v>
      </c>
      <c r="E162" s="2">
        <f t="shared" si="4"/>
        <v>0.47999999999999687</v>
      </c>
      <c r="F162" s="11">
        <v>0.187</v>
      </c>
      <c r="G162" s="3">
        <f t="shared" si="5"/>
        <v>1.1116666666666615E-2</v>
      </c>
    </row>
    <row r="163" spans="1:7">
      <c r="A163" s="1">
        <v>6</v>
      </c>
      <c r="B163" s="1" t="s">
        <v>13</v>
      </c>
      <c r="C163" s="11">
        <v>80</v>
      </c>
      <c r="D163" s="11">
        <v>79.180000000000007</v>
      </c>
      <c r="E163" s="2">
        <f t="shared" si="4"/>
        <v>0.81999999999999318</v>
      </c>
      <c r="F163" s="11">
        <v>0.21</v>
      </c>
      <c r="G163" s="3">
        <f t="shared" si="5"/>
        <v>1.2874999999999914E-2</v>
      </c>
    </row>
    <row r="164" spans="1:7">
      <c r="A164" s="1">
        <v>7</v>
      </c>
      <c r="B164" s="1" t="s">
        <v>13</v>
      </c>
      <c r="C164" s="11">
        <v>65</v>
      </c>
      <c r="D164" s="11">
        <v>64.239999999999995</v>
      </c>
      <c r="E164" s="2">
        <f t="shared" si="4"/>
        <v>0.76000000000000512</v>
      </c>
      <c r="F164" s="11">
        <v>0.29199999999999998</v>
      </c>
      <c r="G164" s="3">
        <f t="shared" si="5"/>
        <v>1.6184615384615464E-2</v>
      </c>
    </row>
    <row r="165" spans="1:7">
      <c r="A165" s="1">
        <v>10</v>
      </c>
      <c r="B165" s="1" t="s">
        <v>13</v>
      </c>
      <c r="C165" s="11">
        <v>80</v>
      </c>
      <c r="D165" s="11">
        <v>78.180000000000007</v>
      </c>
      <c r="E165" s="2">
        <f t="shared" si="4"/>
        <v>1.8199999999999932</v>
      </c>
      <c r="F165" s="11">
        <v>0.27100000000000002</v>
      </c>
      <c r="G165" s="3">
        <f t="shared" si="5"/>
        <v>2.6137499999999914E-2</v>
      </c>
    </row>
    <row r="166" spans="1:7">
      <c r="A166" s="1">
        <v>8</v>
      </c>
      <c r="B166" s="1" t="s">
        <v>13</v>
      </c>
      <c r="C166" s="11">
        <v>120</v>
      </c>
      <c r="D166" s="11">
        <v>118.14</v>
      </c>
      <c r="E166" s="2">
        <f t="shared" si="4"/>
        <v>1.8599999999999994</v>
      </c>
      <c r="F166" s="11">
        <v>0.189</v>
      </c>
      <c r="G166" s="3">
        <f t="shared" si="5"/>
        <v>1.7074999999999996E-2</v>
      </c>
    </row>
    <row r="167" spans="1:7">
      <c r="A167" s="1">
        <v>9</v>
      </c>
      <c r="B167" s="1" t="s">
        <v>13</v>
      </c>
      <c r="C167" s="11">
        <v>60</v>
      </c>
      <c r="D167" s="11">
        <v>59.42</v>
      </c>
      <c r="E167" s="2">
        <f t="shared" si="4"/>
        <v>0.57999999999999829</v>
      </c>
      <c r="F167" s="11">
        <v>0.188</v>
      </c>
      <c r="G167" s="3">
        <f t="shared" si="5"/>
        <v>1.2799999999999971E-2</v>
      </c>
    </row>
    <row r="168" spans="1:7">
      <c r="A168" s="1">
        <v>11</v>
      </c>
      <c r="B168" s="1" t="s">
        <v>13</v>
      </c>
      <c r="C168" s="11">
        <v>100</v>
      </c>
      <c r="D168" s="11">
        <v>99.16</v>
      </c>
      <c r="E168" s="2">
        <f t="shared" si="4"/>
        <v>0.84000000000000341</v>
      </c>
      <c r="F168" s="11">
        <v>0.19</v>
      </c>
      <c r="G168" s="3">
        <f t="shared" si="5"/>
        <v>1.0300000000000033E-2</v>
      </c>
    </row>
    <row r="169" spans="1:7">
      <c r="A169" s="1">
        <v>12</v>
      </c>
      <c r="B169" s="1" t="s">
        <v>13</v>
      </c>
      <c r="C169" s="11">
        <v>85</v>
      </c>
      <c r="D169" s="11">
        <v>84.12</v>
      </c>
      <c r="E169" s="2">
        <f t="shared" si="4"/>
        <v>0.87999999999999545</v>
      </c>
      <c r="F169" s="11">
        <v>0.188</v>
      </c>
      <c r="G169" s="3">
        <f t="shared" si="5"/>
        <v>1.2564705882352888E-2</v>
      </c>
    </row>
    <row r="170" spans="1:7">
      <c r="A170" s="1">
        <v>13</v>
      </c>
      <c r="B170" s="1" t="s">
        <v>13</v>
      </c>
      <c r="C170" s="11">
        <v>40</v>
      </c>
      <c r="D170" s="11">
        <v>39.5</v>
      </c>
      <c r="E170" s="2">
        <f t="shared" si="4"/>
        <v>0.5</v>
      </c>
      <c r="F170" s="11">
        <v>0.184</v>
      </c>
      <c r="G170" s="3">
        <f t="shared" si="5"/>
        <v>1.7099999999999997E-2</v>
      </c>
    </row>
    <row r="171" spans="1:7">
      <c r="A171" s="1">
        <v>14</v>
      </c>
      <c r="B171" s="1" t="s">
        <v>13</v>
      </c>
      <c r="C171" s="11">
        <v>80</v>
      </c>
      <c r="D171" s="11">
        <v>77.319999999999993</v>
      </c>
      <c r="E171" s="2">
        <f t="shared" si="4"/>
        <v>2.6800000000000068</v>
      </c>
      <c r="F171" s="11">
        <v>0.17499999999999999</v>
      </c>
      <c r="G171" s="3">
        <f t="shared" si="5"/>
        <v>3.568750000000008E-2</v>
      </c>
    </row>
    <row r="172" spans="1:7">
      <c r="A172" s="1">
        <v>15</v>
      </c>
      <c r="B172" s="1" t="s">
        <v>13</v>
      </c>
      <c r="C172" s="11">
        <v>60</v>
      </c>
      <c r="D172" s="11">
        <v>58.92</v>
      </c>
      <c r="E172" s="2">
        <f t="shared" si="4"/>
        <v>1.0799999999999983</v>
      </c>
      <c r="F172" s="11">
        <v>0.16600000000000001</v>
      </c>
      <c r="G172" s="3">
        <f t="shared" si="5"/>
        <v>2.0766666666666638E-2</v>
      </c>
    </row>
    <row r="173" spans="1:7">
      <c r="A173" s="1">
        <v>16</v>
      </c>
      <c r="B173" s="1" t="s">
        <v>13</v>
      </c>
      <c r="C173" s="11">
        <v>80</v>
      </c>
      <c r="D173" s="11">
        <v>78.36</v>
      </c>
      <c r="E173" s="2">
        <f t="shared" si="4"/>
        <v>1.6400000000000006</v>
      </c>
      <c r="F173" s="11">
        <v>0.152</v>
      </c>
      <c r="G173" s="3">
        <f t="shared" si="5"/>
        <v>2.2400000000000007E-2</v>
      </c>
    </row>
    <row r="174" spans="1:7">
      <c r="A174" s="1">
        <v>17</v>
      </c>
      <c r="B174" s="1" t="s">
        <v>13</v>
      </c>
      <c r="C174" s="11">
        <v>60</v>
      </c>
      <c r="D174" s="11">
        <v>59.14</v>
      </c>
      <c r="E174" s="2">
        <f t="shared" si="4"/>
        <v>0.85999999999999943</v>
      </c>
      <c r="F174" s="11">
        <v>0.23899999999999999</v>
      </c>
      <c r="G174" s="3">
        <f t="shared" si="5"/>
        <v>1.8316666666666655E-2</v>
      </c>
    </row>
    <row r="175" spans="1:7">
      <c r="A175" s="1">
        <v>18</v>
      </c>
      <c r="B175" s="1" t="s">
        <v>13</v>
      </c>
      <c r="C175" s="11">
        <v>18</v>
      </c>
      <c r="D175" s="11">
        <v>16.84</v>
      </c>
      <c r="E175" s="2">
        <f t="shared" si="4"/>
        <v>1.1600000000000001</v>
      </c>
      <c r="F175" s="11">
        <v>0.249</v>
      </c>
      <c r="G175" s="3">
        <f t="shared" si="5"/>
        <v>7.8277777777777793E-2</v>
      </c>
    </row>
    <row r="176" spans="1:7">
      <c r="A176" s="1">
        <v>19</v>
      </c>
      <c r="B176" s="1" t="s">
        <v>13</v>
      </c>
      <c r="C176" s="11">
        <v>40</v>
      </c>
      <c r="D176" s="11">
        <v>39.700000000000003</v>
      </c>
      <c r="E176" s="2">
        <f t="shared" si="4"/>
        <v>0.29999999999999716</v>
      </c>
      <c r="F176" s="11">
        <v>0.24199999999999999</v>
      </c>
      <c r="G176" s="3">
        <f t="shared" si="5"/>
        <v>1.3549999999999928E-2</v>
      </c>
    </row>
    <row r="177" spans="1:7">
      <c r="A177" s="1">
        <v>20</v>
      </c>
      <c r="B177" s="1" t="s">
        <v>13</v>
      </c>
      <c r="C177" s="11">
        <v>40</v>
      </c>
      <c r="D177" s="11">
        <v>39.26</v>
      </c>
      <c r="E177" s="2">
        <f t="shared" si="4"/>
        <v>0.74000000000000199</v>
      </c>
      <c r="F177" s="11">
        <v>0.252</v>
      </c>
      <c r="G177" s="3">
        <f t="shared" si="5"/>
        <v>2.4800000000000051E-2</v>
      </c>
    </row>
    <row r="178" spans="1:7">
      <c r="A178" s="1">
        <v>21</v>
      </c>
      <c r="B178" s="1" t="s">
        <v>13</v>
      </c>
      <c r="C178" s="11">
        <v>25.15</v>
      </c>
      <c r="D178" s="11">
        <v>24.96</v>
      </c>
      <c r="E178" s="2">
        <f t="shared" si="4"/>
        <v>0.18999999999999773</v>
      </c>
      <c r="F178" s="11">
        <v>0.154</v>
      </c>
      <c r="G178" s="3">
        <f t="shared" si="5"/>
        <v>1.3677932405566511E-2</v>
      </c>
    </row>
    <row r="179" spans="1:7">
      <c r="A179" s="1">
        <v>22</v>
      </c>
      <c r="B179" s="1" t="s">
        <v>13</v>
      </c>
      <c r="C179" s="11">
        <v>100</v>
      </c>
      <c r="D179" s="11">
        <v>98.66</v>
      </c>
      <c r="E179" s="2">
        <f t="shared" si="4"/>
        <v>1.3400000000000034</v>
      </c>
      <c r="F179" s="11">
        <v>0.29800000000000199</v>
      </c>
      <c r="G179" s="3">
        <f t="shared" si="5"/>
        <v>1.6380000000000054E-2</v>
      </c>
    </row>
    <row r="180" spans="1:7">
      <c r="A180" s="1">
        <v>23</v>
      </c>
      <c r="B180" s="1" t="s">
        <v>13</v>
      </c>
      <c r="C180" s="11">
        <v>155.47999999999999</v>
      </c>
      <c r="D180" s="11">
        <v>153.12</v>
      </c>
      <c r="E180" s="2">
        <f t="shared" si="4"/>
        <v>2.3599999999999852</v>
      </c>
      <c r="F180" s="11">
        <v>0.24399999999999999</v>
      </c>
      <c r="G180" s="3">
        <f t="shared" si="5"/>
        <v>1.6748134808335383E-2</v>
      </c>
    </row>
    <row r="181" spans="1:7">
      <c r="A181" s="1">
        <v>24</v>
      </c>
      <c r="B181" s="1" t="s">
        <v>13</v>
      </c>
      <c r="C181" s="11">
        <v>80</v>
      </c>
      <c r="D181" s="11">
        <v>79.22</v>
      </c>
      <c r="E181" s="2">
        <f t="shared" si="4"/>
        <v>0.78000000000000114</v>
      </c>
      <c r="F181" s="11">
        <v>0.22700000000000001</v>
      </c>
      <c r="G181" s="3">
        <f t="shared" si="5"/>
        <v>1.2587500000000015E-2</v>
      </c>
    </row>
    <row r="182" spans="1:7">
      <c r="A182" s="1">
        <v>25</v>
      </c>
      <c r="B182" s="1" t="s">
        <v>13</v>
      </c>
      <c r="C182" s="11">
        <v>190.13</v>
      </c>
      <c r="D182" s="11">
        <v>188.08</v>
      </c>
      <c r="E182" s="2">
        <f t="shared" si="4"/>
        <v>2.0499999999999829</v>
      </c>
      <c r="F182" s="11">
        <v>0.154</v>
      </c>
      <c r="G182" s="3">
        <f t="shared" si="5"/>
        <v>1.1592068584652516E-2</v>
      </c>
    </row>
    <row r="183" spans="1:7">
      <c r="A183" s="1">
        <v>26</v>
      </c>
      <c r="B183" s="1" t="s">
        <v>13</v>
      </c>
      <c r="C183" s="11">
        <v>333.89</v>
      </c>
      <c r="D183" s="11">
        <v>329.88</v>
      </c>
      <c r="E183" s="2">
        <f t="shared" si="4"/>
        <v>4.0099999999999909</v>
      </c>
      <c r="F183" s="11">
        <v>0.22800000000000001</v>
      </c>
      <c r="G183" s="3">
        <f t="shared" si="5"/>
        <v>1.2692803018958311E-2</v>
      </c>
    </row>
    <row r="184" spans="1:7">
      <c r="A184" s="1">
        <v>27</v>
      </c>
      <c r="B184" s="1" t="s">
        <v>13</v>
      </c>
      <c r="C184" s="11">
        <v>0</v>
      </c>
      <c r="D184" s="11">
        <v>0</v>
      </c>
      <c r="E184" s="2">
        <f t="shared" si="4"/>
        <v>0</v>
      </c>
      <c r="F184" s="11">
        <v>0.27800000000000002</v>
      </c>
      <c r="G184" s="3" t="e">
        <f t="shared" si="5"/>
        <v>#DIV/0!</v>
      </c>
    </row>
    <row r="185" spans="1:7">
      <c r="A185" s="1">
        <v>28</v>
      </c>
      <c r="B185" s="1" t="s">
        <v>13</v>
      </c>
      <c r="C185" s="11">
        <v>60</v>
      </c>
      <c r="D185" s="11">
        <v>58.78</v>
      </c>
      <c r="E185" s="2">
        <f t="shared" si="4"/>
        <v>1.2199999999999989</v>
      </c>
      <c r="F185" s="11">
        <v>0.19600000000000001</v>
      </c>
      <c r="G185" s="3">
        <f t="shared" si="5"/>
        <v>2.3599999999999979E-2</v>
      </c>
    </row>
    <row r="186" spans="1:7">
      <c r="A186" s="1">
        <v>29</v>
      </c>
      <c r="B186" s="1" t="s">
        <v>13</v>
      </c>
      <c r="C186" s="11">
        <v>60</v>
      </c>
      <c r="D186" s="11">
        <v>59.52</v>
      </c>
      <c r="E186" s="2">
        <f t="shared" si="4"/>
        <v>0.47999999999999687</v>
      </c>
      <c r="F186" s="11">
        <v>0.10100000000000001</v>
      </c>
      <c r="G186" s="3">
        <f t="shared" si="5"/>
        <v>9.6833333333332817E-3</v>
      </c>
    </row>
    <row r="187" spans="1:7">
      <c r="A187" s="1">
        <v>30</v>
      </c>
      <c r="B187" s="1" t="s">
        <v>13</v>
      </c>
      <c r="C187" s="11">
        <v>140</v>
      </c>
      <c r="D187" s="11">
        <v>138.46</v>
      </c>
      <c r="E187" s="2">
        <f t="shared" si="4"/>
        <v>1.539999999999992</v>
      </c>
      <c r="F187" s="11">
        <v>0.222</v>
      </c>
      <c r="G187" s="3">
        <f t="shared" si="5"/>
        <v>1.2585714285714228E-2</v>
      </c>
    </row>
    <row r="188" spans="1:7">
      <c r="A188" s="1">
        <v>31</v>
      </c>
      <c r="B188" s="1" t="s">
        <v>13</v>
      </c>
      <c r="C188" s="11">
        <v>120</v>
      </c>
      <c r="D188" s="11">
        <v>116.86</v>
      </c>
      <c r="E188" s="2">
        <f t="shared" si="4"/>
        <v>3.1400000000000006</v>
      </c>
      <c r="F188" s="11">
        <v>0.17300000000001248</v>
      </c>
      <c r="G188" s="3">
        <f t="shared" si="5"/>
        <v>2.7608333333333443E-2</v>
      </c>
    </row>
    <row r="189" spans="1:7">
      <c r="A189" s="1">
        <v>1</v>
      </c>
      <c r="B189" s="1" t="s">
        <v>14</v>
      </c>
      <c r="C189" s="11">
        <v>105</v>
      </c>
      <c r="D189" s="11">
        <v>104.88</v>
      </c>
      <c r="E189" s="2">
        <f t="shared" si="4"/>
        <v>0.12000000000000455</v>
      </c>
      <c r="F189" s="11">
        <v>1.448</v>
      </c>
      <c r="G189" s="3">
        <f t="shared" si="5"/>
        <v>1.4933333333333377E-2</v>
      </c>
    </row>
    <row r="190" spans="1:7">
      <c r="A190" s="1">
        <v>2</v>
      </c>
      <c r="B190" s="1" t="s">
        <v>14</v>
      </c>
      <c r="C190" s="11">
        <v>215</v>
      </c>
      <c r="D190" s="11">
        <v>214.26</v>
      </c>
      <c r="E190" s="2">
        <f t="shared" si="4"/>
        <v>0.74000000000000909</v>
      </c>
      <c r="F190" s="11">
        <v>2.0569999999999999</v>
      </c>
      <c r="G190" s="3">
        <f t="shared" si="5"/>
        <v>1.3009302325581437E-2</v>
      </c>
    </row>
    <row r="191" spans="1:7">
      <c r="A191" s="1">
        <v>3</v>
      </c>
      <c r="B191" s="1" t="s">
        <v>14</v>
      </c>
      <c r="C191" s="11">
        <v>380</v>
      </c>
      <c r="D191" s="11">
        <v>379.5</v>
      </c>
      <c r="E191" s="2">
        <f t="shared" si="4"/>
        <v>0.5</v>
      </c>
      <c r="F191" s="11">
        <v>3.4889999999999999</v>
      </c>
      <c r="G191" s="3">
        <f t="shared" si="5"/>
        <v>1.0497368421052632E-2</v>
      </c>
    </row>
    <row r="192" spans="1:7">
      <c r="A192" s="1">
        <v>4</v>
      </c>
      <c r="B192" s="1" t="s">
        <v>14</v>
      </c>
      <c r="C192" s="11">
        <v>220</v>
      </c>
      <c r="D192" s="11">
        <v>218.9</v>
      </c>
      <c r="E192" s="2">
        <f t="shared" si="4"/>
        <v>1.0999999999999943</v>
      </c>
      <c r="F192" s="11">
        <v>1.899</v>
      </c>
      <c r="G192" s="3">
        <f t="shared" si="5"/>
        <v>1.3631818181818156E-2</v>
      </c>
    </row>
    <row r="193" spans="1:7">
      <c r="A193" s="1">
        <v>5</v>
      </c>
      <c r="B193" s="1" t="s">
        <v>14</v>
      </c>
      <c r="C193" s="11">
        <v>60</v>
      </c>
      <c r="D193" s="11">
        <v>59.9</v>
      </c>
      <c r="E193" s="2">
        <f t="shared" si="4"/>
        <v>0.10000000000000142</v>
      </c>
      <c r="F193" s="11">
        <v>1.395</v>
      </c>
      <c r="G193" s="3">
        <f t="shared" si="5"/>
        <v>2.4916666666666691E-2</v>
      </c>
    </row>
    <row r="194" spans="1:7">
      <c r="A194" s="1">
        <v>6</v>
      </c>
      <c r="B194" s="1" t="s">
        <v>14</v>
      </c>
      <c r="C194" s="11">
        <v>200</v>
      </c>
      <c r="D194" s="11">
        <v>200.04</v>
      </c>
      <c r="E194" s="2">
        <f t="shared" si="4"/>
        <v>-3.9999999999992042E-2</v>
      </c>
      <c r="F194" s="11">
        <v>1.3109999999999999</v>
      </c>
      <c r="G194" s="3">
        <f t="shared" si="5"/>
        <v>6.3550000000000394E-3</v>
      </c>
    </row>
    <row r="195" spans="1:7">
      <c r="A195" s="1">
        <v>7</v>
      </c>
      <c r="B195" s="1" t="s">
        <v>14</v>
      </c>
      <c r="C195" s="11">
        <v>200</v>
      </c>
      <c r="D195" s="11">
        <v>199.3</v>
      </c>
      <c r="E195" s="2">
        <f t="shared" si="4"/>
        <v>0.69999999999998863</v>
      </c>
      <c r="F195" s="11">
        <v>2.9209999999999998</v>
      </c>
      <c r="G195" s="3">
        <f t="shared" si="5"/>
        <v>1.8104999999999941E-2</v>
      </c>
    </row>
    <row r="196" spans="1:7">
      <c r="A196" s="1">
        <v>10</v>
      </c>
      <c r="B196" s="1" t="s">
        <v>14</v>
      </c>
      <c r="C196" s="11">
        <v>258.86</v>
      </c>
      <c r="D196" s="11">
        <v>256.60000000000002</v>
      </c>
      <c r="E196" s="2">
        <f t="shared" ref="E196:E259" si="6">C196-D196</f>
        <v>2.2599999999999909</v>
      </c>
      <c r="F196" s="11">
        <v>1.5089999999999999</v>
      </c>
      <c r="G196" s="3">
        <f t="shared" ref="G196:G259" si="7">(E196+F196)/C196</f>
        <v>1.4559993819052734E-2</v>
      </c>
    </row>
    <row r="197" spans="1:7">
      <c r="A197" s="1">
        <v>8</v>
      </c>
      <c r="B197" s="1" t="s">
        <v>14</v>
      </c>
      <c r="C197" s="11">
        <v>200</v>
      </c>
      <c r="D197" s="11">
        <v>198.7</v>
      </c>
      <c r="E197" s="2">
        <f t="shared" si="6"/>
        <v>1.3000000000000114</v>
      </c>
      <c r="F197" s="11">
        <v>1.395</v>
      </c>
      <c r="G197" s="3">
        <f t="shared" si="7"/>
        <v>1.3475000000000056E-2</v>
      </c>
    </row>
    <row r="198" spans="1:7">
      <c r="A198" s="1">
        <v>9</v>
      </c>
      <c r="B198" s="1" t="s">
        <v>14</v>
      </c>
      <c r="C198" s="11">
        <v>105.98400000000001</v>
      </c>
      <c r="D198" s="11">
        <v>104.00000000000001</v>
      </c>
      <c r="E198" s="2">
        <f t="shared" si="6"/>
        <v>1.9839999999999947</v>
      </c>
      <c r="F198" s="11">
        <v>1.5549999999999999</v>
      </c>
      <c r="G198" s="3">
        <f t="shared" si="7"/>
        <v>3.3391832729468544E-2</v>
      </c>
    </row>
    <row r="199" spans="1:7">
      <c r="A199" s="1">
        <v>11</v>
      </c>
      <c r="B199" s="1" t="s">
        <v>14</v>
      </c>
      <c r="C199" s="11">
        <v>96.11</v>
      </c>
      <c r="D199" s="11">
        <v>94.7</v>
      </c>
      <c r="E199" s="2">
        <f t="shared" si="6"/>
        <v>1.4099999999999966</v>
      </c>
      <c r="F199" s="11">
        <v>1.409</v>
      </c>
      <c r="G199" s="3">
        <f t="shared" si="7"/>
        <v>2.9330974924565566E-2</v>
      </c>
    </row>
    <row r="200" spans="1:7">
      <c r="A200" s="1">
        <v>12</v>
      </c>
      <c r="B200" s="1" t="s">
        <v>14</v>
      </c>
      <c r="C200" s="11">
        <v>278.39999999999998</v>
      </c>
      <c r="D200" s="11">
        <v>276.8</v>
      </c>
      <c r="E200" s="2">
        <f t="shared" si="6"/>
        <v>1.5999999999999659</v>
      </c>
      <c r="F200" s="11">
        <v>4.1280000000000001</v>
      </c>
      <c r="G200" s="3">
        <f t="shared" si="7"/>
        <v>2.057471264367804E-2</v>
      </c>
    </row>
    <row r="201" spans="1:7">
      <c r="A201" s="1">
        <v>13</v>
      </c>
      <c r="B201" s="1" t="s">
        <v>14</v>
      </c>
      <c r="C201" s="11">
        <v>197.15</v>
      </c>
      <c r="D201" s="11">
        <v>196.5</v>
      </c>
      <c r="E201" s="2">
        <f t="shared" si="6"/>
        <v>0.65000000000000568</v>
      </c>
      <c r="F201" s="11">
        <v>1.8680000000000001</v>
      </c>
      <c r="G201" s="3">
        <f t="shared" si="7"/>
        <v>1.2772001014456028E-2</v>
      </c>
    </row>
    <row r="202" spans="1:7">
      <c r="A202" s="1">
        <v>14</v>
      </c>
      <c r="B202" s="1" t="s">
        <v>14</v>
      </c>
      <c r="C202" s="11">
        <v>233.14999999999998</v>
      </c>
      <c r="D202" s="11">
        <v>233.2</v>
      </c>
      <c r="E202" s="2">
        <f t="shared" si="6"/>
        <v>-5.0000000000011369E-2</v>
      </c>
      <c r="F202" s="11">
        <v>2.11</v>
      </c>
      <c r="G202" s="3">
        <f t="shared" si="7"/>
        <v>8.8355136178425425E-3</v>
      </c>
    </row>
    <row r="203" spans="1:7">
      <c r="A203" s="1">
        <v>15</v>
      </c>
      <c r="B203" s="1" t="s">
        <v>14</v>
      </c>
      <c r="C203" s="11">
        <v>118.18</v>
      </c>
      <c r="D203" s="11">
        <v>116.24</v>
      </c>
      <c r="E203" s="2">
        <f t="shared" si="6"/>
        <v>1.9400000000000119</v>
      </c>
      <c r="F203" s="11">
        <v>1.835</v>
      </c>
      <c r="G203" s="3">
        <f t="shared" si="7"/>
        <v>3.1942799119986563E-2</v>
      </c>
    </row>
    <row r="204" spans="1:7">
      <c r="A204" s="1">
        <v>16</v>
      </c>
      <c r="B204" s="1" t="s">
        <v>14</v>
      </c>
      <c r="C204" s="11">
        <v>203.5</v>
      </c>
      <c r="D204" s="11">
        <v>203</v>
      </c>
      <c r="E204" s="2">
        <f t="shared" si="6"/>
        <v>0.5</v>
      </c>
      <c r="F204" s="11">
        <v>1.55</v>
      </c>
      <c r="G204" s="3">
        <f t="shared" si="7"/>
        <v>1.0073710073710072E-2</v>
      </c>
    </row>
    <row r="205" spans="1:7">
      <c r="A205" s="1">
        <v>17</v>
      </c>
      <c r="B205" s="1" t="s">
        <v>14</v>
      </c>
      <c r="C205" s="11">
        <v>169.34</v>
      </c>
      <c r="D205" s="11">
        <v>167.12</v>
      </c>
      <c r="E205" s="2">
        <f t="shared" si="6"/>
        <v>2.2199999999999989</v>
      </c>
      <c r="F205" s="11">
        <v>2.42</v>
      </c>
      <c r="G205" s="3">
        <f t="shared" si="7"/>
        <v>2.7400496043462848E-2</v>
      </c>
    </row>
    <row r="206" spans="1:7">
      <c r="A206" s="1">
        <v>18</v>
      </c>
      <c r="B206" s="1" t="s">
        <v>14</v>
      </c>
      <c r="C206" s="11">
        <v>168.66</v>
      </c>
      <c r="D206" s="11">
        <v>167.9</v>
      </c>
      <c r="E206" s="2">
        <f t="shared" si="6"/>
        <v>0.75999999999999091</v>
      </c>
      <c r="F206" s="11">
        <v>1.42</v>
      </c>
      <c r="G206" s="3">
        <f t="shared" si="7"/>
        <v>1.292541207162333E-2</v>
      </c>
    </row>
    <row r="207" spans="1:7">
      <c r="A207" s="1">
        <v>19</v>
      </c>
      <c r="B207" s="1" t="s">
        <v>14</v>
      </c>
      <c r="C207" s="11">
        <v>65.58</v>
      </c>
      <c r="D207" s="11">
        <v>65.14</v>
      </c>
      <c r="E207" s="2">
        <f t="shared" si="6"/>
        <v>0.43999999999999773</v>
      </c>
      <c r="F207" s="11">
        <v>0.72</v>
      </c>
      <c r="G207" s="3">
        <f t="shared" si="7"/>
        <v>1.768831960963705E-2</v>
      </c>
    </row>
    <row r="208" spans="1:7">
      <c r="A208" s="1">
        <v>20</v>
      </c>
      <c r="B208" s="1" t="s">
        <v>14</v>
      </c>
      <c r="C208" s="11">
        <v>326.44</v>
      </c>
      <c r="D208" s="11">
        <v>324.89999999999998</v>
      </c>
      <c r="E208" s="2">
        <f t="shared" si="6"/>
        <v>1.5400000000000205</v>
      </c>
      <c r="F208" s="11">
        <v>4.508</v>
      </c>
      <c r="G208" s="3">
        <f t="shared" si="7"/>
        <v>1.8527141281705736E-2</v>
      </c>
    </row>
    <row r="209" spans="1:7">
      <c r="A209" s="1">
        <v>21</v>
      </c>
      <c r="B209" s="1" t="s">
        <v>14</v>
      </c>
      <c r="C209" s="11">
        <v>210.95</v>
      </c>
      <c r="D209" s="11">
        <v>208.04</v>
      </c>
      <c r="E209" s="2">
        <f t="shared" si="6"/>
        <v>2.9099999999999966</v>
      </c>
      <c r="F209" s="11">
        <v>2.1419999999999999</v>
      </c>
      <c r="G209" s="3">
        <f t="shared" si="7"/>
        <v>2.394880303389427E-2</v>
      </c>
    </row>
    <row r="210" spans="1:7">
      <c r="A210" s="1">
        <v>22</v>
      </c>
      <c r="B210" s="1" t="s">
        <v>14</v>
      </c>
      <c r="C210" s="11">
        <v>398.04399999999998</v>
      </c>
      <c r="D210" s="11">
        <v>396.5</v>
      </c>
      <c r="E210" s="2">
        <f t="shared" si="6"/>
        <v>1.5439999999999827</v>
      </c>
      <c r="F210" s="11">
        <v>4.3403999999999598</v>
      </c>
      <c r="G210" s="3">
        <f t="shared" si="7"/>
        <v>1.4783290289515588E-2</v>
      </c>
    </row>
    <row r="211" spans="1:7">
      <c r="A211" s="1">
        <v>23</v>
      </c>
      <c r="B211" s="1" t="s">
        <v>14</v>
      </c>
      <c r="C211" s="11">
        <v>303.36</v>
      </c>
      <c r="D211" s="11">
        <v>302.98</v>
      </c>
      <c r="E211" s="2">
        <f t="shared" si="6"/>
        <v>0.37999999999999545</v>
      </c>
      <c r="F211" s="11">
        <v>4.0129999999999999</v>
      </c>
      <c r="G211" s="3">
        <f t="shared" si="7"/>
        <v>1.4481144514767917E-2</v>
      </c>
    </row>
    <row r="212" spans="1:7">
      <c r="A212" s="1">
        <v>24</v>
      </c>
      <c r="B212" s="1" t="s">
        <v>14</v>
      </c>
      <c r="C212" s="11">
        <v>127.08</v>
      </c>
      <c r="D212" s="11">
        <v>126.77</v>
      </c>
      <c r="E212" s="2">
        <f t="shared" si="6"/>
        <v>0.31000000000000227</v>
      </c>
      <c r="F212" s="11">
        <v>0.96899999999999997</v>
      </c>
      <c r="G212" s="3">
        <f>(E212+F212)/C212</f>
        <v>1.0064526282656611E-2</v>
      </c>
    </row>
    <row r="213" spans="1:7">
      <c r="A213" s="1">
        <v>25</v>
      </c>
      <c r="B213" s="1" t="s">
        <v>14</v>
      </c>
      <c r="C213" s="11">
        <v>104.6</v>
      </c>
      <c r="D213" s="11">
        <v>103.66</v>
      </c>
      <c r="E213" s="2">
        <f t="shared" si="6"/>
        <v>0.93999999999999773</v>
      </c>
      <c r="F213" s="11">
        <v>2.1349999999999998</v>
      </c>
      <c r="G213" s="3">
        <f t="shared" si="7"/>
        <v>2.9397705544933057E-2</v>
      </c>
    </row>
    <row r="214" spans="1:7">
      <c r="A214" s="1">
        <v>26</v>
      </c>
      <c r="B214" s="1" t="s">
        <v>14</v>
      </c>
      <c r="C214" s="11">
        <v>496.18</v>
      </c>
      <c r="D214" s="11">
        <v>495.52</v>
      </c>
      <c r="E214" s="2">
        <f t="shared" si="6"/>
        <v>0.66000000000002501</v>
      </c>
      <c r="F214" s="11">
        <v>0</v>
      </c>
      <c r="G214" s="3">
        <f t="shared" si="7"/>
        <v>1.3301624410496694E-3</v>
      </c>
    </row>
    <row r="215" spans="1:7">
      <c r="A215" s="1">
        <v>27</v>
      </c>
      <c r="B215" s="1" t="s">
        <v>14</v>
      </c>
      <c r="C215" s="11">
        <v>0</v>
      </c>
      <c r="D215" s="11">
        <v>0</v>
      </c>
      <c r="E215" s="2">
        <f t="shared" si="6"/>
        <v>0</v>
      </c>
      <c r="F215" s="11">
        <v>3.2450000000000001</v>
      </c>
      <c r="G215" s="3" t="e">
        <f t="shared" si="7"/>
        <v>#DIV/0!</v>
      </c>
    </row>
    <row r="216" spans="1:7">
      <c r="A216" s="1">
        <v>28</v>
      </c>
      <c r="B216" s="1" t="s">
        <v>14</v>
      </c>
      <c r="C216" s="11">
        <v>180</v>
      </c>
      <c r="D216" s="11">
        <v>179.54</v>
      </c>
      <c r="E216" s="2">
        <f t="shared" si="6"/>
        <v>0.46000000000000796</v>
      </c>
      <c r="F216" s="11">
        <v>1.625</v>
      </c>
      <c r="G216" s="3">
        <f t="shared" si="7"/>
        <v>1.1583333333333378E-2</v>
      </c>
    </row>
    <row r="217" spans="1:7">
      <c r="A217" s="1">
        <v>29</v>
      </c>
      <c r="B217" s="1" t="s">
        <v>14</v>
      </c>
      <c r="C217" s="11">
        <v>140</v>
      </c>
      <c r="D217" s="11">
        <v>139.38</v>
      </c>
      <c r="E217" s="2">
        <f t="shared" si="6"/>
        <v>0.62000000000000455</v>
      </c>
      <c r="F217" s="11">
        <v>1.3839999999999999</v>
      </c>
      <c r="G217" s="3">
        <f t="shared" si="7"/>
        <v>1.4314285714285746E-2</v>
      </c>
    </row>
    <row r="218" spans="1:7">
      <c r="A218" s="1">
        <v>30</v>
      </c>
      <c r="B218" s="1" t="s">
        <v>14</v>
      </c>
      <c r="C218" s="11">
        <v>200</v>
      </c>
      <c r="D218" s="11">
        <v>199.5</v>
      </c>
      <c r="E218" s="2">
        <f t="shared" si="6"/>
        <v>0.5</v>
      </c>
      <c r="F218" s="11">
        <v>1.409999999999954</v>
      </c>
      <c r="G218" s="3">
        <f t="shared" si="7"/>
        <v>9.5499999999997705E-3</v>
      </c>
    </row>
    <row r="219" spans="1:7">
      <c r="A219" s="1">
        <v>31</v>
      </c>
      <c r="B219" s="1" t="s">
        <v>14</v>
      </c>
      <c r="C219" s="11">
        <v>200</v>
      </c>
      <c r="D219" s="11">
        <v>198.88</v>
      </c>
      <c r="E219" s="2">
        <f t="shared" si="6"/>
        <v>1.1200000000000045</v>
      </c>
      <c r="F219" s="11">
        <v>2.09</v>
      </c>
      <c r="G219" s="3">
        <f t="shared" si="7"/>
        <v>1.6050000000000023E-2</v>
      </c>
    </row>
    <row r="220" spans="1:7">
      <c r="A220" s="1">
        <v>1</v>
      </c>
      <c r="B220" s="1" t="s">
        <v>15</v>
      </c>
      <c r="C220" s="11">
        <v>80</v>
      </c>
      <c r="D220" s="11">
        <v>79.34</v>
      </c>
      <c r="E220" s="2">
        <f t="shared" si="6"/>
        <v>0.65999999999999659</v>
      </c>
      <c r="F220" s="11">
        <v>1.1816099999999992</v>
      </c>
      <c r="G220" s="3">
        <f t="shared" si="7"/>
        <v>2.3020124999999947E-2</v>
      </c>
    </row>
    <row r="221" spans="1:7">
      <c r="A221" s="1">
        <v>2</v>
      </c>
      <c r="B221" s="1" t="s">
        <v>15</v>
      </c>
      <c r="C221" s="11">
        <v>80</v>
      </c>
      <c r="D221" s="11">
        <v>79.290000000000006</v>
      </c>
      <c r="E221" s="2">
        <f t="shared" si="6"/>
        <v>0.70999999999999375</v>
      </c>
      <c r="F221" s="11">
        <v>0.82199999999999995</v>
      </c>
      <c r="G221" s="3">
        <f t="shared" si="7"/>
        <v>1.9149999999999924E-2</v>
      </c>
    </row>
    <row r="222" spans="1:7">
      <c r="A222" s="1">
        <v>3</v>
      </c>
      <c r="B222" s="1" t="s">
        <v>15</v>
      </c>
      <c r="C222" s="11">
        <v>0</v>
      </c>
      <c r="D222" s="11">
        <v>0</v>
      </c>
      <c r="E222" s="2">
        <f t="shared" si="6"/>
        <v>0</v>
      </c>
      <c r="F222" s="11">
        <v>0.24199999999999999</v>
      </c>
      <c r="G222" s="3" t="e">
        <f t="shared" si="7"/>
        <v>#DIV/0!</v>
      </c>
    </row>
    <row r="223" spans="1:7">
      <c r="A223" s="1">
        <v>4</v>
      </c>
      <c r="B223" s="1" t="s">
        <v>15</v>
      </c>
      <c r="C223" s="11">
        <v>0</v>
      </c>
      <c r="D223" s="11">
        <v>0</v>
      </c>
      <c r="E223" s="2">
        <f t="shared" si="6"/>
        <v>0</v>
      </c>
      <c r="F223" s="11">
        <v>0.36099999999999999</v>
      </c>
      <c r="G223" s="3" t="e">
        <f t="shared" si="7"/>
        <v>#DIV/0!</v>
      </c>
    </row>
    <row r="224" spans="1:7">
      <c r="A224" s="1">
        <v>5</v>
      </c>
      <c r="B224" s="1" t="s">
        <v>15</v>
      </c>
      <c r="C224" s="11">
        <v>0</v>
      </c>
      <c r="D224" s="11">
        <v>0</v>
      </c>
      <c r="E224" s="2">
        <f t="shared" si="6"/>
        <v>0</v>
      </c>
      <c r="F224" s="11">
        <v>0.16800000000000001</v>
      </c>
      <c r="G224" s="3" t="e">
        <f t="shared" si="7"/>
        <v>#DIV/0!</v>
      </c>
    </row>
    <row r="225" spans="1:7">
      <c r="A225" s="1">
        <v>6</v>
      </c>
      <c r="B225" s="1" t="s">
        <v>15</v>
      </c>
      <c r="C225" s="11">
        <v>20</v>
      </c>
      <c r="D225" s="11">
        <v>19.829999999999998</v>
      </c>
      <c r="E225" s="2">
        <f t="shared" si="6"/>
        <v>0.17000000000000171</v>
      </c>
      <c r="F225" s="11">
        <v>0.373</v>
      </c>
      <c r="G225" s="3">
        <f t="shared" si="7"/>
        <v>2.7150000000000084E-2</v>
      </c>
    </row>
    <row r="226" spans="1:7">
      <c r="A226" s="1">
        <v>7</v>
      </c>
      <c r="B226" s="1" t="s">
        <v>15</v>
      </c>
      <c r="C226" s="11">
        <v>0</v>
      </c>
      <c r="D226" s="11">
        <v>0</v>
      </c>
      <c r="E226" s="2">
        <f t="shared" si="6"/>
        <v>0</v>
      </c>
      <c r="F226" s="11">
        <v>0.31900000000000001</v>
      </c>
      <c r="G226" s="3" t="e">
        <f t="shared" si="7"/>
        <v>#DIV/0!</v>
      </c>
    </row>
    <row r="227" spans="1:7">
      <c r="A227" s="1">
        <v>10</v>
      </c>
      <c r="B227" s="1" t="s">
        <v>15</v>
      </c>
      <c r="C227" s="11">
        <v>25</v>
      </c>
      <c r="D227" s="11">
        <v>25</v>
      </c>
      <c r="E227" s="2">
        <f t="shared" si="6"/>
        <v>0</v>
      </c>
      <c r="F227" s="11">
        <v>0.108</v>
      </c>
      <c r="G227" s="3">
        <f t="shared" si="7"/>
        <v>4.3200000000000001E-3</v>
      </c>
    </row>
    <row r="228" spans="1:7">
      <c r="A228" s="1">
        <v>8</v>
      </c>
      <c r="B228" s="1" t="s">
        <v>15</v>
      </c>
      <c r="C228" s="11">
        <v>20</v>
      </c>
      <c r="D228" s="11">
        <v>19.809999999999999</v>
      </c>
      <c r="E228" s="2">
        <f t="shared" si="6"/>
        <v>0.19000000000000128</v>
      </c>
      <c r="F228" s="11">
        <v>0.42399999999999999</v>
      </c>
      <c r="G228" s="3">
        <f t="shared" si="7"/>
        <v>3.0700000000000061E-2</v>
      </c>
    </row>
    <row r="229" spans="1:7">
      <c r="A229" s="1">
        <v>9</v>
      </c>
      <c r="B229" s="1" t="s">
        <v>15</v>
      </c>
      <c r="C229" s="11">
        <v>20</v>
      </c>
      <c r="D229" s="11">
        <v>19.82</v>
      </c>
      <c r="E229" s="2">
        <f t="shared" si="6"/>
        <v>0.17999999999999972</v>
      </c>
      <c r="F229" s="11">
        <v>0.42499999999999999</v>
      </c>
      <c r="G229" s="3">
        <f t="shared" si="7"/>
        <v>3.0249999999999989E-2</v>
      </c>
    </row>
    <row r="230" spans="1:7">
      <c r="A230" s="1">
        <v>11</v>
      </c>
      <c r="B230" s="1" t="s">
        <v>15</v>
      </c>
      <c r="C230" s="11">
        <v>0</v>
      </c>
      <c r="D230" s="11">
        <v>0</v>
      </c>
      <c r="E230" s="2">
        <f t="shared" si="6"/>
        <v>0</v>
      </c>
      <c r="F230" s="11">
        <v>0.251</v>
      </c>
      <c r="G230" s="3" t="e">
        <f t="shared" si="7"/>
        <v>#DIV/0!</v>
      </c>
    </row>
    <row r="231" spans="1:7">
      <c r="A231" s="1">
        <v>12</v>
      </c>
      <c r="B231" s="1" t="s">
        <v>15</v>
      </c>
      <c r="C231" s="11">
        <v>20</v>
      </c>
      <c r="D231" s="11">
        <v>19.89</v>
      </c>
      <c r="E231" s="2">
        <f t="shared" si="6"/>
        <v>0.10999999999999943</v>
      </c>
      <c r="F231" s="11">
        <v>0.22500000000000001</v>
      </c>
      <c r="G231" s="3">
        <f t="shared" si="7"/>
        <v>1.674999999999997E-2</v>
      </c>
    </row>
    <row r="232" spans="1:7">
      <c r="A232" s="1">
        <v>13</v>
      </c>
      <c r="B232" s="1" t="s">
        <v>15</v>
      </c>
      <c r="C232" s="11">
        <v>0</v>
      </c>
      <c r="D232" s="11">
        <v>0</v>
      </c>
      <c r="E232" s="2">
        <f t="shared" si="6"/>
        <v>0</v>
      </c>
      <c r="F232" s="11">
        <v>0.182</v>
      </c>
      <c r="G232" s="3" t="e">
        <f t="shared" si="7"/>
        <v>#DIV/0!</v>
      </c>
    </row>
    <row r="233" spans="1:7">
      <c r="A233" s="1">
        <v>14</v>
      </c>
      <c r="B233" s="1" t="s">
        <v>15</v>
      </c>
      <c r="C233" s="11">
        <v>0</v>
      </c>
      <c r="D233" s="11">
        <v>0</v>
      </c>
      <c r="E233" s="2">
        <f t="shared" si="6"/>
        <v>0</v>
      </c>
      <c r="F233" s="11">
        <v>9.1999999999999998E-2</v>
      </c>
      <c r="G233" s="3" t="e">
        <f t="shared" si="7"/>
        <v>#DIV/0!</v>
      </c>
    </row>
    <row r="234" spans="1:7">
      <c r="A234" s="1">
        <v>15</v>
      </c>
      <c r="B234" s="1" t="s">
        <v>15</v>
      </c>
      <c r="C234" s="11">
        <v>147.94999999999999</v>
      </c>
      <c r="D234" s="11">
        <v>146.78</v>
      </c>
      <c r="E234" s="2">
        <f t="shared" si="6"/>
        <v>1.1699999999999875</v>
      </c>
      <c r="F234" s="11">
        <v>2.2589999999999999</v>
      </c>
      <c r="G234" s="3">
        <f t="shared" si="7"/>
        <v>2.3176748901655882E-2</v>
      </c>
    </row>
    <row r="235" spans="1:7">
      <c r="A235" s="1">
        <v>16</v>
      </c>
      <c r="B235" s="1" t="s">
        <v>15</v>
      </c>
      <c r="C235" s="11">
        <v>0</v>
      </c>
      <c r="D235" s="11">
        <v>0</v>
      </c>
      <c r="E235" s="2">
        <f t="shared" si="6"/>
        <v>0</v>
      </c>
      <c r="F235" s="11">
        <v>0.108</v>
      </c>
      <c r="G235" s="3" t="e">
        <f t="shared" si="7"/>
        <v>#DIV/0!</v>
      </c>
    </row>
    <row r="236" spans="1:7">
      <c r="A236" s="1">
        <v>17</v>
      </c>
      <c r="B236" s="1" t="s">
        <v>15</v>
      </c>
      <c r="C236" s="11">
        <v>0</v>
      </c>
      <c r="D236" s="11">
        <v>0</v>
      </c>
      <c r="E236" s="2">
        <f t="shared" si="6"/>
        <v>0</v>
      </c>
      <c r="F236" s="11">
        <v>7.0000000000000007E-2</v>
      </c>
      <c r="G236" s="3" t="e">
        <f t="shared" si="7"/>
        <v>#DIV/0!</v>
      </c>
    </row>
    <row r="237" spans="1:7">
      <c r="A237" s="1">
        <v>18</v>
      </c>
      <c r="B237" s="1" t="s">
        <v>15</v>
      </c>
      <c r="C237" s="11">
        <v>20</v>
      </c>
      <c r="D237" s="11">
        <v>19.84</v>
      </c>
      <c r="E237" s="2">
        <f t="shared" si="6"/>
        <v>0.16000000000000014</v>
      </c>
      <c r="F237" s="11">
        <v>0.19900000000000001</v>
      </c>
      <c r="G237" s="3">
        <f t="shared" si="7"/>
        <v>1.7950000000000008E-2</v>
      </c>
    </row>
    <row r="238" spans="1:7">
      <c r="A238" s="1">
        <v>19</v>
      </c>
      <c r="B238" s="1" t="s">
        <v>15</v>
      </c>
      <c r="C238" s="11">
        <v>20</v>
      </c>
      <c r="D238" s="11">
        <v>19.809999999999999</v>
      </c>
      <c r="E238" s="2">
        <f t="shared" si="6"/>
        <v>0.19000000000000128</v>
      </c>
      <c r="F238" s="11">
        <v>0.16600000000000001</v>
      </c>
      <c r="G238" s="3">
        <f t="shared" si="7"/>
        <v>1.7800000000000066E-2</v>
      </c>
    </row>
    <row r="239" spans="1:7">
      <c r="A239" s="1">
        <v>20</v>
      </c>
      <c r="B239" s="1" t="s">
        <v>15</v>
      </c>
      <c r="C239" s="11">
        <v>66.91</v>
      </c>
      <c r="D239" s="11">
        <v>66.45</v>
      </c>
      <c r="E239" s="2">
        <f t="shared" si="6"/>
        <v>0.45999999999999375</v>
      </c>
      <c r="F239" s="11">
        <v>0.85899999999999999</v>
      </c>
      <c r="G239" s="3">
        <f t="shared" si="7"/>
        <v>1.9713047377073589E-2</v>
      </c>
    </row>
    <row r="240" spans="1:7">
      <c r="A240" s="1">
        <v>21</v>
      </c>
      <c r="B240" s="1" t="s">
        <v>15</v>
      </c>
      <c r="C240" s="11">
        <v>25.15</v>
      </c>
      <c r="D240" s="11">
        <v>24.96</v>
      </c>
      <c r="E240" s="2">
        <f t="shared" si="6"/>
        <v>0.18999999999999773</v>
      </c>
      <c r="F240" s="11">
        <v>0.154</v>
      </c>
      <c r="G240" s="3">
        <f t="shared" si="7"/>
        <v>1.3677932405566511E-2</v>
      </c>
    </row>
    <row r="241" spans="1:7">
      <c r="A241" s="1">
        <v>22</v>
      </c>
      <c r="B241" s="1" t="s">
        <v>15</v>
      </c>
      <c r="C241" s="11">
        <v>20</v>
      </c>
      <c r="D241" s="11">
        <v>19.87</v>
      </c>
      <c r="E241" s="2">
        <f t="shared" si="6"/>
        <v>0.12999999999999901</v>
      </c>
      <c r="F241" s="11">
        <v>1.21899</v>
      </c>
      <c r="G241" s="3">
        <f t="shared" si="7"/>
        <v>6.7449499999999954E-2</v>
      </c>
    </row>
    <row r="242" spans="1:7">
      <c r="A242" s="1">
        <v>23</v>
      </c>
      <c r="B242" s="1" t="s">
        <v>15</v>
      </c>
      <c r="C242" s="11">
        <v>0</v>
      </c>
      <c r="D242" s="11">
        <v>0</v>
      </c>
      <c r="E242" s="2">
        <f t="shared" si="6"/>
        <v>0</v>
      </c>
      <c r="F242" s="11">
        <v>8.3000000000000004E-2</v>
      </c>
      <c r="G242" s="3" t="e">
        <f t="shared" si="7"/>
        <v>#DIV/0!</v>
      </c>
    </row>
    <row r="243" spans="1:7">
      <c r="A243" s="1">
        <v>24</v>
      </c>
      <c r="B243" s="1" t="s">
        <v>15</v>
      </c>
      <c r="C243" s="11">
        <v>0</v>
      </c>
      <c r="D243" s="11">
        <v>0</v>
      </c>
      <c r="E243" s="2">
        <f t="shared" si="6"/>
        <v>0</v>
      </c>
      <c r="F243" s="11">
        <v>0.106</v>
      </c>
      <c r="G243" s="3" t="e">
        <f t="shared" si="7"/>
        <v>#DIV/0!</v>
      </c>
    </row>
    <row r="244" spans="1:7">
      <c r="A244" s="1">
        <v>25</v>
      </c>
      <c r="B244" s="1" t="s">
        <v>15</v>
      </c>
      <c r="C244" s="11">
        <v>0</v>
      </c>
      <c r="D244" s="11">
        <v>0</v>
      </c>
      <c r="E244" s="2">
        <f t="shared" si="6"/>
        <v>0</v>
      </c>
      <c r="F244" s="11">
        <v>0.28399999999999997</v>
      </c>
      <c r="G244" s="3" t="e">
        <f t="shared" si="7"/>
        <v>#DIV/0!</v>
      </c>
    </row>
    <row r="245" spans="1:7">
      <c r="A245" s="1">
        <v>26</v>
      </c>
      <c r="B245" s="1" t="s">
        <v>15</v>
      </c>
      <c r="C245" s="11">
        <v>120</v>
      </c>
      <c r="D245" s="11">
        <v>119.06</v>
      </c>
      <c r="E245" s="2">
        <f t="shared" si="6"/>
        <v>0.93999999999999773</v>
      </c>
      <c r="F245" s="11">
        <v>2.4209999999999998</v>
      </c>
      <c r="G245" s="3">
        <f t="shared" si="7"/>
        <v>2.8008333333333312E-2</v>
      </c>
    </row>
    <row r="246" spans="1:7">
      <c r="A246" s="1">
        <v>27</v>
      </c>
      <c r="B246" s="1" t="s">
        <v>15</v>
      </c>
      <c r="C246" s="11">
        <v>0</v>
      </c>
      <c r="D246" s="11">
        <v>0</v>
      </c>
      <c r="E246" s="2">
        <f t="shared" si="6"/>
        <v>0</v>
      </c>
      <c r="F246" s="11">
        <v>0.12</v>
      </c>
      <c r="G246" s="3" t="e">
        <f t="shared" si="7"/>
        <v>#DIV/0!</v>
      </c>
    </row>
    <row r="247" spans="1:7">
      <c r="A247" s="1">
        <v>28</v>
      </c>
      <c r="B247" s="1" t="s">
        <v>15</v>
      </c>
      <c r="C247" s="11">
        <v>86.8</v>
      </c>
      <c r="D247" s="11">
        <v>86.26</v>
      </c>
      <c r="E247" s="2">
        <f t="shared" si="6"/>
        <v>0.53999999999999204</v>
      </c>
      <c r="F247" s="11">
        <v>1.31</v>
      </c>
      <c r="G247" s="3">
        <f t="shared" si="7"/>
        <v>2.131336405529945E-2</v>
      </c>
    </row>
    <row r="248" spans="1:7">
      <c r="A248" s="1">
        <v>29</v>
      </c>
      <c r="B248" s="1" t="s">
        <v>15</v>
      </c>
      <c r="C248" s="11">
        <v>40</v>
      </c>
      <c r="D248" s="11">
        <v>39.72</v>
      </c>
      <c r="E248" s="2">
        <f t="shared" si="6"/>
        <v>0.28000000000000114</v>
      </c>
      <c r="F248" s="11">
        <v>1.1200000000000001</v>
      </c>
      <c r="G248" s="3">
        <f t="shared" si="7"/>
        <v>3.5000000000000031E-2</v>
      </c>
    </row>
    <row r="249" spans="1:7">
      <c r="A249" s="1">
        <v>30</v>
      </c>
      <c r="B249" s="1" t="s">
        <v>15</v>
      </c>
      <c r="C249" s="11">
        <v>0</v>
      </c>
      <c r="D249" s="11">
        <v>0</v>
      </c>
      <c r="E249" s="2">
        <f t="shared" si="6"/>
        <v>0</v>
      </c>
      <c r="F249" s="11">
        <v>0.13700000000000001</v>
      </c>
      <c r="G249" s="3" t="e">
        <f t="shared" si="7"/>
        <v>#DIV/0!</v>
      </c>
    </row>
    <row r="250" spans="1:7">
      <c r="A250" s="1">
        <v>31</v>
      </c>
      <c r="B250" s="1" t="s">
        <v>15</v>
      </c>
      <c r="C250" s="11">
        <v>0</v>
      </c>
      <c r="D250" s="11">
        <v>0</v>
      </c>
      <c r="E250" s="2">
        <f t="shared" si="6"/>
        <v>0</v>
      </c>
      <c r="F250" s="11">
        <v>2.7E-2</v>
      </c>
      <c r="G250" s="3" t="e">
        <f t="shared" si="7"/>
        <v>#DIV/0!</v>
      </c>
    </row>
    <row r="251" spans="1:7">
      <c r="A251" s="1">
        <v>1</v>
      </c>
      <c r="B251" s="1" t="s">
        <v>16</v>
      </c>
      <c r="C251" s="11">
        <v>60</v>
      </c>
      <c r="D251" s="11">
        <v>59.5</v>
      </c>
      <c r="E251" s="2">
        <f t="shared" si="6"/>
        <v>0.5</v>
      </c>
      <c r="F251" s="11">
        <v>0.36799999999999999</v>
      </c>
      <c r="G251" s="3">
        <f t="shared" si="7"/>
        <v>1.4466666666666666E-2</v>
      </c>
    </row>
    <row r="252" spans="1:7">
      <c r="A252" s="1">
        <v>2</v>
      </c>
      <c r="B252" s="1" t="s">
        <v>16</v>
      </c>
      <c r="C252" s="11">
        <v>180</v>
      </c>
      <c r="D252" s="11">
        <v>178.45</v>
      </c>
      <c r="E252" s="2">
        <f t="shared" si="6"/>
        <v>1.5500000000000114</v>
      </c>
      <c r="F252" s="11">
        <v>0.34200000000000003</v>
      </c>
      <c r="G252" s="3">
        <f t="shared" si="7"/>
        <v>1.0511111111111174E-2</v>
      </c>
    </row>
    <row r="253" spans="1:7">
      <c r="A253" s="1">
        <v>3</v>
      </c>
      <c r="B253" s="1" t="s">
        <v>16</v>
      </c>
      <c r="C253" s="11">
        <v>210</v>
      </c>
      <c r="D253" s="11">
        <v>207.75</v>
      </c>
      <c r="E253" s="2">
        <f t="shared" si="6"/>
        <v>2.25</v>
      </c>
      <c r="F253" s="11">
        <v>0.45</v>
      </c>
      <c r="G253" s="3">
        <f t="shared" si="7"/>
        <v>1.2857142857142859E-2</v>
      </c>
    </row>
    <row r="254" spans="1:7">
      <c r="A254" s="1">
        <v>4</v>
      </c>
      <c r="B254" s="1" t="s">
        <v>16</v>
      </c>
      <c r="C254" s="11">
        <v>150.91999999999999</v>
      </c>
      <c r="D254" s="11">
        <v>149.41</v>
      </c>
      <c r="E254" s="2">
        <f t="shared" si="6"/>
        <v>1.5099999999999909</v>
      </c>
      <c r="F254" s="11">
        <v>1.2</v>
      </c>
      <c r="G254" s="3">
        <f t="shared" si="7"/>
        <v>1.7956533262655654E-2</v>
      </c>
    </row>
    <row r="255" spans="1:7">
      <c r="A255" s="1">
        <v>5</v>
      </c>
      <c r="B255" s="1" t="s">
        <v>16</v>
      </c>
      <c r="C255" s="11">
        <v>80</v>
      </c>
      <c r="D255" s="11">
        <v>79.290000000000006</v>
      </c>
      <c r="E255" s="2">
        <f t="shared" si="6"/>
        <v>0.70999999999999375</v>
      </c>
      <c r="F255" s="11">
        <v>0.75</v>
      </c>
      <c r="G255" s="3">
        <f t="shared" si="7"/>
        <v>1.8249999999999923E-2</v>
      </c>
    </row>
    <row r="256" spans="1:7">
      <c r="A256" s="1">
        <v>6</v>
      </c>
      <c r="B256" s="1" t="s">
        <v>16</v>
      </c>
      <c r="C256" s="11">
        <v>40</v>
      </c>
      <c r="D256" s="11">
        <v>39.51</v>
      </c>
      <c r="E256" s="2">
        <f t="shared" si="6"/>
        <v>0.49000000000000199</v>
      </c>
      <c r="F256" s="11">
        <v>0.251</v>
      </c>
      <c r="G256" s="3">
        <f t="shared" si="7"/>
        <v>1.8525000000000048E-2</v>
      </c>
    </row>
    <row r="257" spans="1:7">
      <c r="A257" s="1">
        <v>7</v>
      </c>
      <c r="B257" s="1" t="s">
        <v>16</v>
      </c>
      <c r="C257" s="11">
        <v>80</v>
      </c>
      <c r="D257" s="11">
        <v>79.45</v>
      </c>
      <c r="E257" s="2">
        <f t="shared" si="6"/>
        <v>0.54999999999999716</v>
      </c>
      <c r="F257" s="11">
        <v>0.40300000000000225</v>
      </c>
      <c r="G257" s="3">
        <f t="shared" si="7"/>
        <v>1.1912499999999993E-2</v>
      </c>
    </row>
    <row r="258" spans="1:7">
      <c r="A258" s="1">
        <v>10</v>
      </c>
      <c r="B258" s="1" t="s">
        <v>16</v>
      </c>
      <c r="C258" s="11">
        <v>100</v>
      </c>
      <c r="D258" s="11">
        <v>98.99</v>
      </c>
      <c r="E258" s="2">
        <f t="shared" si="6"/>
        <v>1.0100000000000051</v>
      </c>
      <c r="F258" s="11">
        <v>0.48499999999999999</v>
      </c>
      <c r="G258" s="3">
        <f t="shared" si="7"/>
        <v>1.495000000000005E-2</v>
      </c>
    </row>
    <row r="259" spans="1:7">
      <c r="A259" s="1">
        <v>8</v>
      </c>
      <c r="B259" s="1" t="s">
        <v>16</v>
      </c>
      <c r="C259" s="11">
        <v>40</v>
      </c>
      <c r="D259" s="11">
        <v>39.479999999999997</v>
      </c>
      <c r="E259" s="2">
        <f t="shared" si="6"/>
        <v>0.52000000000000313</v>
      </c>
      <c r="F259" s="11">
        <v>0.22800000000000001</v>
      </c>
      <c r="G259" s="3">
        <f t="shared" si="7"/>
        <v>1.8700000000000078E-2</v>
      </c>
    </row>
    <row r="260" spans="1:7">
      <c r="A260" s="1">
        <v>9</v>
      </c>
      <c r="B260" s="1" t="s">
        <v>16</v>
      </c>
      <c r="C260" s="11">
        <v>110</v>
      </c>
      <c r="D260" s="11">
        <v>108.93</v>
      </c>
      <c r="E260" s="2">
        <f t="shared" ref="E260:E323" si="8">C260-D260</f>
        <v>1.0699999999999932</v>
      </c>
      <c r="F260" s="11">
        <v>1</v>
      </c>
      <c r="G260" s="3">
        <f t="shared" ref="G260:G312" si="9">(E260+F260)/C260</f>
        <v>1.8818181818181755E-2</v>
      </c>
    </row>
    <row r="261" spans="1:7">
      <c r="A261" s="1">
        <v>11</v>
      </c>
      <c r="B261" s="1" t="s">
        <v>16</v>
      </c>
      <c r="C261" s="11">
        <v>60</v>
      </c>
      <c r="D261" s="11">
        <v>59.36</v>
      </c>
      <c r="E261" s="2">
        <f t="shared" si="8"/>
        <v>0.64000000000000057</v>
      </c>
      <c r="F261" s="11">
        <v>0.35399999999999998</v>
      </c>
      <c r="G261" s="3">
        <f t="shared" si="9"/>
        <v>1.6566666666666677E-2</v>
      </c>
    </row>
    <row r="262" spans="1:7">
      <c r="A262" s="1">
        <v>12</v>
      </c>
      <c r="B262" s="1" t="s">
        <v>16</v>
      </c>
      <c r="C262" s="11">
        <v>80</v>
      </c>
      <c r="D262" s="11">
        <v>79.23</v>
      </c>
      <c r="E262" s="2">
        <f t="shared" si="8"/>
        <v>0.76999999999999602</v>
      </c>
      <c r="F262" s="11">
        <v>0.71</v>
      </c>
      <c r="G262" s="3">
        <f t="shared" si="9"/>
        <v>1.8499999999999951E-2</v>
      </c>
    </row>
    <row r="263" spans="1:7">
      <c r="A263" s="1">
        <v>13</v>
      </c>
      <c r="B263" s="1" t="s">
        <v>16</v>
      </c>
      <c r="C263" s="11">
        <v>0</v>
      </c>
      <c r="D263" s="11">
        <v>0</v>
      </c>
      <c r="E263" s="2">
        <f t="shared" si="8"/>
        <v>0</v>
      </c>
      <c r="F263" s="11">
        <v>0.32500000000000001</v>
      </c>
      <c r="G263" s="3" t="e">
        <f t="shared" si="9"/>
        <v>#DIV/0!</v>
      </c>
    </row>
    <row r="264" spans="1:7">
      <c r="A264" s="1">
        <v>14</v>
      </c>
      <c r="B264" s="1" t="s">
        <v>16</v>
      </c>
      <c r="C264" s="11">
        <v>89.37</v>
      </c>
      <c r="D264" s="11">
        <v>88.24</v>
      </c>
      <c r="E264" s="2">
        <f t="shared" si="8"/>
        <v>1.1300000000000097</v>
      </c>
      <c r="F264" s="11">
        <v>0.26900000000000002</v>
      </c>
      <c r="G264" s="3">
        <f t="shared" si="9"/>
        <v>1.5654022602663194E-2</v>
      </c>
    </row>
    <row r="265" spans="1:7">
      <c r="A265" s="1">
        <v>15</v>
      </c>
      <c r="B265" s="1" t="s">
        <v>16</v>
      </c>
      <c r="C265" s="11">
        <v>242.75</v>
      </c>
      <c r="D265" s="11">
        <v>240.35</v>
      </c>
      <c r="E265" s="2">
        <f t="shared" si="8"/>
        <v>2.4000000000000057</v>
      </c>
      <c r="F265" s="11">
        <v>0.27600000000000002</v>
      </c>
      <c r="G265" s="3">
        <f t="shared" si="9"/>
        <v>1.1023686920700332E-2</v>
      </c>
    </row>
    <row r="266" spans="1:7">
      <c r="A266" s="1">
        <v>16</v>
      </c>
      <c r="B266" s="1" t="s">
        <v>16</v>
      </c>
      <c r="C266" s="11">
        <v>60</v>
      </c>
      <c r="D266" s="11">
        <v>59.31</v>
      </c>
      <c r="E266" s="2">
        <f t="shared" si="8"/>
        <v>0.68999999999999773</v>
      </c>
      <c r="F266" s="11">
        <v>0.28999999999999998</v>
      </c>
      <c r="G266" s="3">
        <f t="shared" si="9"/>
        <v>1.6333333333333297E-2</v>
      </c>
    </row>
    <row r="267" spans="1:7">
      <c r="A267" s="1">
        <v>17</v>
      </c>
      <c r="B267" s="1" t="s">
        <v>16</v>
      </c>
      <c r="C267" s="11">
        <v>40</v>
      </c>
      <c r="D267" s="11">
        <v>39.5</v>
      </c>
      <c r="E267" s="2">
        <f t="shared" si="8"/>
        <v>0.5</v>
      </c>
      <c r="F267" s="11">
        <v>0.29599999999999999</v>
      </c>
      <c r="G267" s="3">
        <f t="shared" si="9"/>
        <v>1.9900000000000001E-2</v>
      </c>
    </row>
    <row r="268" spans="1:7">
      <c r="A268" s="1">
        <v>18</v>
      </c>
      <c r="B268" s="1" t="s">
        <v>16</v>
      </c>
      <c r="C268" s="11">
        <v>80</v>
      </c>
      <c r="D268" s="11">
        <v>79.239999999999995</v>
      </c>
      <c r="E268" s="2">
        <f t="shared" si="8"/>
        <v>0.76000000000000512</v>
      </c>
      <c r="F268" s="11">
        <v>0.68</v>
      </c>
      <c r="G268" s="3">
        <f t="shared" si="9"/>
        <v>1.8000000000000065E-2</v>
      </c>
    </row>
    <row r="269" spans="1:7">
      <c r="A269" s="1">
        <v>19</v>
      </c>
      <c r="B269" s="1" t="s">
        <v>16</v>
      </c>
      <c r="C269" s="11">
        <v>60</v>
      </c>
      <c r="D269" s="11">
        <v>59.4</v>
      </c>
      <c r="E269" s="2">
        <f t="shared" si="8"/>
        <v>0.60000000000000142</v>
      </c>
      <c r="F269" s="11">
        <v>0.52</v>
      </c>
      <c r="G269" s="3">
        <f t="shared" si="9"/>
        <v>1.8666666666666689E-2</v>
      </c>
    </row>
    <row r="270" spans="1:7">
      <c r="A270" s="1">
        <v>20</v>
      </c>
      <c r="B270" s="1" t="s">
        <v>16</v>
      </c>
      <c r="C270" s="11">
        <v>80</v>
      </c>
      <c r="D270" s="11">
        <v>79.430000000000007</v>
      </c>
      <c r="E270" s="2">
        <f t="shared" si="8"/>
        <v>0.56999999999999318</v>
      </c>
      <c r="F270" s="11">
        <v>0.308</v>
      </c>
      <c r="G270" s="3">
        <f t="shared" si="9"/>
        <v>1.0974999999999915E-2</v>
      </c>
    </row>
    <row r="271" spans="1:7">
      <c r="A271" s="1">
        <v>21</v>
      </c>
      <c r="B271" s="1" t="s">
        <v>16</v>
      </c>
      <c r="C271" s="11">
        <v>85.63</v>
      </c>
      <c r="D271" s="11">
        <v>84.96</v>
      </c>
      <c r="E271" s="2">
        <f t="shared" si="8"/>
        <v>0.67000000000000171</v>
      </c>
      <c r="F271" s="11">
        <v>0.53300000000000003</v>
      </c>
      <c r="G271" s="3">
        <f t="shared" si="9"/>
        <v>1.4048814667756647E-2</v>
      </c>
    </row>
    <row r="272" spans="1:7">
      <c r="A272" s="1">
        <v>22</v>
      </c>
      <c r="B272" s="1" t="s">
        <v>16</v>
      </c>
      <c r="C272" s="11">
        <v>56.01</v>
      </c>
      <c r="D272" s="11">
        <v>55.36</v>
      </c>
      <c r="E272" s="2">
        <f t="shared" si="8"/>
        <v>0.64999999999999858</v>
      </c>
      <c r="F272" s="11">
        <v>0.37599999999998002</v>
      </c>
      <c r="G272" s="3">
        <f t="shared" si="9"/>
        <v>1.8318157471879638E-2</v>
      </c>
    </row>
    <row r="273" spans="1:7">
      <c r="A273" s="1">
        <v>23</v>
      </c>
      <c r="B273" s="1" t="s">
        <v>16</v>
      </c>
      <c r="C273" s="11">
        <v>0</v>
      </c>
      <c r="D273" s="11">
        <v>0</v>
      </c>
      <c r="E273" s="2">
        <f t="shared" si="8"/>
        <v>0</v>
      </c>
      <c r="F273" s="11">
        <v>0</v>
      </c>
      <c r="G273" s="3" t="e">
        <f t="shared" si="9"/>
        <v>#DIV/0!</v>
      </c>
    </row>
    <row r="274" spans="1:7">
      <c r="A274" s="1">
        <v>24</v>
      </c>
      <c r="B274" s="1" t="s">
        <v>16</v>
      </c>
      <c r="C274" s="11">
        <v>91.29</v>
      </c>
      <c r="D274" s="11">
        <v>90.14</v>
      </c>
      <c r="E274" s="2">
        <f t="shared" si="8"/>
        <v>1.1500000000000057</v>
      </c>
      <c r="F274" s="11">
        <v>0.42899999999999999</v>
      </c>
      <c r="G274" s="3">
        <f t="shared" si="9"/>
        <v>1.7296527549567373E-2</v>
      </c>
    </row>
    <row r="275" spans="1:7">
      <c r="A275" s="1">
        <v>25</v>
      </c>
      <c r="B275" s="1" t="s">
        <v>16</v>
      </c>
      <c r="C275" s="11">
        <v>184.41</v>
      </c>
      <c r="D275" s="11">
        <v>183.06</v>
      </c>
      <c r="E275" s="2">
        <f t="shared" si="8"/>
        <v>1.3499999999999943</v>
      </c>
      <c r="F275" s="11">
        <v>0.68500000000000005</v>
      </c>
      <c r="G275" s="3">
        <f t="shared" si="9"/>
        <v>1.1035193319234285E-2</v>
      </c>
    </row>
    <row r="276" spans="1:7">
      <c r="A276" s="1">
        <v>26</v>
      </c>
      <c r="B276" s="1" t="s">
        <v>16</v>
      </c>
      <c r="C276" s="11">
        <v>85</v>
      </c>
      <c r="D276" s="11">
        <v>83.87</v>
      </c>
      <c r="E276" s="2">
        <f t="shared" si="8"/>
        <v>1.1299999999999955</v>
      </c>
      <c r="F276" s="11">
        <v>0.39600000000000002</v>
      </c>
      <c r="G276" s="3">
        <f t="shared" si="9"/>
        <v>1.7952941176470533E-2</v>
      </c>
    </row>
    <row r="277" spans="1:7">
      <c r="A277" s="1">
        <v>27</v>
      </c>
      <c r="B277" s="1" t="s">
        <v>16</v>
      </c>
      <c r="C277" s="11">
        <v>60</v>
      </c>
      <c r="D277" s="11">
        <v>59.35</v>
      </c>
      <c r="E277" s="2">
        <f t="shared" si="8"/>
        <v>0.64999999999999858</v>
      </c>
      <c r="F277" s="11">
        <v>0.312</v>
      </c>
      <c r="G277" s="3">
        <f t="shared" si="9"/>
        <v>1.6033333333333309E-2</v>
      </c>
    </row>
    <row r="278" spans="1:7">
      <c r="A278" s="1">
        <v>28</v>
      </c>
      <c r="B278" s="1" t="s">
        <v>16</v>
      </c>
      <c r="C278" s="11">
        <v>65</v>
      </c>
      <c r="D278" s="11">
        <v>64.55</v>
      </c>
      <c r="E278" s="2">
        <f t="shared" si="8"/>
        <v>0.45000000000000284</v>
      </c>
      <c r="F278" s="11">
        <v>0.248</v>
      </c>
      <c r="G278" s="3">
        <f t="shared" si="9"/>
        <v>1.0738461538461582E-2</v>
      </c>
    </row>
    <row r="279" spans="1:7">
      <c r="A279" s="1">
        <v>29</v>
      </c>
      <c r="B279" s="1" t="s">
        <v>16</v>
      </c>
      <c r="C279" s="11">
        <v>60</v>
      </c>
      <c r="D279" s="11">
        <v>59.39</v>
      </c>
      <c r="E279" s="2">
        <f t="shared" si="8"/>
        <v>0.60999999999999943</v>
      </c>
      <c r="F279" s="11">
        <v>0.247</v>
      </c>
      <c r="G279" s="3">
        <f t="shared" si="9"/>
        <v>1.4283333333333323E-2</v>
      </c>
    </row>
    <row r="280" spans="1:7">
      <c r="A280" s="1">
        <v>30</v>
      </c>
      <c r="B280" s="1" t="s">
        <v>16</v>
      </c>
      <c r="C280" s="11">
        <v>280</v>
      </c>
      <c r="D280" s="11">
        <v>278.60000000000002</v>
      </c>
      <c r="E280" s="2">
        <f t="shared" si="8"/>
        <v>1.3999999999999773</v>
      </c>
      <c r="F280" s="11">
        <v>0.438</v>
      </c>
      <c r="G280" s="3">
        <f t="shared" si="9"/>
        <v>6.5642857142856328E-3</v>
      </c>
    </row>
    <row r="281" spans="1:7">
      <c r="A281" s="1">
        <v>31</v>
      </c>
      <c r="B281" s="1" t="s">
        <v>16</v>
      </c>
      <c r="C281" s="11">
        <v>125</v>
      </c>
      <c r="D281" s="11">
        <v>123.85</v>
      </c>
      <c r="E281" s="2">
        <f t="shared" si="8"/>
        <v>1.1500000000000057</v>
      </c>
      <c r="F281" s="11">
        <v>0.317</v>
      </c>
      <c r="G281" s="3">
        <f t="shared" si="9"/>
        <v>1.1736000000000045E-2</v>
      </c>
    </row>
    <row r="282" spans="1:7">
      <c r="A282" s="1">
        <v>1</v>
      </c>
      <c r="B282" s="1" t="s">
        <v>17</v>
      </c>
      <c r="C282" s="11">
        <v>100</v>
      </c>
      <c r="D282" s="11">
        <v>99.52</v>
      </c>
      <c r="E282" s="2">
        <f t="shared" si="8"/>
        <v>0.48000000000000398</v>
      </c>
      <c r="F282" s="11">
        <v>0.188</v>
      </c>
      <c r="G282" s="3">
        <f t="shared" si="9"/>
        <v>6.6800000000000392E-3</v>
      </c>
    </row>
    <row r="283" spans="1:7">
      <c r="A283" s="1">
        <v>2</v>
      </c>
      <c r="B283" s="1" t="s">
        <v>17</v>
      </c>
      <c r="C283" s="11">
        <v>80</v>
      </c>
      <c r="D283" s="11">
        <v>79.22</v>
      </c>
      <c r="E283" s="2">
        <f t="shared" si="8"/>
        <v>0.78000000000000114</v>
      </c>
      <c r="F283" s="11">
        <v>0.21199999999999999</v>
      </c>
      <c r="G283" s="3">
        <f t="shared" si="9"/>
        <v>1.2400000000000013E-2</v>
      </c>
    </row>
    <row r="284" spans="1:7">
      <c r="A284" s="1">
        <v>3</v>
      </c>
      <c r="B284" s="1" t="s">
        <v>17</v>
      </c>
      <c r="C284" s="11">
        <v>180</v>
      </c>
      <c r="D284" s="11">
        <v>178.78</v>
      </c>
      <c r="E284" s="2">
        <f t="shared" si="8"/>
        <v>1.2199999999999989</v>
      </c>
      <c r="F284" s="11">
        <v>0.183</v>
      </c>
      <c r="G284" s="3">
        <f t="shared" si="9"/>
        <v>7.794444444444438E-3</v>
      </c>
    </row>
    <row r="285" spans="1:7">
      <c r="A285" s="1">
        <v>4</v>
      </c>
      <c r="B285" s="1" t="s">
        <v>17</v>
      </c>
      <c r="C285" s="11">
        <v>100</v>
      </c>
      <c r="D285" s="11">
        <v>99.45</v>
      </c>
      <c r="E285" s="2">
        <f t="shared" si="8"/>
        <v>0.54999999999999716</v>
      </c>
      <c r="F285" s="11">
        <v>0.24299999999999999</v>
      </c>
      <c r="G285" s="3">
        <f t="shared" si="9"/>
        <v>7.9299999999999718E-3</v>
      </c>
    </row>
    <row r="286" spans="1:7">
      <c r="A286" s="1">
        <v>5</v>
      </c>
      <c r="B286" s="1" t="s">
        <v>17</v>
      </c>
      <c r="C286" s="11">
        <v>60</v>
      </c>
      <c r="D286" s="11">
        <v>59.5</v>
      </c>
      <c r="E286" s="2">
        <f t="shared" si="8"/>
        <v>0.5</v>
      </c>
      <c r="F286" s="11">
        <v>0.19600000000000001</v>
      </c>
      <c r="G286" s="3">
        <f t="shared" si="9"/>
        <v>1.1599999999999999E-2</v>
      </c>
    </row>
    <row r="287" spans="1:7">
      <c r="A287" s="1">
        <v>6</v>
      </c>
      <c r="B287" s="1" t="s">
        <v>17</v>
      </c>
      <c r="C287" s="11">
        <v>40</v>
      </c>
      <c r="D287" s="11">
        <v>39.799999999999997</v>
      </c>
      <c r="E287" s="2">
        <f t="shared" si="8"/>
        <v>0.20000000000000284</v>
      </c>
      <c r="F287" s="11">
        <v>0.182</v>
      </c>
      <c r="G287" s="3">
        <f t="shared" si="9"/>
        <v>9.5500000000000706E-3</v>
      </c>
    </row>
    <row r="288" spans="1:7">
      <c r="A288" s="1">
        <v>7</v>
      </c>
      <c r="B288" s="1" t="s">
        <v>17</v>
      </c>
      <c r="C288" s="11">
        <v>80</v>
      </c>
      <c r="D288" s="11">
        <v>79.38</v>
      </c>
      <c r="E288" s="2">
        <f t="shared" si="8"/>
        <v>0.62000000000000455</v>
      </c>
      <c r="F288" s="11">
        <v>0.21</v>
      </c>
      <c r="G288" s="3">
        <f t="shared" si="9"/>
        <v>1.0375000000000056E-2</v>
      </c>
    </row>
    <row r="289" spans="1:7">
      <c r="A289" s="1">
        <v>10</v>
      </c>
      <c r="B289" s="1" t="s">
        <v>17</v>
      </c>
      <c r="C289" s="11">
        <v>73.37</v>
      </c>
      <c r="D289" s="11">
        <v>72.8</v>
      </c>
      <c r="E289" s="2">
        <f t="shared" si="8"/>
        <v>0.57000000000000739</v>
      </c>
      <c r="F289" s="11">
        <v>0.125</v>
      </c>
      <c r="G289" s="3">
        <f t="shared" si="9"/>
        <v>9.4725364590433053E-3</v>
      </c>
    </row>
    <row r="290" spans="1:7">
      <c r="A290" s="1">
        <v>8</v>
      </c>
      <c r="B290" s="1" t="s">
        <v>17</v>
      </c>
      <c r="C290" s="11">
        <v>80</v>
      </c>
      <c r="D290" s="11">
        <v>79.290000000000006</v>
      </c>
      <c r="E290" s="2">
        <f t="shared" si="8"/>
        <v>0.70999999999999375</v>
      </c>
      <c r="F290" s="11">
        <v>0.15</v>
      </c>
      <c r="G290" s="3">
        <f t="shared" si="9"/>
        <v>1.0749999999999923E-2</v>
      </c>
    </row>
    <row r="291" spans="1:7">
      <c r="A291" s="1">
        <v>9</v>
      </c>
      <c r="B291" s="1" t="s">
        <v>17</v>
      </c>
      <c r="C291" s="11">
        <v>45.4</v>
      </c>
      <c r="D291" s="11">
        <v>45.12</v>
      </c>
      <c r="E291" s="2">
        <f t="shared" si="8"/>
        <v>0.28000000000000114</v>
      </c>
      <c r="F291" s="11">
        <v>0.14299999999999999</v>
      </c>
      <c r="G291" s="3">
        <f t="shared" si="9"/>
        <v>9.3171806167401134E-3</v>
      </c>
    </row>
    <row r="292" spans="1:7">
      <c r="A292" s="1">
        <v>11</v>
      </c>
      <c r="B292" s="1" t="s">
        <v>17</v>
      </c>
      <c r="C292" s="11">
        <v>153.46</v>
      </c>
      <c r="D292" s="11">
        <v>152.41</v>
      </c>
      <c r="E292" s="2">
        <f t="shared" si="8"/>
        <v>1.0500000000000114</v>
      </c>
      <c r="F292" s="11">
        <v>0.22900000000000001</v>
      </c>
      <c r="G292" s="3">
        <f t="shared" si="9"/>
        <v>8.3344193926756897E-3</v>
      </c>
    </row>
    <row r="293" spans="1:7">
      <c r="A293" s="1">
        <v>12</v>
      </c>
      <c r="B293" s="1" t="s">
        <v>17</v>
      </c>
      <c r="C293" s="11">
        <v>93.5</v>
      </c>
      <c r="D293" s="11">
        <v>92.74</v>
      </c>
      <c r="E293" s="2">
        <f t="shared" si="8"/>
        <v>0.76000000000000512</v>
      </c>
      <c r="F293" s="11">
        <v>0.193</v>
      </c>
      <c r="G293" s="3">
        <f t="shared" si="9"/>
        <v>1.0192513368984012E-2</v>
      </c>
    </row>
    <row r="294" spans="1:7">
      <c r="A294" s="1">
        <v>13</v>
      </c>
      <c r="B294" s="1" t="s">
        <v>17</v>
      </c>
      <c r="C294" s="11">
        <v>52.94</v>
      </c>
      <c r="D294" s="11">
        <v>52.68</v>
      </c>
      <c r="E294" s="2">
        <f t="shared" si="8"/>
        <v>0.25999999999999801</v>
      </c>
      <c r="F294" s="11">
        <v>0.13700000000000001</v>
      </c>
      <c r="G294" s="3">
        <f t="shared" si="9"/>
        <v>7.4990555345673974E-3</v>
      </c>
    </row>
    <row r="295" spans="1:7">
      <c r="A295" s="1">
        <v>14</v>
      </c>
      <c r="B295" s="1" t="s">
        <v>17</v>
      </c>
      <c r="C295" s="11">
        <v>49.54</v>
      </c>
      <c r="D295" s="11">
        <v>49.21</v>
      </c>
      <c r="E295" s="2">
        <f t="shared" si="8"/>
        <v>0.32999999999999829</v>
      </c>
      <c r="F295" s="11">
        <v>0.14399999999999999</v>
      </c>
      <c r="G295" s="3">
        <f t="shared" si="9"/>
        <v>9.56802583770687E-3</v>
      </c>
    </row>
    <row r="296" spans="1:7">
      <c r="A296" s="1">
        <v>15</v>
      </c>
      <c r="B296" s="1" t="s">
        <v>17</v>
      </c>
      <c r="C296" s="11">
        <v>56.15</v>
      </c>
      <c r="D296" s="11">
        <v>55.59</v>
      </c>
      <c r="E296" s="2">
        <f t="shared" si="8"/>
        <v>0.55999999999999517</v>
      </c>
      <c r="F296" s="11">
        <v>0.16200000000000001</v>
      </c>
      <c r="G296" s="3">
        <f t="shared" si="9"/>
        <v>1.2858414959928677E-2</v>
      </c>
    </row>
    <row r="297" spans="1:7">
      <c r="A297" s="1">
        <v>16</v>
      </c>
      <c r="B297" s="1" t="s">
        <v>17</v>
      </c>
      <c r="C297" s="11">
        <v>44.3</v>
      </c>
      <c r="D297" s="11">
        <v>44.06</v>
      </c>
      <c r="E297" s="2">
        <f t="shared" si="8"/>
        <v>0.23999999999999488</v>
      </c>
      <c r="F297" s="11">
        <v>0.17899999999999999</v>
      </c>
      <c r="G297" s="3">
        <f t="shared" si="9"/>
        <v>9.4582392776522556E-3</v>
      </c>
    </row>
    <row r="298" spans="1:7">
      <c r="A298" s="1">
        <v>17</v>
      </c>
      <c r="B298" s="1" t="s">
        <v>17</v>
      </c>
      <c r="C298" s="11">
        <v>65.48</v>
      </c>
      <c r="D298" s="11">
        <v>65.08</v>
      </c>
      <c r="E298" s="2">
        <f t="shared" si="8"/>
        <v>0.40000000000000568</v>
      </c>
      <c r="F298" s="11">
        <v>0.192</v>
      </c>
      <c r="G298" s="3">
        <f t="shared" si="9"/>
        <v>9.0409285277948323E-3</v>
      </c>
    </row>
    <row r="299" spans="1:7">
      <c r="A299" s="1">
        <v>18</v>
      </c>
      <c r="B299" s="1" t="s">
        <v>17</v>
      </c>
      <c r="C299" s="11">
        <v>65.48</v>
      </c>
      <c r="D299" s="11">
        <v>65.08</v>
      </c>
      <c r="E299" s="2">
        <f t="shared" si="8"/>
        <v>0.40000000000000568</v>
      </c>
      <c r="F299" s="11">
        <v>0.192</v>
      </c>
      <c r="G299" s="3">
        <f t="shared" si="9"/>
        <v>9.0409285277948323E-3</v>
      </c>
    </row>
    <row r="300" spans="1:7">
      <c r="A300" s="1">
        <v>19</v>
      </c>
      <c r="B300" s="1" t="s">
        <v>17</v>
      </c>
      <c r="C300" s="11">
        <v>75.77</v>
      </c>
      <c r="D300" s="11">
        <v>75.33</v>
      </c>
      <c r="E300" s="2">
        <f t="shared" si="8"/>
        <v>0.43999999999999773</v>
      </c>
      <c r="F300" s="11">
        <v>0.16</v>
      </c>
      <c r="G300" s="3">
        <f t="shared" si="9"/>
        <v>7.9187013329813614E-3</v>
      </c>
    </row>
    <row r="301" spans="1:7">
      <c r="A301" s="1">
        <v>20</v>
      </c>
      <c r="B301" s="1" t="s">
        <v>17</v>
      </c>
      <c r="C301" s="11">
        <v>44.25</v>
      </c>
      <c r="D301" s="11">
        <v>43.98</v>
      </c>
      <c r="E301" s="2">
        <f t="shared" si="8"/>
        <v>0.27000000000000313</v>
      </c>
      <c r="F301" s="11">
        <v>6.8000000000000005E-2</v>
      </c>
      <c r="G301" s="3">
        <f t="shared" si="9"/>
        <v>7.6384180790961161E-3</v>
      </c>
    </row>
    <row r="302" spans="1:7">
      <c r="A302" s="1">
        <v>21</v>
      </c>
      <c r="B302" s="1" t="s">
        <v>17</v>
      </c>
      <c r="C302" s="11">
        <v>44.82</v>
      </c>
      <c r="D302" s="11">
        <v>44.13</v>
      </c>
      <c r="E302" s="2">
        <f t="shared" si="8"/>
        <v>0.68999999999999773</v>
      </c>
      <c r="F302" s="11">
        <v>0.13800000000000001</v>
      </c>
      <c r="G302" s="3">
        <f t="shared" si="9"/>
        <v>1.8473895582329265E-2</v>
      </c>
    </row>
    <row r="303" spans="1:7">
      <c r="A303" s="1">
        <v>22</v>
      </c>
      <c r="B303" s="1" t="s">
        <v>17</v>
      </c>
      <c r="C303" s="11">
        <v>24.92</v>
      </c>
      <c r="D303" s="11">
        <v>24.79</v>
      </c>
      <c r="E303" s="2">
        <f t="shared" si="8"/>
        <v>0.13000000000000256</v>
      </c>
      <c r="F303" s="11">
        <v>0.122</v>
      </c>
      <c r="G303" s="3">
        <f t="shared" si="9"/>
        <v>1.0112359550561899E-2</v>
      </c>
    </row>
    <row r="304" spans="1:7">
      <c r="A304" s="1">
        <v>23</v>
      </c>
      <c r="B304" s="1" t="s">
        <v>17</v>
      </c>
      <c r="C304" s="11">
        <v>20</v>
      </c>
      <c r="D304" s="11">
        <v>19.91</v>
      </c>
      <c r="E304" s="2">
        <f t="shared" si="8"/>
        <v>8.9999999999999858E-2</v>
      </c>
      <c r="F304" s="11">
        <v>0.11700000000000001</v>
      </c>
      <c r="G304" s="3">
        <f t="shared" si="9"/>
        <v>1.0349999999999993E-2</v>
      </c>
    </row>
    <row r="305" spans="1:7">
      <c r="A305" s="1">
        <v>24</v>
      </c>
      <c r="B305" s="1" t="s">
        <v>17</v>
      </c>
      <c r="C305" s="11">
        <v>58.85</v>
      </c>
      <c r="D305" s="11">
        <v>58.51</v>
      </c>
      <c r="E305" s="2">
        <f t="shared" si="8"/>
        <v>0.34000000000000341</v>
      </c>
      <c r="F305" s="11">
        <v>0.15</v>
      </c>
      <c r="G305" s="3">
        <f t="shared" si="9"/>
        <v>8.3262531860663277E-3</v>
      </c>
    </row>
    <row r="306" spans="1:7">
      <c r="A306" s="1">
        <v>25</v>
      </c>
      <c r="B306" s="1" t="s">
        <v>17</v>
      </c>
      <c r="C306" s="11">
        <v>73.75</v>
      </c>
      <c r="D306" s="11">
        <v>73.319999999999993</v>
      </c>
      <c r="E306" s="2">
        <f t="shared" si="8"/>
        <v>0.43000000000000682</v>
      </c>
      <c r="F306" s="11">
        <v>0.16800000000000001</v>
      </c>
      <c r="G306" s="3">
        <f t="shared" si="9"/>
        <v>8.1084745762712799E-3</v>
      </c>
    </row>
    <row r="307" spans="1:7">
      <c r="A307" s="1">
        <v>26</v>
      </c>
      <c r="B307" s="1" t="s">
        <v>17</v>
      </c>
      <c r="C307" s="11">
        <v>146.75</v>
      </c>
      <c r="D307" s="11">
        <v>146.13</v>
      </c>
      <c r="E307" s="2">
        <f t="shared" si="8"/>
        <v>0.62000000000000455</v>
      </c>
      <c r="F307" s="11">
        <v>0.152</v>
      </c>
      <c r="G307" s="3">
        <f t="shared" si="9"/>
        <v>5.2606473594548862E-3</v>
      </c>
    </row>
    <row r="308" spans="1:7">
      <c r="A308" s="1">
        <v>27</v>
      </c>
      <c r="B308" s="1" t="s">
        <v>17</v>
      </c>
      <c r="C308" s="11">
        <v>63.48</v>
      </c>
      <c r="D308" s="11">
        <v>63.13</v>
      </c>
      <c r="E308" s="2">
        <f t="shared" si="8"/>
        <v>0.34999999999999432</v>
      </c>
      <c r="F308" s="11">
        <v>0.104</v>
      </c>
      <c r="G308" s="3">
        <f t="shared" si="9"/>
        <v>7.1518588531820151E-3</v>
      </c>
    </row>
    <row r="309" spans="1:7">
      <c r="A309" s="1">
        <v>28</v>
      </c>
      <c r="B309" s="1" t="s">
        <v>17</v>
      </c>
      <c r="C309" s="11">
        <v>43.16</v>
      </c>
      <c r="D309" s="11">
        <v>42.79</v>
      </c>
      <c r="E309" s="2">
        <f t="shared" si="8"/>
        <v>0.36999999999999744</v>
      </c>
      <c r="F309" s="11">
        <v>0.15</v>
      </c>
      <c r="G309" s="3">
        <f t="shared" si="9"/>
        <v>1.2048192771084279E-2</v>
      </c>
    </row>
    <row r="310" spans="1:7">
      <c r="A310" s="1">
        <v>29</v>
      </c>
      <c r="B310" s="1" t="s">
        <v>17</v>
      </c>
      <c r="C310" s="11">
        <v>67.739999999999995</v>
      </c>
      <c r="D310" s="11">
        <v>67.39</v>
      </c>
      <c r="E310" s="2">
        <f t="shared" si="8"/>
        <v>0.34999999999999432</v>
      </c>
      <c r="F310" s="11">
        <v>0.11</v>
      </c>
      <c r="G310" s="3">
        <f t="shared" si="9"/>
        <v>6.7906702096249532E-3</v>
      </c>
    </row>
    <row r="311" spans="1:7">
      <c r="A311" s="1">
        <v>30</v>
      </c>
      <c r="B311" s="1" t="s">
        <v>17</v>
      </c>
      <c r="C311" s="11">
        <v>82.66</v>
      </c>
      <c r="D311" s="11">
        <v>82.07</v>
      </c>
      <c r="E311" s="2">
        <f t="shared" si="8"/>
        <v>0.59000000000000341</v>
      </c>
      <c r="F311" s="11">
        <v>0.26</v>
      </c>
      <c r="G311" s="3">
        <f t="shared" si="9"/>
        <v>1.0283087345753731E-2</v>
      </c>
    </row>
    <row r="312" spans="1:7">
      <c r="A312" s="1">
        <v>31</v>
      </c>
      <c r="B312" s="1" t="s">
        <v>17</v>
      </c>
      <c r="C312" s="11">
        <v>20</v>
      </c>
      <c r="D312" s="11">
        <v>19.93</v>
      </c>
      <c r="E312" s="2">
        <f t="shared" si="8"/>
        <v>7.0000000000000284E-2</v>
      </c>
      <c r="F312" s="11">
        <v>0.1</v>
      </c>
      <c r="G312" s="3">
        <f t="shared" si="9"/>
        <v>8.5000000000000145E-3</v>
      </c>
    </row>
    <row r="313" spans="1:7">
      <c r="A313" s="1">
        <v>1</v>
      </c>
      <c r="B313" s="1" t="s">
        <v>18</v>
      </c>
      <c r="C313" s="11">
        <v>120</v>
      </c>
      <c r="D313" s="11">
        <v>119.31</v>
      </c>
      <c r="E313" s="2">
        <f t="shared" si="8"/>
        <v>0.68999999999999773</v>
      </c>
      <c r="F313" s="11">
        <v>1.075</v>
      </c>
      <c r="G313" s="3">
        <f t="shared" ref="G313:G356" si="10">(E313+F313)/C313</f>
        <v>1.4708333333333315E-2</v>
      </c>
    </row>
    <row r="314" spans="1:7">
      <c r="A314" s="1">
        <v>2</v>
      </c>
      <c r="B314" s="1" t="s">
        <v>18</v>
      </c>
      <c r="C314" s="11">
        <v>240</v>
      </c>
      <c r="D314" s="11">
        <v>239.21</v>
      </c>
      <c r="E314" s="2">
        <f t="shared" si="8"/>
        <v>0.78999999999999204</v>
      </c>
      <c r="F314" s="11">
        <v>2.7509999999999999</v>
      </c>
      <c r="G314" s="3">
        <f t="shared" si="10"/>
        <v>1.4754166666666632E-2</v>
      </c>
    </row>
    <row r="315" spans="1:7">
      <c r="A315" s="1">
        <v>3</v>
      </c>
      <c r="B315" s="1" t="s">
        <v>18</v>
      </c>
      <c r="C315" s="11">
        <v>200</v>
      </c>
      <c r="D315" s="11">
        <v>199.51</v>
      </c>
      <c r="E315" s="2">
        <f t="shared" si="8"/>
        <v>0.49000000000000909</v>
      </c>
      <c r="F315" s="11">
        <v>1.72</v>
      </c>
      <c r="G315" s="3">
        <f t="shared" si="10"/>
        <v>1.1050000000000044E-2</v>
      </c>
    </row>
    <row r="316" spans="1:7">
      <c r="A316" s="1">
        <v>4</v>
      </c>
      <c r="B316" s="1" t="s">
        <v>18</v>
      </c>
      <c r="C316" s="11">
        <v>200</v>
      </c>
      <c r="D316" s="11">
        <v>199.1</v>
      </c>
      <c r="E316" s="2">
        <f t="shared" si="8"/>
        <v>0.90000000000000568</v>
      </c>
      <c r="F316" s="11">
        <v>1.8440000000000001</v>
      </c>
      <c r="G316" s="3">
        <f t="shared" si="10"/>
        <v>1.3720000000000031E-2</v>
      </c>
    </row>
    <row r="317" spans="1:7">
      <c r="A317" s="1">
        <v>5</v>
      </c>
      <c r="B317" s="1" t="s">
        <v>18</v>
      </c>
      <c r="C317" s="11">
        <v>180</v>
      </c>
      <c r="D317" s="11">
        <v>178.61</v>
      </c>
      <c r="E317" s="2">
        <f t="shared" si="8"/>
        <v>1.3899999999999864</v>
      </c>
      <c r="F317" s="11">
        <v>1.151</v>
      </c>
      <c r="G317" s="3">
        <f t="shared" si="10"/>
        <v>1.411666666666659E-2</v>
      </c>
    </row>
    <row r="318" spans="1:7">
      <c r="A318" s="1">
        <v>6</v>
      </c>
      <c r="B318" s="1" t="s">
        <v>18</v>
      </c>
      <c r="C318" s="11">
        <v>20</v>
      </c>
      <c r="D318" s="11">
        <v>19.96</v>
      </c>
      <c r="E318" s="2">
        <f t="shared" si="8"/>
        <v>3.9999999999999147E-2</v>
      </c>
      <c r="F318" s="11">
        <v>0.23300000000000001</v>
      </c>
      <c r="G318" s="3">
        <f t="shared" si="10"/>
        <v>1.3649999999999957E-2</v>
      </c>
    </row>
    <row r="319" spans="1:7">
      <c r="A319" s="1">
        <v>7</v>
      </c>
      <c r="B319" s="1" t="s">
        <v>18</v>
      </c>
      <c r="C319" s="11">
        <v>100</v>
      </c>
      <c r="D319" s="11">
        <v>99.37</v>
      </c>
      <c r="E319" s="2">
        <f t="shared" si="8"/>
        <v>0.62999999999999545</v>
      </c>
      <c r="F319" s="11">
        <v>0.75</v>
      </c>
      <c r="G319" s="3">
        <f t="shared" si="10"/>
        <v>1.3799999999999955E-2</v>
      </c>
    </row>
    <row r="320" spans="1:7">
      <c r="A320" s="1">
        <v>10</v>
      </c>
      <c r="B320" s="1" t="s">
        <v>18</v>
      </c>
      <c r="C320" s="11">
        <v>255.85999999999999</v>
      </c>
      <c r="D320" s="11">
        <v>255.79</v>
      </c>
      <c r="E320" s="2">
        <f t="shared" si="8"/>
        <v>6.9999999999993179E-2</v>
      </c>
      <c r="F320" s="11">
        <v>3.1109999999999758</v>
      </c>
      <c r="G320" s="3">
        <f t="shared" si="10"/>
        <v>1.2432580317360937E-2</v>
      </c>
    </row>
    <row r="321" spans="1:7">
      <c r="A321" s="1">
        <v>8</v>
      </c>
      <c r="B321" s="1" t="s">
        <v>18</v>
      </c>
      <c r="C321" s="11">
        <v>100</v>
      </c>
      <c r="D321" s="11">
        <v>99.84</v>
      </c>
      <c r="E321" s="2">
        <f t="shared" si="8"/>
        <v>0.15999999999999659</v>
      </c>
      <c r="F321" s="11">
        <v>1.3340000000000001</v>
      </c>
      <c r="G321" s="3">
        <f t="shared" si="10"/>
        <v>1.4939999999999967E-2</v>
      </c>
    </row>
    <row r="322" spans="1:7">
      <c r="A322" s="1">
        <v>9</v>
      </c>
      <c r="B322" s="1" t="s">
        <v>18</v>
      </c>
      <c r="C322" s="11">
        <v>80</v>
      </c>
      <c r="D322" s="11">
        <v>79.849999999999994</v>
      </c>
      <c r="E322" s="2">
        <f t="shared" si="8"/>
        <v>0.15000000000000568</v>
      </c>
      <c r="F322" s="11">
        <v>1.044</v>
      </c>
      <c r="G322" s="3">
        <f t="shared" si="10"/>
        <v>1.4925000000000072E-2</v>
      </c>
    </row>
    <row r="323" spans="1:7">
      <c r="A323" s="1">
        <v>11</v>
      </c>
      <c r="B323" s="1" t="s">
        <v>18</v>
      </c>
      <c r="C323" s="11">
        <v>173.18</v>
      </c>
      <c r="D323" s="11">
        <v>172.32999999999998</v>
      </c>
      <c r="E323" s="2">
        <f t="shared" si="8"/>
        <v>0.85000000000002274</v>
      </c>
      <c r="F323" s="11">
        <v>1.7299999999999898</v>
      </c>
      <c r="G323" s="3">
        <f t="shared" si="10"/>
        <v>1.4897794202563878E-2</v>
      </c>
    </row>
    <row r="324" spans="1:7">
      <c r="A324" s="1">
        <v>12</v>
      </c>
      <c r="B324" s="1" t="s">
        <v>18</v>
      </c>
      <c r="C324" s="11">
        <v>110.28</v>
      </c>
      <c r="D324" s="11">
        <v>109.75</v>
      </c>
      <c r="E324" s="2">
        <f t="shared" ref="E324:E387" si="11">C324-D324</f>
        <v>0.53000000000000114</v>
      </c>
      <c r="F324" s="11">
        <v>1.1110000000000042</v>
      </c>
      <c r="G324" s="3">
        <f t="shared" si="10"/>
        <v>1.488030467899896E-2</v>
      </c>
    </row>
    <row r="325" spans="1:7">
      <c r="A325" s="1">
        <v>13</v>
      </c>
      <c r="B325" s="1" t="s">
        <v>18</v>
      </c>
      <c r="C325" s="11">
        <v>63.290000000000006</v>
      </c>
      <c r="D325" s="11">
        <v>62.77</v>
      </c>
      <c r="E325" s="2">
        <f t="shared" si="11"/>
        <v>0.52000000000000313</v>
      </c>
      <c r="F325" s="11">
        <v>0.40600000000002012</v>
      </c>
      <c r="G325" s="3">
        <f t="shared" si="10"/>
        <v>1.463106335914083E-2</v>
      </c>
    </row>
    <row r="326" spans="1:7">
      <c r="A326" s="1">
        <v>14</v>
      </c>
      <c r="B326" s="1" t="s">
        <v>18</v>
      </c>
      <c r="C326" s="11">
        <v>125.57</v>
      </c>
      <c r="D326" s="11">
        <v>125.24000000000001</v>
      </c>
      <c r="E326" s="2">
        <f t="shared" si="11"/>
        <v>0.32999999999998408</v>
      </c>
      <c r="F326" s="11">
        <v>1.5080000000000098</v>
      </c>
      <c r="G326" s="3">
        <f t="shared" si="10"/>
        <v>1.4637254121207246E-2</v>
      </c>
    </row>
    <row r="327" spans="1:7">
      <c r="A327" s="1">
        <v>15</v>
      </c>
      <c r="B327" s="1" t="s">
        <v>18</v>
      </c>
      <c r="C327" s="11">
        <v>76.59</v>
      </c>
      <c r="D327" s="11">
        <v>75.739999999999995</v>
      </c>
      <c r="E327" s="2">
        <f t="shared" si="11"/>
        <v>0.85000000000000853</v>
      </c>
      <c r="F327" s="11">
        <v>0.28800000000001091</v>
      </c>
      <c r="G327" s="3">
        <f t="shared" si="10"/>
        <v>1.4858336597467285E-2</v>
      </c>
    </row>
    <row r="328" spans="1:7">
      <c r="A328" s="1">
        <v>16</v>
      </c>
      <c r="B328" s="1" t="s">
        <v>18</v>
      </c>
      <c r="C328" s="11">
        <v>169.51</v>
      </c>
      <c r="D328" s="11">
        <v>168.31</v>
      </c>
      <c r="E328" s="2">
        <f t="shared" si="11"/>
        <v>1.1999999999999886</v>
      </c>
      <c r="F328" s="11">
        <v>1.2110000000000001</v>
      </c>
      <c r="G328" s="3">
        <f t="shared" si="10"/>
        <v>1.4223349654887552E-2</v>
      </c>
    </row>
    <row r="329" spans="1:7">
      <c r="A329" s="1">
        <v>17</v>
      </c>
      <c r="B329" s="1" t="s">
        <v>18</v>
      </c>
      <c r="C329" s="11">
        <v>79.739999999999995</v>
      </c>
      <c r="D329" s="11">
        <v>79.36</v>
      </c>
      <c r="E329" s="2">
        <f t="shared" si="11"/>
        <v>0.37999999999999545</v>
      </c>
      <c r="F329" s="11">
        <v>0.80800000000000005</v>
      </c>
      <c r="G329" s="3">
        <f t="shared" si="10"/>
        <v>1.4898419864559764E-2</v>
      </c>
    </row>
    <row r="330" spans="1:7">
      <c r="A330" s="1">
        <v>18</v>
      </c>
      <c r="B330" s="1" t="s">
        <v>18</v>
      </c>
      <c r="C330" s="11">
        <v>160</v>
      </c>
      <c r="D330" s="11">
        <v>159.18</v>
      </c>
      <c r="E330" s="2">
        <f t="shared" si="11"/>
        <v>0.81999999999999318</v>
      </c>
      <c r="F330" s="11">
        <v>1.4549999999999841</v>
      </c>
      <c r="G330" s="3">
        <f t="shared" si="10"/>
        <v>1.4218749999999858E-2</v>
      </c>
    </row>
    <row r="331" spans="1:7">
      <c r="A331" s="1">
        <v>19</v>
      </c>
      <c r="B331" s="1" t="s">
        <v>18</v>
      </c>
      <c r="C331" s="11">
        <v>164.50399999999999</v>
      </c>
      <c r="D331" s="11">
        <v>164.12</v>
      </c>
      <c r="E331" s="2">
        <f t="shared" si="11"/>
        <v>0.38399999999998613</v>
      </c>
      <c r="F331" s="11">
        <v>2.0680000000000121</v>
      </c>
      <c r="G331" s="3">
        <f t="shared" si="10"/>
        <v>1.4905412634343227E-2</v>
      </c>
    </row>
    <row r="332" spans="1:7">
      <c r="A332" s="1">
        <v>20</v>
      </c>
      <c r="B332" s="1" t="s">
        <v>18</v>
      </c>
      <c r="C332" s="11">
        <v>0</v>
      </c>
      <c r="D332" s="11">
        <v>0</v>
      </c>
      <c r="E332" s="2">
        <f t="shared" si="11"/>
        <v>0</v>
      </c>
      <c r="F332" s="11">
        <v>0.97699999999999998</v>
      </c>
      <c r="G332" s="3" t="e">
        <f t="shared" si="10"/>
        <v>#DIV/0!</v>
      </c>
    </row>
    <row r="333" spans="1:7">
      <c r="A333" s="1">
        <v>21</v>
      </c>
      <c r="B333" s="1" t="s">
        <v>18</v>
      </c>
      <c r="C333" s="11">
        <v>80</v>
      </c>
      <c r="D333" s="11">
        <v>79.66</v>
      </c>
      <c r="E333" s="2">
        <f t="shared" si="11"/>
        <v>0.34000000000000341</v>
      </c>
      <c r="F333" s="11">
        <v>0.81599999999999995</v>
      </c>
      <c r="G333" s="3">
        <f t="shared" si="10"/>
        <v>1.4450000000000041E-2</v>
      </c>
    </row>
    <row r="334" spans="1:7">
      <c r="A334" s="1">
        <v>22</v>
      </c>
      <c r="B334" s="1" t="s">
        <v>18</v>
      </c>
      <c r="C334" s="11">
        <v>80</v>
      </c>
      <c r="D334" s="11">
        <v>79.77</v>
      </c>
      <c r="E334" s="2">
        <f t="shared" si="11"/>
        <v>0.23000000000000398</v>
      </c>
      <c r="F334" s="11">
        <v>0.95899999999999996</v>
      </c>
      <c r="G334" s="3">
        <f t="shared" si="10"/>
        <v>1.4862500000000051E-2</v>
      </c>
    </row>
    <row r="335" spans="1:7">
      <c r="A335" s="1">
        <v>23</v>
      </c>
      <c r="B335" s="1" t="s">
        <v>18</v>
      </c>
      <c r="C335" s="11">
        <v>80</v>
      </c>
      <c r="D335" s="11">
        <v>79.760000000000005</v>
      </c>
      <c r="E335" s="2">
        <f t="shared" si="11"/>
        <v>0.23999999999999488</v>
      </c>
      <c r="F335" s="11">
        <v>0.95299999999999996</v>
      </c>
      <c r="G335" s="3">
        <f t="shared" si="10"/>
        <v>1.4912499999999934E-2</v>
      </c>
    </row>
    <row r="336" spans="1:7">
      <c r="A336" s="1">
        <v>24</v>
      </c>
      <c r="B336" s="1" t="s">
        <v>18</v>
      </c>
      <c r="C336" s="11">
        <v>100</v>
      </c>
      <c r="D336" s="11">
        <v>99.57</v>
      </c>
      <c r="E336" s="2">
        <f t="shared" si="11"/>
        <v>0.43000000000000682</v>
      </c>
      <c r="F336" s="11">
        <v>1.056</v>
      </c>
      <c r="G336" s="3">
        <f t="shared" si="10"/>
        <v>1.4860000000000069E-2</v>
      </c>
    </row>
    <row r="337" spans="1:7">
      <c r="A337" s="1">
        <v>25</v>
      </c>
      <c r="B337" s="1" t="s">
        <v>18</v>
      </c>
      <c r="C337" s="11">
        <v>146.232</v>
      </c>
      <c r="D337" s="11">
        <v>145.59</v>
      </c>
      <c r="E337" s="2">
        <f t="shared" si="11"/>
        <v>0.64199999999999591</v>
      </c>
      <c r="F337" s="11">
        <v>1.53</v>
      </c>
      <c r="G337" s="3">
        <f t="shared" si="10"/>
        <v>1.4853110126374502E-2</v>
      </c>
    </row>
    <row r="338" spans="1:7">
      <c r="A338" s="1">
        <v>26</v>
      </c>
      <c r="B338" s="1" t="s">
        <v>18</v>
      </c>
      <c r="C338" s="11">
        <v>0</v>
      </c>
      <c r="D338" s="11">
        <v>0</v>
      </c>
      <c r="E338" s="2">
        <f t="shared" si="11"/>
        <v>0</v>
      </c>
      <c r="F338" s="11">
        <v>0.76800000000000002</v>
      </c>
      <c r="G338" s="3" t="e">
        <f t="shared" si="10"/>
        <v>#DIV/0!</v>
      </c>
    </row>
    <row r="339" spans="1:7">
      <c r="A339" s="1">
        <v>27</v>
      </c>
      <c r="B339" s="1" t="s">
        <v>18</v>
      </c>
      <c r="C339" s="11">
        <v>226.03</v>
      </c>
      <c r="D339" s="11">
        <v>225.29</v>
      </c>
      <c r="E339" s="2">
        <f t="shared" si="11"/>
        <v>0.74000000000000909</v>
      </c>
      <c r="F339" s="11">
        <v>2.903</v>
      </c>
      <c r="G339" s="3">
        <f t="shared" si="10"/>
        <v>1.6117329558023311E-2</v>
      </c>
    </row>
    <row r="340" spans="1:7">
      <c r="A340" s="1">
        <v>28</v>
      </c>
      <c r="B340" s="1" t="s">
        <v>18</v>
      </c>
      <c r="C340" s="11">
        <v>80</v>
      </c>
      <c r="D340" s="11">
        <v>79.790000000000006</v>
      </c>
      <c r="E340" s="2">
        <f t="shared" si="11"/>
        <v>0.20999999999999375</v>
      </c>
      <c r="F340" s="11">
        <v>0.90700000000000003</v>
      </c>
      <c r="G340" s="3">
        <f t="shared" si="10"/>
        <v>1.3962499999999923E-2</v>
      </c>
    </row>
    <row r="341" spans="1:7">
      <c r="A341" s="1">
        <v>29</v>
      </c>
      <c r="B341" s="1" t="s">
        <v>18</v>
      </c>
      <c r="C341" s="11">
        <v>80</v>
      </c>
      <c r="D341" s="11">
        <v>79.73</v>
      </c>
      <c r="E341" s="2">
        <f t="shared" si="11"/>
        <v>0.26999999999999602</v>
      </c>
      <c r="F341" s="11">
        <v>0.91800000000000004</v>
      </c>
      <c r="G341" s="3">
        <f t="shared" si="10"/>
        <v>1.4849999999999952E-2</v>
      </c>
    </row>
    <row r="342" spans="1:7">
      <c r="A342" s="1">
        <v>30</v>
      </c>
      <c r="B342" s="1" t="s">
        <v>18</v>
      </c>
      <c r="C342" s="11">
        <v>80</v>
      </c>
      <c r="D342" s="11">
        <v>79.709999999999994</v>
      </c>
      <c r="E342" s="2">
        <f t="shared" si="11"/>
        <v>0.29000000000000625</v>
      </c>
      <c r="F342" s="11">
        <v>0.89700000000000002</v>
      </c>
      <c r="G342" s="3">
        <f t="shared" si="10"/>
        <v>1.4837500000000078E-2</v>
      </c>
    </row>
    <row r="343" spans="1:7">
      <c r="A343" s="1">
        <v>31</v>
      </c>
      <c r="B343" s="1" t="s">
        <v>18</v>
      </c>
      <c r="C343" s="11">
        <v>145.54</v>
      </c>
      <c r="D343" s="11">
        <v>144.88999999999999</v>
      </c>
      <c r="E343" s="2">
        <f t="shared" si="11"/>
        <v>0.65000000000000568</v>
      </c>
      <c r="F343" s="11">
        <v>1.619</v>
      </c>
      <c r="G343" s="3">
        <f t="shared" si="10"/>
        <v>1.5590215748247942E-2</v>
      </c>
    </row>
    <row r="344" spans="1:7">
      <c r="A344" s="1">
        <v>1</v>
      </c>
      <c r="B344" s="1" t="s">
        <v>19</v>
      </c>
      <c r="C344" s="11">
        <v>80</v>
      </c>
      <c r="D344" s="11">
        <v>79.02</v>
      </c>
      <c r="E344" s="2">
        <f t="shared" si="11"/>
        <v>0.98000000000000398</v>
      </c>
      <c r="F344" s="11">
        <v>0.23400000000000001</v>
      </c>
      <c r="G344" s="3">
        <f t="shared" si="10"/>
        <v>1.517500000000005E-2</v>
      </c>
    </row>
    <row r="345" spans="1:7">
      <c r="A345" s="1">
        <v>2</v>
      </c>
      <c r="B345" s="1" t="s">
        <v>19</v>
      </c>
      <c r="C345" s="11">
        <v>205</v>
      </c>
      <c r="D345" s="11">
        <v>202.04</v>
      </c>
      <c r="E345" s="2">
        <f t="shared" si="11"/>
        <v>2.960000000000008</v>
      </c>
      <c r="F345" s="11">
        <v>0.125</v>
      </c>
      <c r="G345" s="3">
        <f t="shared" si="10"/>
        <v>1.5048780487804917E-2</v>
      </c>
    </row>
    <row r="346" spans="1:7">
      <c r="A346" s="1">
        <v>3</v>
      </c>
      <c r="B346" s="1" t="s">
        <v>19</v>
      </c>
      <c r="C346" s="11">
        <v>40</v>
      </c>
      <c r="D346" s="11">
        <v>39.58</v>
      </c>
      <c r="E346" s="2">
        <f t="shared" si="11"/>
        <v>0.42000000000000171</v>
      </c>
      <c r="F346" s="11">
        <v>0.12</v>
      </c>
      <c r="G346" s="3">
        <f t="shared" si="10"/>
        <v>1.3500000000000043E-2</v>
      </c>
    </row>
    <row r="347" spans="1:7">
      <c r="A347" s="1">
        <v>4</v>
      </c>
      <c r="B347" s="1" t="s">
        <v>19</v>
      </c>
      <c r="C347" s="11">
        <v>80</v>
      </c>
      <c r="D347" s="11">
        <v>78.95</v>
      </c>
      <c r="E347" s="2">
        <f t="shared" si="11"/>
        <v>1.0499999999999972</v>
      </c>
      <c r="F347" s="11">
        <v>0.252</v>
      </c>
      <c r="G347" s="3">
        <f t="shared" si="10"/>
        <v>1.6274999999999963E-2</v>
      </c>
    </row>
    <row r="348" spans="1:7">
      <c r="A348" s="1">
        <v>5</v>
      </c>
      <c r="B348" s="1" t="s">
        <v>19</v>
      </c>
      <c r="C348" s="11">
        <v>120</v>
      </c>
      <c r="D348" s="11">
        <v>118.77</v>
      </c>
      <c r="E348" s="2">
        <f t="shared" si="11"/>
        <v>1.230000000000004</v>
      </c>
      <c r="F348" s="11">
        <v>0.252</v>
      </c>
      <c r="G348" s="3">
        <f t="shared" si="10"/>
        <v>1.2350000000000033E-2</v>
      </c>
    </row>
    <row r="349" spans="1:7">
      <c r="A349" s="1">
        <v>6</v>
      </c>
      <c r="B349" s="1" t="s">
        <v>19</v>
      </c>
      <c r="C349" s="11">
        <v>120</v>
      </c>
      <c r="D349" s="11">
        <v>118.48</v>
      </c>
      <c r="E349" s="2">
        <f t="shared" si="11"/>
        <v>1.519999999999996</v>
      </c>
      <c r="F349" s="11">
        <v>0.125</v>
      </c>
      <c r="G349" s="3">
        <f t="shared" si="10"/>
        <v>1.37083333333333E-2</v>
      </c>
    </row>
    <row r="350" spans="1:7">
      <c r="A350" s="1">
        <v>7</v>
      </c>
      <c r="B350" s="1" t="s">
        <v>19</v>
      </c>
      <c r="C350" s="11">
        <v>60</v>
      </c>
      <c r="D350" s="11">
        <v>59.37</v>
      </c>
      <c r="E350" s="2">
        <f t="shared" si="11"/>
        <v>0.63000000000000256</v>
      </c>
      <c r="F350" s="11">
        <v>0.125</v>
      </c>
      <c r="G350" s="3">
        <f t="shared" si="10"/>
        <v>1.2583333333333375E-2</v>
      </c>
    </row>
    <row r="351" spans="1:7">
      <c r="A351" s="1">
        <v>10</v>
      </c>
      <c r="B351" s="1" t="s">
        <v>19</v>
      </c>
      <c r="C351" s="11">
        <v>160</v>
      </c>
      <c r="D351" s="11">
        <v>157.82</v>
      </c>
      <c r="E351" s="2">
        <f t="shared" si="11"/>
        <v>2.1800000000000068</v>
      </c>
      <c r="F351" s="11">
        <v>0.14099999999999999</v>
      </c>
      <c r="G351" s="3">
        <f t="shared" si="10"/>
        <v>1.4506250000000043E-2</v>
      </c>
    </row>
    <row r="352" spans="1:7">
      <c r="A352" s="1">
        <v>8</v>
      </c>
      <c r="B352" s="1" t="s">
        <v>19</v>
      </c>
      <c r="C352" s="11">
        <v>80</v>
      </c>
      <c r="D352" s="11">
        <v>78.959999999999994</v>
      </c>
      <c r="E352" s="2">
        <f t="shared" si="11"/>
        <v>1.0400000000000063</v>
      </c>
      <c r="F352" s="11">
        <v>0.252</v>
      </c>
      <c r="G352" s="3">
        <f t="shared" si="10"/>
        <v>1.6150000000000077E-2</v>
      </c>
    </row>
    <row r="353" spans="1:7">
      <c r="A353" s="1">
        <v>9</v>
      </c>
      <c r="B353" s="1" t="s">
        <v>19</v>
      </c>
      <c r="C353" s="11">
        <v>200</v>
      </c>
      <c r="D353" s="11">
        <v>197.47</v>
      </c>
      <c r="E353" s="2">
        <f t="shared" si="11"/>
        <v>2.5300000000000011</v>
      </c>
      <c r="F353" s="11">
        <v>0.22500000000000001</v>
      </c>
      <c r="G353" s="3">
        <f t="shared" si="10"/>
        <v>1.3775000000000006E-2</v>
      </c>
    </row>
    <row r="354" spans="1:7">
      <c r="A354" s="1">
        <v>11</v>
      </c>
      <c r="B354" s="1" t="s">
        <v>19</v>
      </c>
      <c r="C354" s="11">
        <v>60</v>
      </c>
      <c r="D354" s="11">
        <v>59.02</v>
      </c>
      <c r="E354" s="2">
        <f t="shared" si="11"/>
        <v>0.97999999999999687</v>
      </c>
      <c r="F354" s="11">
        <v>0.13100000000000001</v>
      </c>
      <c r="G354" s="3">
        <f t="shared" si="10"/>
        <v>1.8516666666666615E-2</v>
      </c>
    </row>
    <row r="355" spans="1:7">
      <c r="A355" s="1">
        <v>12</v>
      </c>
      <c r="B355" s="1" t="s">
        <v>19</v>
      </c>
      <c r="C355" s="11">
        <v>60</v>
      </c>
      <c r="D355" s="11">
        <v>59.02</v>
      </c>
      <c r="E355" s="2">
        <f t="shared" si="11"/>
        <v>0.97999999999999687</v>
      </c>
      <c r="F355" s="11">
        <v>0.13</v>
      </c>
      <c r="G355" s="3">
        <f t="shared" si="10"/>
        <v>1.8499999999999947E-2</v>
      </c>
    </row>
    <row r="356" spans="1:7">
      <c r="A356" s="1">
        <v>13</v>
      </c>
      <c r="B356" s="1" t="s">
        <v>19</v>
      </c>
      <c r="C356" s="11">
        <v>80</v>
      </c>
      <c r="D356" s="11">
        <v>78.91</v>
      </c>
      <c r="E356" s="2">
        <f t="shared" si="11"/>
        <v>1.0900000000000034</v>
      </c>
      <c r="F356" s="11">
        <v>0.14099999999999999</v>
      </c>
      <c r="G356" s="3">
        <f t="shared" si="10"/>
        <v>1.5387500000000044E-2</v>
      </c>
    </row>
    <row r="357" spans="1:7">
      <c r="A357" s="1">
        <v>14</v>
      </c>
      <c r="B357" s="1" t="s">
        <v>19</v>
      </c>
      <c r="C357" s="11">
        <v>40</v>
      </c>
      <c r="D357" s="11">
        <v>39.4</v>
      </c>
      <c r="E357" s="2">
        <f t="shared" si="11"/>
        <v>0.60000000000000142</v>
      </c>
      <c r="F357" s="11">
        <v>0.11</v>
      </c>
      <c r="G357" s="3">
        <f t="shared" ref="G357:G420" si="12">(E357+F357)/C357</f>
        <v>1.7750000000000037E-2</v>
      </c>
    </row>
    <row r="358" spans="1:7">
      <c r="A358" s="1">
        <v>15</v>
      </c>
      <c r="B358" s="1" t="s">
        <v>19</v>
      </c>
      <c r="C358" s="11">
        <v>112.86</v>
      </c>
      <c r="D358" s="11">
        <v>111.11</v>
      </c>
      <c r="E358" s="2">
        <f t="shared" si="11"/>
        <v>1.75</v>
      </c>
      <c r="F358" s="11">
        <v>0.252</v>
      </c>
      <c r="G358" s="3">
        <f t="shared" si="12"/>
        <v>1.7738791423001946E-2</v>
      </c>
    </row>
    <row r="359" spans="1:7">
      <c r="A359" s="1">
        <v>16</v>
      </c>
      <c r="B359" s="1" t="s">
        <v>19</v>
      </c>
      <c r="C359" s="11">
        <v>100</v>
      </c>
      <c r="D359" s="11">
        <v>98.78</v>
      </c>
      <c r="E359" s="2">
        <f t="shared" si="11"/>
        <v>1.2199999999999989</v>
      </c>
      <c r="F359" s="11">
        <v>0.125</v>
      </c>
      <c r="G359" s="3">
        <f t="shared" si="12"/>
        <v>1.3449999999999988E-2</v>
      </c>
    </row>
    <row r="360" spans="1:7">
      <c r="A360" s="1">
        <v>17</v>
      </c>
      <c r="B360" s="1" t="s">
        <v>19</v>
      </c>
      <c r="C360" s="11">
        <v>20</v>
      </c>
      <c r="D360" s="11">
        <v>19.64</v>
      </c>
      <c r="E360" s="2">
        <f t="shared" si="11"/>
        <v>0.35999999999999943</v>
      </c>
      <c r="F360" s="11">
        <v>0.28499999999999998</v>
      </c>
      <c r="G360" s="3">
        <f t="shared" si="12"/>
        <v>3.2249999999999966E-2</v>
      </c>
    </row>
    <row r="361" spans="1:7">
      <c r="A361" s="1">
        <v>18</v>
      </c>
      <c r="B361" s="1" t="s">
        <v>19</v>
      </c>
      <c r="C361" s="11">
        <v>20</v>
      </c>
      <c r="D361" s="11">
        <v>19.690000000000001</v>
      </c>
      <c r="E361" s="2">
        <f t="shared" si="11"/>
        <v>0.30999999999999872</v>
      </c>
      <c r="F361" s="11">
        <v>0.25800000000000001</v>
      </c>
      <c r="G361" s="3">
        <f t="shared" si="12"/>
        <v>2.8399999999999936E-2</v>
      </c>
    </row>
    <row r="362" spans="1:7">
      <c r="A362" s="1">
        <v>19</v>
      </c>
      <c r="B362" s="1" t="s">
        <v>19</v>
      </c>
      <c r="C362" s="11">
        <v>106.42</v>
      </c>
      <c r="D362" s="11">
        <v>104.7</v>
      </c>
      <c r="E362" s="2">
        <f t="shared" si="11"/>
        <v>1.7199999999999989</v>
      </c>
      <c r="F362" s="11">
        <v>0.28199999999999997</v>
      </c>
      <c r="G362" s="3">
        <f t="shared" si="12"/>
        <v>1.8812253335839118E-2</v>
      </c>
    </row>
    <row r="363" spans="1:7">
      <c r="A363" s="1">
        <v>20</v>
      </c>
      <c r="B363" s="1" t="s">
        <v>19</v>
      </c>
      <c r="C363" s="11">
        <v>67.77</v>
      </c>
      <c r="D363" s="11">
        <v>66.47</v>
      </c>
      <c r="E363" s="2">
        <f t="shared" si="11"/>
        <v>1.2999999999999972</v>
      </c>
      <c r="F363" s="11">
        <v>0.28799999999999998</v>
      </c>
      <c r="G363" s="3">
        <f t="shared" si="12"/>
        <v>2.3432197137376379E-2</v>
      </c>
    </row>
    <row r="364" spans="1:7">
      <c r="A364" s="1">
        <v>21</v>
      </c>
      <c r="B364" s="1" t="s">
        <v>19</v>
      </c>
      <c r="C364" s="11">
        <v>110.83</v>
      </c>
      <c r="D364" s="11">
        <v>109.23</v>
      </c>
      <c r="E364" s="2">
        <f t="shared" si="11"/>
        <v>1.5999999999999943</v>
      </c>
      <c r="F364" s="11">
        <v>0.14399999999999999</v>
      </c>
      <c r="G364" s="3">
        <f t="shared" si="12"/>
        <v>1.573581160335644E-2</v>
      </c>
    </row>
    <row r="365" spans="1:7">
      <c r="A365" s="1">
        <v>22</v>
      </c>
      <c r="B365" s="1" t="s">
        <v>19</v>
      </c>
      <c r="C365" s="11">
        <v>49.72</v>
      </c>
      <c r="D365" s="11">
        <v>48.51</v>
      </c>
      <c r="E365" s="2">
        <f t="shared" si="11"/>
        <v>1.2100000000000009</v>
      </c>
      <c r="F365" s="11">
        <v>0.16200000000000001</v>
      </c>
      <c r="G365" s="3">
        <f t="shared" si="12"/>
        <v>2.7594529364440887E-2</v>
      </c>
    </row>
    <row r="366" spans="1:7">
      <c r="A366" s="1">
        <v>23</v>
      </c>
      <c r="B366" s="1" t="s">
        <v>19</v>
      </c>
      <c r="C366" s="11">
        <v>91.29</v>
      </c>
      <c r="D366" s="11">
        <v>89.78</v>
      </c>
      <c r="E366" s="2">
        <f t="shared" si="11"/>
        <v>1.5100000000000051</v>
      </c>
      <c r="F366" s="11">
        <v>0.222</v>
      </c>
      <c r="G366" s="3">
        <f t="shared" si="12"/>
        <v>1.8972505203198653E-2</v>
      </c>
    </row>
    <row r="367" spans="1:7">
      <c r="A367" s="1">
        <v>24</v>
      </c>
      <c r="B367" s="1" t="s">
        <v>19</v>
      </c>
      <c r="C367" s="11">
        <v>77.069999999999993</v>
      </c>
      <c r="D367" s="11">
        <v>75.37</v>
      </c>
      <c r="E367" s="2">
        <f t="shared" si="11"/>
        <v>1.6999999999999886</v>
      </c>
      <c r="F367" s="11">
        <v>0.115</v>
      </c>
      <c r="G367" s="3">
        <f t="shared" si="12"/>
        <v>2.3550019462825856E-2</v>
      </c>
    </row>
    <row r="368" spans="1:7">
      <c r="A368" s="1">
        <v>25</v>
      </c>
      <c r="B368" s="1" t="s">
        <v>19</v>
      </c>
      <c r="C368" s="11">
        <v>95.45</v>
      </c>
      <c r="D368" s="11">
        <v>93.51</v>
      </c>
      <c r="E368" s="2">
        <f t="shared" si="11"/>
        <v>1.9399999999999977</v>
      </c>
      <c r="F368" s="11">
        <v>0.16</v>
      </c>
      <c r="G368" s="3">
        <f t="shared" si="12"/>
        <v>2.2001047668936593E-2</v>
      </c>
    </row>
    <row r="369" spans="1:7">
      <c r="A369" s="1">
        <v>26</v>
      </c>
      <c r="B369" s="1" t="s">
        <v>19</v>
      </c>
      <c r="C369" s="11">
        <v>132.82</v>
      </c>
      <c r="D369" s="11">
        <v>130.47</v>
      </c>
      <c r="E369" s="2">
        <f t="shared" si="11"/>
        <v>2.3499999999999943</v>
      </c>
      <c r="F369" s="11">
        <v>0.182</v>
      </c>
      <c r="G369" s="3">
        <f t="shared" si="12"/>
        <v>1.9063394067158519E-2</v>
      </c>
    </row>
    <row r="370" spans="1:7">
      <c r="A370" s="1">
        <v>27</v>
      </c>
      <c r="B370" s="1" t="s">
        <v>19</v>
      </c>
      <c r="C370" s="11">
        <v>80</v>
      </c>
      <c r="D370" s="11">
        <v>79.290000000000006</v>
      </c>
      <c r="E370" s="2">
        <f t="shared" si="11"/>
        <v>0.70999999999999375</v>
      </c>
      <c r="F370" s="11">
        <v>0.13200000000000001</v>
      </c>
      <c r="G370" s="3">
        <f t="shared" si="12"/>
        <v>1.0524999999999922E-2</v>
      </c>
    </row>
    <row r="371" spans="1:7">
      <c r="A371" s="1">
        <v>28</v>
      </c>
      <c r="B371" s="1" t="s">
        <v>19</v>
      </c>
      <c r="C371" s="11">
        <v>100</v>
      </c>
      <c r="D371" s="11">
        <v>98.68</v>
      </c>
      <c r="E371" s="2">
        <f t="shared" si="11"/>
        <v>1.3199999999999932</v>
      </c>
      <c r="F371" s="11">
        <v>0.17499999999999999</v>
      </c>
      <c r="G371" s="3">
        <f t="shared" si="12"/>
        <v>1.4949999999999932E-2</v>
      </c>
    </row>
    <row r="372" spans="1:7">
      <c r="A372" s="1">
        <v>29</v>
      </c>
      <c r="B372" s="1" t="s">
        <v>19</v>
      </c>
      <c r="C372" s="11">
        <v>40</v>
      </c>
      <c r="D372" s="11">
        <v>39.6</v>
      </c>
      <c r="E372" s="2">
        <f t="shared" si="11"/>
        <v>0.39999999999999858</v>
      </c>
      <c r="F372" s="11">
        <v>0.16500000000000001</v>
      </c>
      <c r="G372" s="3">
        <f t="shared" si="12"/>
        <v>1.4124999999999966E-2</v>
      </c>
    </row>
    <row r="373" spans="1:7">
      <c r="A373" s="1">
        <v>30</v>
      </c>
      <c r="B373" s="1" t="s">
        <v>19</v>
      </c>
      <c r="C373" s="11">
        <v>120</v>
      </c>
      <c r="D373" s="11">
        <v>118.55</v>
      </c>
      <c r="E373" s="2">
        <f t="shared" si="11"/>
        <v>1.4500000000000028</v>
      </c>
      <c r="F373" s="11">
        <v>0.18</v>
      </c>
      <c r="G373" s="3">
        <f t="shared" si="12"/>
        <v>1.3583333333333357E-2</v>
      </c>
    </row>
    <row r="374" spans="1:7">
      <c r="A374" s="1">
        <v>31</v>
      </c>
      <c r="B374" s="1" t="s">
        <v>19</v>
      </c>
      <c r="C374" s="11">
        <v>80</v>
      </c>
      <c r="D374" s="11">
        <v>79.239999999999995</v>
      </c>
      <c r="E374" s="2">
        <f t="shared" si="11"/>
        <v>0.76000000000000512</v>
      </c>
      <c r="F374" s="11">
        <v>0.16500000000000001</v>
      </c>
      <c r="G374" s="3">
        <f t="shared" si="12"/>
        <v>1.1562500000000064E-2</v>
      </c>
    </row>
    <row r="375" spans="1:7">
      <c r="A375" s="1">
        <v>1</v>
      </c>
      <c r="B375" s="1" t="s">
        <v>20</v>
      </c>
      <c r="C375" s="11">
        <v>40</v>
      </c>
      <c r="D375" s="11">
        <v>39.92</v>
      </c>
      <c r="E375" s="2">
        <f t="shared" si="11"/>
        <v>7.9999999999998295E-2</v>
      </c>
      <c r="F375" s="11">
        <v>0.57999999999999996</v>
      </c>
      <c r="G375" s="3">
        <f t="shared" si="12"/>
        <v>1.6499999999999956E-2</v>
      </c>
    </row>
    <row r="376" spans="1:7">
      <c r="A376" s="1">
        <v>2</v>
      </c>
      <c r="B376" s="1" t="s">
        <v>20</v>
      </c>
      <c r="C376" s="11">
        <v>60</v>
      </c>
      <c r="D376" s="11">
        <v>59.86</v>
      </c>
      <c r="E376" s="2">
        <f t="shared" si="11"/>
        <v>0.14000000000000057</v>
      </c>
      <c r="F376" s="11">
        <v>0.86</v>
      </c>
      <c r="G376" s="3">
        <f t="shared" si="12"/>
        <v>1.6666666666666673E-2</v>
      </c>
    </row>
    <row r="377" spans="1:7">
      <c r="A377" s="1">
        <v>3</v>
      </c>
      <c r="B377" s="1" t="s">
        <v>20</v>
      </c>
      <c r="C377" s="11">
        <v>40</v>
      </c>
      <c r="D377" s="11">
        <v>39.880000000000003</v>
      </c>
      <c r="E377" s="2">
        <f t="shared" si="11"/>
        <v>0.11999999999999744</v>
      </c>
      <c r="F377" s="11">
        <v>1.3580000000000001</v>
      </c>
      <c r="G377" s="3">
        <f t="shared" si="12"/>
        <v>3.6949999999999941E-2</v>
      </c>
    </row>
    <row r="378" spans="1:7">
      <c r="A378" s="1">
        <v>4</v>
      </c>
      <c r="B378" s="1" t="s">
        <v>20</v>
      </c>
      <c r="C378" s="11">
        <v>60</v>
      </c>
      <c r="D378" s="11">
        <v>59.8</v>
      </c>
      <c r="E378" s="2">
        <f t="shared" si="11"/>
        <v>0.20000000000000284</v>
      </c>
      <c r="F378" s="11">
        <v>0.67800000000000005</v>
      </c>
      <c r="G378" s="3">
        <f t="shared" si="12"/>
        <v>1.4633333333333382E-2</v>
      </c>
    </row>
    <row r="379" spans="1:7">
      <c r="A379" s="1">
        <v>5</v>
      </c>
      <c r="B379" s="1" t="s">
        <v>20</v>
      </c>
      <c r="C379" s="11">
        <v>60</v>
      </c>
      <c r="D379" s="11">
        <v>59.8</v>
      </c>
      <c r="E379" s="2">
        <f t="shared" si="11"/>
        <v>0.20000000000000284</v>
      </c>
      <c r="F379" s="11">
        <v>0.33800000000000002</v>
      </c>
      <c r="G379" s="3">
        <f t="shared" si="12"/>
        <v>8.9666666666667148E-3</v>
      </c>
    </row>
    <row r="380" spans="1:7">
      <c r="A380" s="1">
        <v>6</v>
      </c>
      <c r="B380" s="1" t="s">
        <v>20</v>
      </c>
      <c r="C380" s="11">
        <v>60</v>
      </c>
      <c r="D380" s="11">
        <v>59.92</v>
      </c>
      <c r="E380" s="2">
        <f t="shared" si="11"/>
        <v>7.9999999999998295E-2</v>
      </c>
      <c r="F380" s="11">
        <v>0.51800000000000002</v>
      </c>
      <c r="G380" s="3">
        <f t="shared" si="12"/>
        <v>9.9666666666666393E-3</v>
      </c>
    </row>
    <row r="381" spans="1:7">
      <c r="A381" s="1">
        <v>7</v>
      </c>
      <c r="B381" s="1" t="s">
        <v>20</v>
      </c>
      <c r="C381" s="11">
        <v>20</v>
      </c>
      <c r="D381" s="11">
        <v>19.940000000000001</v>
      </c>
      <c r="E381" s="2">
        <f t="shared" si="11"/>
        <v>5.9999999999998721E-2</v>
      </c>
      <c r="F381" s="11">
        <v>1.2E-2</v>
      </c>
      <c r="G381" s="3">
        <f t="shared" si="12"/>
        <v>3.5999999999999357E-3</v>
      </c>
    </row>
    <row r="382" spans="1:7">
      <c r="A382" s="1">
        <v>10</v>
      </c>
      <c r="B382" s="1" t="s">
        <v>20</v>
      </c>
      <c r="C382" s="11">
        <v>59.496000000000002</v>
      </c>
      <c r="D382" s="11">
        <v>58.8</v>
      </c>
      <c r="E382" s="2">
        <f t="shared" si="11"/>
        <v>0.69600000000000506</v>
      </c>
      <c r="F382" s="11">
        <v>0.46200000000000002</v>
      </c>
      <c r="G382" s="3">
        <f t="shared" si="12"/>
        <v>1.9463493344090442E-2</v>
      </c>
    </row>
    <row r="383" spans="1:7">
      <c r="A383" s="1">
        <v>8</v>
      </c>
      <c r="B383" s="1" t="s">
        <v>20</v>
      </c>
      <c r="C383" s="11">
        <v>40</v>
      </c>
      <c r="D383" s="11">
        <v>39.9</v>
      </c>
      <c r="E383" s="2">
        <f t="shared" si="11"/>
        <v>0.10000000000000142</v>
      </c>
      <c r="F383" s="11">
        <v>0.63600000000000001</v>
      </c>
      <c r="G383" s="3">
        <f t="shared" si="12"/>
        <v>1.8400000000000034E-2</v>
      </c>
    </row>
    <row r="384" spans="1:7">
      <c r="A384" s="1">
        <v>9</v>
      </c>
      <c r="B384" s="1" t="s">
        <v>20</v>
      </c>
      <c r="C384" s="11">
        <v>40</v>
      </c>
      <c r="D384" s="11">
        <v>39.799999999999997</v>
      </c>
      <c r="E384" s="2">
        <f t="shared" si="11"/>
        <v>0.20000000000000284</v>
      </c>
      <c r="F384" s="11">
        <v>0.27600000000000002</v>
      </c>
      <c r="G384" s="3">
        <f t="shared" si="12"/>
        <v>1.1900000000000072E-2</v>
      </c>
    </row>
    <row r="385" spans="1:7">
      <c r="A385" s="1">
        <v>11</v>
      </c>
      <c r="B385" s="1" t="s">
        <v>20</v>
      </c>
      <c r="C385" s="11">
        <v>0</v>
      </c>
      <c r="D385" s="11">
        <v>0</v>
      </c>
      <c r="E385" s="2">
        <f t="shared" si="11"/>
        <v>0</v>
      </c>
      <c r="F385" s="11">
        <v>0</v>
      </c>
      <c r="G385" s="3" t="e">
        <f t="shared" si="12"/>
        <v>#DIV/0!</v>
      </c>
    </row>
    <row r="386" spans="1:7">
      <c r="A386" s="1">
        <v>12</v>
      </c>
      <c r="B386" s="1" t="s">
        <v>20</v>
      </c>
      <c r="C386" s="11">
        <v>96.54</v>
      </c>
      <c r="D386" s="11">
        <v>95.5</v>
      </c>
      <c r="E386" s="2">
        <f t="shared" si="11"/>
        <v>1.0400000000000063</v>
      </c>
      <c r="F386" s="11">
        <v>0.27800000000000002</v>
      </c>
      <c r="G386" s="3">
        <f t="shared" si="12"/>
        <v>1.3652372073751877E-2</v>
      </c>
    </row>
    <row r="387" spans="1:7">
      <c r="A387" s="1">
        <v>13</v>
      </c>
      <c r="B387" s="1" t="s">
        <v>20</v>
      </c>
      <c r="C387" s="11">
        <v>115.01600000000001</v>
      </c>
      <c r="D387" s="11">
        <v>114.06</v>
      </c>
      <c r="E387" s="2">
        <f t="shared" si="11"/>
        <v>0.95600000000000307</v>
      </c>
      <c r="F387" s="11">
        <v>0.314</v>
      </c>
      <c r="G387" s="3">
        <f t="shared" si="12"/>
        <v>1.1041941990679585E-2</v>
      </c>
    </row>
    <row r="388" spans="1:7">
      <c r="A388" s="1">
        <v>14</v>
      </c>
      <c r="B388" s="1" t="s">
        <v>20</v>
      </c>
      <c r="C388" s="11">
        <v>24.24</v>
      </c>
      <c r="D388" s="11">
        <v>23.94</v>
      </c>
      <c r="E388" s="2">
        <f t="shared" ref="E388:E451" si="13">C388-D388</f>
        <v>0.29999999999999716</v>
      </c>
      <c r="F388" s="11">
        <v>1.0999999999999999E-2</v>
      </c>
      <c r="G388" s="3">
        <f t="shared" si="12"/>
        <v>1.2830033003300214E-2</v>
      </c>
    </row>
    <row r="389" spans="1:7">
      <c r="A389" s="1">
        <v>15</v>
      </c>
      <c r="B389" s="1" t="s">
        <v>20</v>
      </c>
      <c r="C389" s="11">
        <v>24.463999999999999</v>
      </c>
      <c r="D389" s="11">
        <v>24.02</v>
      </c>
      <c r="E389" s="2">
        <f t="shared" si="13"/>
        <v>0.44399999999999906</v>
      </c>
      <c r="F389" s="11">
        <v>8.4000000000000005E-2</v>
      </c>
      <c r="G389" s="3">
        <f t="shared" si="12"/>
        <v>2.1582733812949603E-2</v>
      </c>
    </row>
    <row r="390" spans="1:7">
      <c r="A390" s="1">
        <v>16</v>
      </c>
      <c r="B390" s="1" t="s">
        <v>20</v>
      </c>
      <c r="C390" s="11">
        <v>0</v>
      </c>
      <c r="D390" s="11">
        <v>0</v>
      </c>
      <c r="E390" s="2">
        <f t="shared" si="13"/>
        <v>0</v>
      </c>
      <c r="F390" s="11">
        <v>0.45800000000000002</v>
      </c>
      <c r="G390" s="3" t="e">
        <f t="shared" si="12"/>
        <v>#DIV/0!</v>
      </c>
    </row>
    <row r="391" spans="1:7">
      <c r="A391" s="1">
        <v>17</v>
      </c>
      <c r="B391" s="1" t="s">
        <v>20</v>
      </c>
      <c r="C391" s="11">
        <v>50.09</v>
      </c>
      <c r="D391" s="11">
        <v>49.46</v>
      </c>
      <c r="E391" s="2">
        <f t="shared" si="13"/>
        <v>0.63000000000000256</v>
      </c>
      <c r="F391" s="11">
        <v>0.45800000000000002</v>
      </c>
      <c r="G391" s="3">
        <f t="shared" si="12"/>
        <v>2.1720902375723748E-2</v>
      </c>
    </row>
    <row r="392" spans="1:7">
      <c r="A392" s="1">
        <v>18</v>
      </c>
      <c r="B392" s="1" t="s">
        <v>20</v>
      </c>
      <c r="C392" s="11">
        <v>0</v>
      </c>
      <c r="D392" s="11">
        <v>0</v>
      </c>
      <c r="E392" s="2">
        <f t="shared" si="13"/>
        <v>0</v>
      </c>
      <c r="F392" s="11">
        <v>0.45800000000000002</v>
      </c>
      <c r="G392" s="3" t="e">
        <f t="shared" si="12"/>
        <v>#DIV/0!</v>
      </c>
    </row>
    <row r="393" spans="1:7">
      <c r="A393" s="1">
        <v>19</v>
      </c>
      <c r="B393" s="1" t="s">
        <v>20</v>
      </c>
      <c r="C393" s="11">
        <v>213.44</v>
      </c>
      <c r="D393" s="11">
        <v>209.11</v>
      </c>
      <c r="E393" s="2">
        <f t="shared" si="13"/>
        <v>4.3299999999999841</v>
      </c>
      <c r="F393" s="11">
        <v>5.7999999999999865</v>
      </c>
      <c r="G393" s="3">
        <f t="shared" si="12"/>
        <v>4.7460644677661035E-2</v>
      </c>
    </row>
    <row r="394" spans="1:7">
      <c r="A394" s="1">
        <v>20</v>
      </c>
      <c r="B394" s="1" t="s">
        <v>20</v>
      </c>
      <c r="C394" s="11">
        <v>23.472000000000001</v>
      </c>
      <c r="D394" s="11">
        <v>23.3</v>
      </c>
      <c r="E394" s="2">
        <f t="shared" si="13"/>
        <v>0.1720000000000006</v>
      </c>
      <c r="F394" s="11">
        <v>8.6000000000005627E-2</v>
      </c>
      <c r="G394" s="3">
        <f t="shared" si="12"/>
        <v>1.099182004090006E-2</v>
      </c>
    </row>
    <row r="395" spans="1:7">
      <c r="A395" s="1">
        <v>21</v>
      </c>
      <c r="B395" s="1" t="s">
        <v>20</v>
      </c>
      <c r="C395" s="11">
        <v>20</v>
      </c>
      <c r="D395" s="11">
        <v>19.96</v>
      </c>
      <c r="E395" s="2">
        <f t="shared" si="13"/>
        <v>3.9999999999999147E-2</v>
      </c>
      <c r="F395" s="11">
        <v>0.51400000000000001</v>
      </c>
      <c r="G395" s="3">
        <f t="shared" si="12"/>
        <v>2.7699999999999957E-2</v>
      </c>
    </row>
    <row r="396" spans="1:7">
      <c r="A396" s="1">
        <v>22</v>
      </c>
      <c r="B396" s="1" t="s">
        <v>20</v>
      </c>
      <c r="C396" s="11">
        <v>159.708</v>
      </c>
      <c r="D396" s="11">
        <v>158.56</v>
      </c>
      <c r="E396" s="2">
        <f t="shared" si="13"/>
        <v>1.1479999999999961</v>
      </c>
      <c r="F396" s="11">
        <v>3.12</v>
      </c>
      <c r="G396" s="3">
        <f t="shared" si="12"/>
        <v>2.6723770881859371E-2</v>
      </c>
    </row>
    <row r="397" spans="1:7">
      <c r="A397" s="1">
        <v>23</v>
      </c>
      <c r="B397" s="1" t="s">
        <v>20</v>
      </c>
      <c r="C397" s="11">
        <v>60</v>
      </c>
      <c r="D397" s="11">
        <v>59.8</v>
      </c>
      <c r="E397" s="2">
        <f t="shared" si="13"/>
        <v>0.20000000000000284</v>
      </c>
      <c r="F397" s="11">
        <v>1.0999999999999999E-2</v>
      </c>
      <c r="G397" s="3">
        <f t="shared" si="12"/>
        <v>3.5166666666667143E-3</v>
      </c>
    </row>
    <row r="398" spans="1:7">
      <c r="A398" s="1">
        <v>24</v>
      </c>
      <c r="B398" s="1" t="s">
        <v>20</v>
      </c>
      <c r="C398" s="11">
        <v>40</v>
      </c>
      <c r="D398" s="11">
        <v>39.94</v>
      </c>
      <c r="E398" s="2">
        <f t="shared" si="13"/>
        <v>6.0000000000002274E-2</v>
      </c>
      <c r="F398" s="11">
        <v>0.53</v>
      </c>
      <c r="G398" s="3">
        <f t="shared" si="12"/>
        <v>1.4750000000000058E-2</v>
      </c>
    </row>
    <row r="399" spans="1:7">
      <c r="A399" s="1">
        <v>25</v>
      </c>
      <c r="B399" s="1" t="s">
        <v>20</v>
      </c>
      <c r="C399" s="11">
        <v>20</v>
      </c>
      <c r="D399" s="11">
        <v>19.98</v>
      </c>
      <c r="E399" s="2">
        <f t="shared" si="13"/>
        <v>1.9999999999999574E-2</v>
      </c>
      <c r="F399" s="11">
        <v>0.122</v>
      </c>
      <c r="G399" s="3">
        <f t="shared" si="12"/>
        <v>7.0999999999999787E-3</v>
      </c>
    </row>
    <row r="400" spans="1:7">
      <c r="A400" s="1">
        <v>26</v>
      </c>
      <c r="B400" s="1" t="s">
        <v>20</v>
      </c>
      <c r="C400" s="11">
        <v>125.056</v>
      </c>
      <c r="D400" s="11">
        <v>124.32</v>
      </c>
      <c r="E400" s="2">
        <f t="shared" si="13"/>
        <v>0.73600000000000421</v>
      </c>
      <c r="F400" s="11">
        <v>5.26</v>
      </c>
      <c r="G400" s="3">
        <f t="shared" si="12"/>
        <v>4.7946519959058374E-2</v>
      </c>
    </row>
    <row r="401" spans="1:7">
      <c r="A401" s="1">
        <v>27</v>
      </c>
      <c r="B401" s="1" t="s">
        <v>20</v>
      </c>
      <c r="C401" s="11">
        <v>40</v>
      </c>
      <c r="D401" s="11">
        <v>39.9</v>
      </c>
      <c r="E401" s="2">
        <f t="shared" si="13"/>
        <v>0.10000000000000142</v>
      </c>
      <c r="F401" s="11">
        <v>0.34399999999999997</v>
      </c>
      <c r="G401" s="3">
        <f t="shared" si="12"/>
        <v>1.1100000000000035E-2</v>
      </c>
    </row>
    <row r="402" spans="1:7">
      <c r="A402" s="1">
        <v>28</v>
      </c>
      <c r="B402" s="1" t="s">
        <v>20</v>
      </c>
      <c r="C402" s="11">
        <v>60</v>
      </c>
      <c r="D402" s="11">
        <v>59.9</v>
      </c>
      <c r="E402" s="2">
        <f t="shared" si="13"/>
        <v>0.10000000000000142</v>
      </c>
      <c r="F402" s="11">
        <v>0.66</v>
      </c>
      <c r="G402" s="3">
        <f t="shared" si="12"/>
        <v>1.2666666666666691E-2</v>
      </c>
    </row>
    <row r="403" spans="1:7">
      <c r="A403" s="1">
        <v>29</v>
      </c>
      <c r="B403" s="1" t="s">
        <v>20</v>
      </c>
      <c r="C403" s="11">
        <v>162.66800000000001</v>
      </c>
      <c r="D403" s="11">
        <v>161.32</v>
      </c>
      <c r="E403" s="2">
        <f t="shared" si="13"/>
        <v>1.3480000000000132</v>
      </c>
      <c r="F403" s="11">
        <v>1.45</v>
      </c>
      <c r="G403" s="3">
        <f t="shared" si="12"/>
        <v>1.7200678682961698E-2</v>
      </c>
    </row>
    <row r="404" spans="1:7">
      <c r="A404" s="1">
        <v>30</v>
      </c>
      <c r="B404" s="1" t="s">
        <v>20</v>
      </c>
      <c r="C404" s="11">
        <v>0</v>
      </c>
      <c r="D404" s="11">
        <v>0</v>
      </c>
      <c r="E404" s="2">
        <f t="shared" si="13"/>
        <v>0</v>
      </c>
      <c r="F404" s="11">
        <v>2.1000000000000001E-2</v>
      </c>
      <c r="G404" s="3" t="e">
        <f t="shared" si="12"/>
        <v>#DIV/0!</v>
      </c>
    </row>
    <row r="405" spans="1:7">
      <c r="A405" s="1">
        <v>31</v>
      </c>
      <c r="B405" s="1" t="s">
        <v>20</v>
      </c>
      <c r="C405" s="11">
        <v>40</v>
      </c>
      <c r="D405" s="11">
        <v>39.82</v>
      </c>
      <c r="E405" s="2">
        <f t="shared" si="13"/>
        <v>0.17999999999999972</v>
      </c>
      <c r="F405" s="11">
        <v>1.54</v>
      </c>
      <c r="G405" s="3">
        <f t="shared" si="12"/>
        <v>4.2999999999999997E-2</v>
      </c>
    </row>
    <row r="406" spans="1:7">
      <c r="A406" s="1">
        <v>1</v>
      </c>
      <c r="B406" s="1" t="s">
        <v>21</v>
      </c>
      <c r="C406" s="11">
        <v>40</v>
      </c>
      <c r="D406" s="11">
        <v>39.6</v>
      </c>
      <c r="E406" s="2">
        <f t="shared" si="13"/>
        <v>0.39999999999999858</v>
      </c>
      <c r="F406" s="11">
        <v>0</v>
      </c>
      <c r="G406" s="3">
        <f t="shared" si="12"/>
        <v>9.9999999999999638E-3</v>
      </c>
    </row>
    <row r="407" spans="1:7">
      <c r="A407" s="1">
        <v>2</v>
      </c>
      <c r="B407" s="1" t="s">
        <v>21</v>
      </c>
      <c r="C407" s="11">
        <v>0</v>
      </c>
      <c r="D407" s="11">
        <v>0</v>
      </c>
      <c r="E407" s="2">
        <f t="shared" si="13"/>
        <v>0</v>
      </c>
      <c r="F407" s="11">
        <v>0</v>
      </c>
      <c r="G407" s="3" t="e">
        <f t="shared" si="12"/>
        <v>#DIV/0!</v>
      </c>
    </row>
    <row r="408" spans="1:7">
      <c r="A408" s="1">
        <v>3</v>
      </c>
      <c r="B408" s="1" t="s">
        <v>21</v>
      </c>
      <c r="C408" s="11">
        <v>40</v>
      </c>
      <c r="D408" s="11">
        <v>39.229999999999997</v>
      </c>
      <c r="E408" s="2">
        <f t="shared" si="13"/>
        <v>0.77000000000000313</v>
      </c>
      <c r="F408" s="11">
        <v>0.19600000000000001</v>
      </c>
      <c r="G408" s="3">
        <f t="shared" si="12"/>
        <v>2.4150000000000078E-2</v>
      </c>
    </row>
    <row r="409" spans="1:7">
      <c r="A409" s="1">
        <v>4</v>
      </c>
      <c r="B409" s="1" t="s">
        <v>21</v>
      </c>
      <c r="C409" s="11">
        <v>40</v>
      </c>
      <c r="D409" s="11">
        <v>39.72</v>
      </c>
      <c r="E409" s="2">
        <f t="shared" si="13"/>
        <v>0.28000000000000114</v>
      </c>
      <c r="F409" s="11">
        <v>0.28999999999999998</v>
      </c>
      <c r="G409" s="3">
        <f t="shared" si="12"/>
        <v>1.425000000000003E-2</v>
      </c>
    </row>
    <row r="410" spans="1:7">
      <c r="A410" s="1">
        <v>5</v>
      </c>
      <c r="B410" s="1" t="s">
        <v>21</v>
      </c>
      <c r="C410" s="11">
        <v>60</v>
      </c>
      <c r="D410" s="11">
        <v>59.63</v>
      </c>
      <c r="E410" s="2">
        <f t="shared" si="13"/>
        <v>0.36999999999999744</v>
      </c>
      <c r="F410" s="11">
        <v>0.48</v>
      </c>
      <c r="G410" s="3">
        <f t="shared" si="12"/>
        <v>1.4166666666666624E-2</v>
      </c>
    </row>
    <row r="411" spans="1:7">
      <c r="A411" s="1">
        <v>6</v>
      </c>
      <c r="B411" s="1" t="s">
        <v>21</v>
      </c>
      <c r="C411" s="11">
        <v>20</v>
      </c>
      <c r="D411" s="11">
        <v>19.649999999999999</v>
      </c>
      <c r="E411" s="2">
        <f t="shared" si="13"/>
        <v>0.35000000000000142</v>
      </c>
      <c r="F411" s="11">
        <v>0.75</v>
      </c>
      <c r="G411" s="3">
        <f t="shared" si="12"/>
        <v>5.500000000000007E-2</v>
      </c>
    </row>
    <row r="412" spans="1:7">
      <c r="A412" s="1">
        <v>7</v>
      </c>
      <c r="B412" s="1" t="s">
        <v>21</v>
      </c>
      <c r="C412" s="11">
        <v>20</v>
      </c>
      <c r="D412" s="11">
        <v>19.86</v>
      </c>
      <c r="E412" s="2">
        <f t="shared" si="13"/>
        <v>0.14000000000000057</v>
      </c>
      <c r="F412" s="11">
        <v>0</v>
      </c>
      <c r="G412" s="3">
        <f t="shared" si="12"/>
        <v>7.0000000000000288E-3</v>
      </c>
    </row>
    <row r="413" spans="1:7">
      <c r="A413" s="1">
        <v>10</v>
      </c>
      <c r="B413" s="1" t="s">
        <v>21</v>
      </c>
      <c r="C413" s="11">
        <v>40</v>
      </c>
      <c r="D413" s="11">
        <v>39.64</v>
      </c>
      <c r="E413" s="2">
        <f t="shared" si="13"/>
        <v>0.35999999999999943</v>
      </c>
      <c r="F413" s="11">
        <v>0.438</v>
      </c>
      <c r="G413" s="3">
        <f t="shared" si="12"/>
        <v>1.9949999999999985E-2</v>
      </c>
    </row>
    <row r="414" spans="1:7">
      <c r="A414" s="1">
        <v>8</v>
      </c>
      <c r="B414" s="1" t="s">
        <v>21</v>
      </c>
      <c r="C414" s="11">
        <v>40</v>
      </c>
      <c r="D414" s="11">
        <v>39.54</v>
      </c>
      <c r="E414" s="2">
        <f t="shared" si="13"/>
        <v>0.46000000000000085</v>
      </c>
      <c r="F414" s="11">
        <v>0</v>
      </c>
      <c r="G414" s="3">
        <f t="shared" si="12"/>
        <v>1.1500000000000021E-2</v>
      </c>
    </row>
    <row r="415" spans="1:7">
      <c r="A415" s="1">
        <v>9</v>
      </c>
      <c r="B415" s="1" t="s">
        <v>21</v>
      </c>
      <c r="C415" s="11">
        <v>40</v>
      </c>
      <c r="D415" s="11">
        <v>39.549999999999997</v>
      </c>
      <c r="E415" s="2">
        <f t="shared" si="13"/>
        <v>0.45000000000000284</v>
      </c>
      <c r="F415" s="11">
        <v>1.02</v>
      </c>
      <c r="G415" s="3">
        <f t="shared" si="12"/>
        <v>3.6750000000000074E-2</v>
      </c>
    </row>
    <row r="416" spans="1:7">
      <c r="A416" s="1">
        <v>11</v>
      </c>
      <c r="B416" s="1" t="s">
        <v>21</v>
      </c>
      <c r="C416" s="11">
        <v>40</v>
      </c>
      <c r="D416" s="11">
        <v>39.770000000000003</v>
      </c>
      <c r="E416" s="2">
        <f t="shared" si="13"/>
        <v>0.22999999999999687</v>
      </c>
      <c r="F416" s="11">
        <v>0.89</v>
      </c>
      <c r="G416" s="3">
        <f t="shared" si="12"/>
        <v>2.7999999999999924E-2</v>
      </c>
    </row>
    <row r="417" spans="1:7">
      <c r="A417" s="1">
        <v>12</v>
      </c>
      <c r="B417" s="1" t="s">
        <v>21</v>
      </c>
      <c r="C417" s="11">
        <v>160</v>
      </c>
      <c r="D417" s="11">
        <v>158.63</v>
      </c>
      <c r="E417" s="2">
        <f t="shared" si="13"/>
        <v>1.3700000000000045</v>
      </c>
      <c r="F417" s="11">
        <v>5.28</v>
      </c>
      <c r="G417" s="3">
        <f t="shared" si="12"/>
        <v>4.156250000000003E-2</v>
      </c>
    </row>
    <row r="418" spans="1:7">
      <c r="A418" s="1">
        <v>13</v>
      </c>
      <c r="B418" s="1" t="s">
        <v>21</v>
      </c>
      <c r="C418" s="11">
        <v>140</v>
      </c>
      <c r="D418" s="11">
        <v>138.55000000000001</v>
      </c>
      <c r="E418" s="2">
        <f t="shared" si="13"/>
        <v>1.4499999999999886</v>
      </c>
      <c r="F418" s="11">
        <v>5.75</v>
      </c>
      <c r="G418" s="3">
        <f t="shared" si="12"/>
        <v>5.1428571428571344E-2</v>
      </c>
    </row>
    <row r="419" spans="1:7">
      <c r="A419" s="1">
        <v>14</v>
      </c>
      <c r="B419" s="1" t="s">
        <v>21</v>
      </c>
      <c r="C419" s="11">
        <v>40</v>
      </c>
      <c r="D419" s="11">
        <v>39.76</v>
      </c>
      <c r="E419" s="2">
        <f t="shared" si="13"/>
        <v>0.24000000000000199</v>
      </c>
      <c r="F419" s="11">
        <v>0.27</v>
      </c>
      <c r="G419" s="3">
        <f t="shared" si="12"/>
        <v>1.2750000000000049E-2</v>
      </c>
    </row>
    <row r="420" spans="1:7">
      <c r="A420" s="1">
        <v>15</v>
      </c>
      <c r="B420" s="1" t="s">
        <v>21</v>
      </c>
      <c r="C420" s="11">
        <v>40</v>
      </c>
      <c r="D420" s="11">
        <v>39.520000000000003</v>
      </c>
      <c r="E420" s="2">
        <f t="shared" si="13"/>
        <v>0.47999999999999687</v>
      </c>
      <c r="F420" s="11">
        <v>0</v>
      </c>
      <c r="G420" s="3">
        <f t="shared" si="12"/>
        <v>1.1999999999999922E-2</v>
      </c>
    </row>
    <row r="421" spans="1:7">
      <c r="A421" s="1">
        <v>16</v>
      </c>
      <c r="B421" s="1" t="s">
        <v>21</v>
      </c>
      <c r="C421" s="11">
        <v>0</v>
      </c>
      <c r="D421" s="11">
        <v>0</v>
      </c>
      <c r="E421" s="2">
        <f t="shared" si="13"/>
        <v>0</v>
      </c>
      <c r="F421" s="11">
        <v>0.21</v>
      </c>
      <c r="G421" s="3" t="e">
        <f t="shared" ref="G421:G484" si="14">(E421+F421)/C421</f>
        <v>#DIV/0!</v>
      </c>
    </row>
    <row r="422" spans="1:7">
      <c r="A422" s="1">
        <v>17</v>
      </c>
      <c r="B422" s="1" t="s">
        <v>21</v>
      </c>
      <c r="C422" s="11">
        <v>60</v>
      </c>
      <c r="D422" s="11">
        <v>58.17</v>
      </c>
      <c r="E422" s="2">
        <f t="shared" si="13"/>
        <v>1.8299999999999983</v>
      </c>
      <c r="F422" s="11">
        <v>0.58199999999999996</v>
      </c>
      <c r="G422" s="3">
        <f t="shared" si="14"/>
        <v>4.0199999999999972E-2</v>
      </c>
    </row>
    <row r="423" spans="1:7">
      <c r="A423" s="1">
        <v>18</v>
      </c>
      <c r="B423" s="1" t="s">
        <v>21</v>
      </c>
      <c r="C423" s="11">
        <v>42.81</v>
      </c>
      <c r="D423" s="11">
        <v>42.37</v>
      </c>
      <c r="E423" s="2">
        <f t="shared" si="13"/>
        <v>0.44000000000000483</v>
      </c>
      <c r="F423" s="11">
        <v>0.5</v>
      </c>
      <c r="G423" s="3">
        <f t="shared" si="14"/>
        <v>2.1957486568558858E-2</v>
      </c>
    </row>
    <row r="424" spans="1:7">
      <c r="A424" s="1">
        <v>19</v>
      </c>
      <c r="B424" s="1" t="s">
        <v>21</v>
      </c>
      <c r="C424" s="11">
        <v>229.41</v>
      </c>
      <c r="D424" s="11">
        <v>224.45</v>
      </c>
      <c r="E424" s="2">
        <f t="shared" si="13"/>
        <v>4.960000000000008</v>
      </c>
      <c r="F424" s="11">
        <v>2.2959999999999998</v>
      </c>
      <c r="G424" s="3">
        <f t="shared" si="14"/>
        <v>3.1628961248419893E-2</v>
      </c>
    </row>
    <row r="425" spans="1:7">
      <c r="A425" s="1">
        <v>20</v>
      </c>
      <c r="B425" s="1" t="s">
        <v>21</v>
      </c>
      <c r="C425" s="11">
        <v>130.38</v>
      </c>
      <c r="D425" s="11">
        <v>129.07</v>
      </c>
      <c r="E425" s="2">
        <f t="shared" si="13"/>
        <v>1.3100000000000023</v>
      </c>
      <c r="F425" s="11">
        <v>0.87</v>
      </c>
      <c r="G425" s="3">
        <f t="shared" si="14"/>
        <v>1.6720355882804131E-2</v>
      </c>
    </row>
    <row r="426" spans="1:7">
      <c r="A426" s="1">
        <v>21</v>
      </c>
      <c r="B426" s="1" t="s">
        <v>21</v>
      </c>
      <c r="C426" s="11">
        <v>138.22999999999999</v>
      </c>
      <c r="D426" s="11">
        <v>136.91</v>
      </c>
      <c r="E426" s="2">
        <f t="shared" si="13"/>
        <v>1.3199999999999932</v>
      </c>
      <c r="F426" s="11">
        <v>2.4300000000000002</v>
      </c>
      <c r="G426" s="3">
        <f t="shared" si="14"/>
        <v>2.7128698545901712E-2</v>
      </c>
    </row>
    <row r="427" spans="1:7">
      <c r="A427" s="1">
        <v>22</v>
      </c>
      <c r="B427" s="1" t="s">
        <v>21</v>
      </c>
      <c r="C427" s="11">
        <v>0</v>
      </c>
      <c r="D427" s="11">
        <v>0</v>
      </c>
      <c r="E427" s="2">
        <f t="shared" si="13"/>
        <v>0</v>
      </c>
      <c r="F427" s="11">
        <v>0.2</v>
      </c>
      <c r="G427" s="3" t="e">
        <f t="shared" si="14"/>
        <v>#DIV/0!</v>
      </c>
    </row>
    <row r="428" spans="1:7">
      <c r="A428" s="1">
        <v>23</v>
      </c>
      <c r="B428" s="1" t="s">
        <v>21</v>
      </c>
      <c r="C428" s="11">
        <v>0</v>
      </c>
      <c r="D428" s="11">
        <v>0</v>
      </c>
      <c r="E428" s="2">
        <f t="shared" si="13"/>
        <v>0</v>
      </c>
      <c r="F428" s="11">
        <v>1.196</v>
      </c>
      <c r="G428" s="3" t="e">
        <f t="shared" si="14"/>
        <v>#DIV/0!</v>
      </c>
    </row>
    <row r="429" spans="1:7">
      <c r="A429" s="1">
        <v>24</v>
      </c>
      <c r="B429" s="1" t="s">
        <v>21</v>
      </c>
      <c r="C429" s="11">
        <v>0</v>
      </c>
      <c r="D429" s="11">
        <v>0</v>
      </c>
      <c r="E429" s="2">
        <f t="shared" si="13"/>
        <v>0</v>
      </c>
      <c r="F429" s="11">
        <v>0</v>
      </c>
      <c r="G429" s="3" t="e">
        <f t="shared" si="14"/>
        <v>#DIV/0!</v>
      </c>
    </row>
    <row r="430" spans="1:7">
      <c r="A430" s="1">
        <v>25</v>
      </c>
      <c r="B430" s="1" t="s">
        <v>21</v>
      </c>
      <c r="C430" s="11">
        <v>48.996000000000002</v>
      </c>
      <c r="D430" s="11">
        <v>48.39</v>
      </c>
      <c r="E430" s="2">
        <f t="shared" si="13"/>
        <v>0.60600000000000165</v>
      </c>
      <c r="F430" s="11">
        <v>0</v>
      </c>
      <c r="G430" s="3">
        <f t="shared" si="14"/>
        <v>1.2368356600538852E-2</v>
      </c>
    </row>
    <row r="431" spans="1:7">
      <c r="A431" s="1">
        <v>26</v>
      </c>
      <c r="B431" s="1" t="s">
        <v>21</v>
      </c>
      <c r="C431" s="11">
        <v>0</v>
      </c>
      <c r="D431" s="11">
        <v>0</v>
      </c>
      <c r="E431" s="2">
        <f t="shared" si="13"/>
        <v>0</v>
      </c>
      <c r="F431" s="11">
        <v>1.508</v>
      </c>
      <c r="G431" s="3" t="e">
        <f t="shared" si="14"/>
        <v>#DIV/0!</v>
      </c>
    </row>
    <row r="432" spans="1:7">
      <c r="A432" s="1">
        <v>27</v>
      </c>
      <c r="B432" s="1" t="s">
        <v>21</v>
      </c>
      <c r="C432" s="11">
        <v>0</v>
      </c>
      <c r="D432" s="11">
        <v>0</v>
      </c>
      <c r="E432" s="2">
        <f t="shared" si="13"/>
        <v>0</v>
      </c>
      <c r="F432" s="11">
        <v>0.84</v>
      </c>
      <c r="G432" s="3" t="e">
        <f t="shared" si="14"/>
        <v>#DIV/0!</v>
      </c>
    </row>
    <row r="433" spans="1:7">
      <c r="A433" s="1">
        <v>28</v>
      </c>
      <c r="B433" s="1" t="s">
        <v>21</v>
      </c>
      <c r="C433" s="11">
        <v>160</v>
      </c>
      <c r="D433" s="11">
        <v>158.97</v>
      </c>
      <c r="E433" s="2">
        <f t="shared" si="13"/>
        <v>1.0300000000000011</v>
      </c>
      <c r="F433" s="11">
        <v>3.1</v>
      </c>
      <c r="G433" s="3">
        <f t="shared" si="14"/>
        <v>2.5812500000000006E-2</v>
      </c>
    </row>
    <row r="434" spans="1:7">
      <c r="A434" s="1">
        <v>29</v>
      </c>
      <c r="B434" s="1" t="s">
        <v>21</v>
      </c>
      <c r="C434" s="11">
        <v>179.18</v>
      </c>
      <c r="D434" s="11">
        <v>177.79</v>
      </c>
      <c r="E434" s="2">
        <f t="shared" si="13"/>
        <v>1.3900000000000148</v>
      </c>
      <c r="F434" s="11">
        <v>10.46</v>
      </c>
      <c r="G434" s="3">
        <f t="shared" si="14"/>
        <v>6.6134613238084686E-2</v>
      </c>
    </row>
    <row r="435" spans="1:7">
      <c r="A435" s="1">
        <v>30</v>
      </c>
      <c r="B435" s="1" t="s">
        <v>21</v>
      </c>
      <c r="C435" s="11">
        <v>0</v>
      </c>
      <c r="D435" s="11">
        <v>0</v>
      </c>
      <c r="E435" s="2">
        <f t="shared" si="13"/>
        <v>0</v>
      </c>
      <c r="F435" s="11">
        <v>1.532</v>
      </c>
      <c r="G435" s="3" t="e">
        <f t="shared" si="14"/>
        <v>#DIV/0!</v>
      </c>
    </row>
    <row r="436" spans="1:7">
      <c r="A436" s="1">
        <v>31</v>
      </c>
      <c r="B436" s="1" t="s">
        <v>21</v>
      </c>
      <c r="C436" s="11">
        <v>0</v>
      </c>
      <c r="D436" s="11">
        <v>0</v>
      </c>
      <c r="E436" s="2">
        <f t="shared" si="13"/>
        <v>0</v>
      </c>
      <c r="F436" s="11">
        <v>0.39</v>
      </c>
      <c r="G436" s="3" t="e">
        <f t="shared" si="14"/>
        <v>#DIV/0!</v>
      </c>
    </row>
    <row r="437" spans="1:7">
      <c r="A437" s="1">
        <v>1</v>
      </c>
      <c r="B437" s="1" t="s">
        <v>22</v>
      </c>
      <c r="C437" s="11">
        <v>20</v>
      </c>
      <c r="D437" s="11">
        <v>19.86</v>
      </c>
      <c r="E437" s="2">
        <f t="shared" si="13"/>
        <v>0.14000000000000057</v>
      </c>
      <c r="F437" s="11">
        <v>0.13</v>
      </c>
      <c r="G437" s="3">
        <f t="shared" si="14"/>
        <v>1.3500000000000029E-2</v>
      </c>
    </row>
    <row r="438" spans="1:7">
      <c r="A438" s="1">
        <v>2</v>
      </c>
      <c r="B438" s="1" t="s">
        <v>22</v>
      </c>
      <c r="C438" s="11">
        <v>20</v>
      </c>
      <c r="D438" s="11">
        <v>19.87</v>
      </c>
      <c r="E438" s="2">
        <f t="shared" si="13"/>
        <v>0.12999999999999901</v>
      </c>
      <c r="F438" s="11">
        <v>0.13</v>
      </c>
      <c r="G438" s="3">
        <f t="shared" si="14"/>
        <v>1.2999999999999951E-2</v>
      </c>
    </row>
    <row r="439" spans="1:7">
      <c r="A439" s="1">
        <v>3</v>
      </c>
      <c r="B439" s="1" t="s">
        <v>22</v>
      </c>
      <c r="C439" s="11">
        <v>20</v>
      </c>
      <c r="D439" s="11">
        <v>19.91</v>
      </c>
      <c r="E439" s="2">
        <f t="shared" si="13"/>
        <v>8.9999999999999858E-2</v>
      </c>
      <c r="F439" s="11">
        <v>0.186</v>
      </c>
      <c r="G439" s="3">
        <f t="shared" si="14"/>
        <v>1.3799999999999993E-2</v>
      </c>
    </row>
    <row r="440" spans="1:7">
      <c r="A440" s="1">
        <v>4</v>
      </c>
      <c r="B440" s="1" t="s">
        <v>22</v>
      </c>
      <c r="C440" s="11">
        <v>40</v>
      </c>
      <c r="D440" s="11">
        <v>39.81</v>
      </c>
      <c r="E440" s="2">
        <f t="shared" si="13"/>
        <v>0.18999999999999773</v>
      </c>
      <c r="F440" s="11">
        <v>0.14599999999999999</v>
      </c>
      <c r="G440" s="3">
        <f t="shared" si="14"/>
        <v>8.399999999999944E-3</v>
      </c>
    </row>
    <row r="441" spans="1:7">
      <c r="A441" s="1">
        <v>5</v>
      </c>
      <c r="B441" s="1" t="s">
        <v>22</v>
      </c>
      <c r="C441" s="11">
        <v>20</v>
      </c>
      <c r="D441" s="11">
        <v>19.95</v>
      </c>
      <c r="E441" s="2">
        <f t="shared" si="13"/>
        <v>5.0000000000000711E-2</v>
      </c>
      <c r="F441" s="11">
        <v>0.114</v>
      </c>
      <c r="G441" s="3">
        <f t="shared" si="14"/>
        <v>8.2000000000000354E-3</v>
      </c>
    </row>
    <row r="442" spans="1:7">
      <c r="A442" s="1">
        <v>6</v>
      </c>
      <c r="B442" s="1" t="s">
        <v>22</v>
      </c>
      <c r="C442" s="11">
        <v>20</v>
      </c>
      <c r="D442" s="11">
        <v>19.95</v>
      </c>
      <c r="E442" s="2">
        <f t="shared" si="13"/>
        <v>5.0000000000000711E-2</v>
      </c>
      <c r="F442" s="11">
        <v>0.19800000000000001</v>
      </c>
      <c r="G442" s="3">
        <f t="shared" si="14"/>
        <v>1.2400000000000036E-2</v>
      </c>
    </row>
    <row r="443" spans="1:7">
      <c r="A443" s="1">
        <v>7</v>
      </c>
      <c r="B443" s="1" t="s">
        <v>22</v>
      </c>
      <c r="C443" s="11">
        <v>40</v>
      </c>
      <c r="D443" s="11">
        <v>39.89</v>
      </c>
      <c r="E443" s="2">
        <f t="shared" si="13"/>
        <v>0.10999999999999943</v>
      </c>
      <c r="F443" s="11">
        <v>0.17599999999999999</v>
      </c>
      <c r="G443" s="3">
        <f t="shared" si="14"/>
        <v>7.1499999999999854E-3</v>
      </c>
    </row>
    <row r="444" spans="1:7">
      <c r="A444" s="1">
        <v>10</v>
      </c>
      <c r="B444" s="1" t="s">
        <v>22</v>
      </c>
      <c r="C444" s="11">
        <v>40</v>
      </c>
      <c r="D444" s="11">
        <v>39.880000000000003</v>
      </c>
      <c r="E444" s="2">
        <f t="shared" si="13"/>
        <v>0.11999999999999744</v>
      </c>
      <c r="F444" s="11">
        <v>0.192</v>
      </c>
      <c r="G444" s="3">
        <f t="shared" si="14"/>
        <v>7.7999999999999363E-3</v>
      </c>
    </row>
    <row r="445" spans="1:7">
      <c r="A445" s="1">
        <v>8</v>
      </c>
      <c r="B445" s="1" t="s">
        <v>22</v>
      </c>
      <c r="C445" s="11">
        <v>20</v>
      </c>
      <c r="D445" s="11">
        <v>19.91</v>
      </c>
      <c r="E445" s="2">
        <f t="shared" si="13"/>
        <v>8.9999999999999858E-2</v>
      </c>
      <c r="F445" s="11">
        <v>0.159</v>
      </c>
      <c r="G445" s="3">
        <f t="shared" si="14"/>
        <v>1.2449999999999992E-2</v>
      </c>
    </row>
    <row r="446" spans="1:7">
      <c r="A446" s="1">
        <v>9</v>
      </c>
      <c r="B446" s="1" t="s">
        <v>22</v>
      </c>
      <c r="C446" s="11">
        <v>100</v>
      </c>
      <c r="D446" s="11">
        <v>99.5</v>
      </c>
      <c r="E446" s="2">
        <f t="shared" si="13"/>
        <v>0.5</v>
      </c>
      <c r="F446" s="11">
        <v>0.126</v>
      </c>
      <c r="G446" s="3">
        <f t="shared" si="14"/>
        <v>6.2599999999999999E-3</v>
      </c>
    </row>
    <row r="447" spans="1:7">
      <c r="A447" s="1">
        <v>11</v>
      </c>
      <c r="B447" s="1" t="s">
        <v>22</v>
      </c>
      <c r="C447" s="11">
        <v>120</v>
      </c>
      <c r="D447" s="11">
        <v>119.48</v>
      </c>
      <c r="E447" s="2">
        <f t="shared" si="13"/>
        <v>0.51999999999999602</v>
      </c>
      <c r="F447" s="11">
        <v>0.248</v>
      </c>
      <c r="G447" s="3">
        <f t="shared" si="14"/>
        <v>6.3999999999999665E-3</v>
      </c>
    </row>
    <row r="448" spans="1:7">
      <c r="A448" s="1">
        <v>12</v>
      </c>
      <c r="B448" s="1" t="s">
        <v>22</v>
      </c>
      <c r="C448" s="11">
        <v>299.2</v>
      </c>
      <c r="D448" s="11">
        <v>297.33999999999997</v>
      </c>
      <c r="E448" s="2">
        <f t="shared" si="13"/>
        <v>1.8600000000000136</v>
      </c>
      <c r="F448" s="11">
        <v>0.14599999999999999</v>
      </c>
      <c r="G448" s="3">
        <f t="shared" si="14"/>
        <v>6.7045454545455003E-3</v>
      </c>
    </row>
    <row r="449" spans="1:7">
      <c r="A449" s="1">
        <v>13</v>
      </c>
      <c r="B449" s="1" t="s">
        <v>22</v>
      </c>
      <c r="C449" s="11">
        <v>140</v>
      </c>
      <c r="D449" s="11">
        <v>139.28</v>
      </c>
      <c r="E449" s="2">
        <f t="shared" si="13"/>
        <v>0.71999999999999886</v>
      </c>
      <c r="F449" s="11">
        <v>0.9</v>
      </c>
      <c r="G449" s="3">
        <f t="shared" si="14"/>
        <v>1.1571428571428562E-2</v>
      </c>
    </row>
    <row r="450" spans="1:7">
      <c r="A450" s="1">
        <v>14</v>
      </c>
      <c r="B450" s="1" t="s">
        <v>22</v>
      </c>
      <c r="C450" s="11">
        <v>160</v>
      </c>
      <c r="D450" s="11">
        <v>158.72</v>
      </c>
      <c r="E450" s="2">
        <f t="shared" si="13"/>
        <v>1.2800000000000011</v>
      </c>
      <c r="F450" s="11">
        <v>1.0720000000000001</v>
      </c>
      <c r="G450" s="3">
        <f t="shared" si="14"/>
        <v>1.4700000000000008E-2</v>
      </c>
    </row>
    <row r="451" spans="1:7">
      <c r="A451" s="1">
        <v>15</v>
      </c>
      <c r="B451" s="1" t="s">
        <v>22</v>
      </c>
      <c r="C451" s="11">
        <v>90</v>
      </c>
      <c r="D451" s="11">
        <v>89.3</v>
      </c>
      <c r="E451" s="2">
        <f t="shared" si="13"/>
        <v>0.70000000000000284</v>
      </c>
      <c r="F451" s="11">
        <v>0.124</v>
      </c>
      <c r="G451" s="3">
        <f t="shared" si="14"/>
        <v>9.1555555555555869E-3</v>
      </c>
    </row>
    <row r="452" spans="1:7">
      <c r="A452" s="1">
        <v>16</v>
      </c>
      <c r="B452" s="1" t="s">
        <v>22</v>
      </c>
      <c r="C452" s="11">
        <v>25.79</v>
      </c>
      <c r="D452" s="11">
        <v>25.68</v>
      </c>
      <c r="E452" s="2">
        <f t="shared" ref="E452:E515" si="15">C452-D452</f>
        <v>0.10999999999999943</v>
      </c>
      <c r="F452" s="11">
        <v>0.20200000000000001</v>
      </c>
      <c r="G452" s="3">
        <f t="shared" si="14"/>
        <v>1.2097712291585865E-2</v>
      </c>
    </row>
    <row r="453" spans="1:7">
      <c r="A453" s="1">
        <v>17</v>
      </c>
      <c r="B453" s="1" t="s">
        <v>22</v>
      </c>
      <c r="C453" s="11">
        <v>0</v>
      </c>
      <c r="D453" s="11">
        <v>0</v>
      </c>
      <c r="E453" s="2">
        <f t="shared" si="15"/>
        <v>0</v>
      </c>
      <c r="F453" s="11">
        <v>0.19800000000000001</v>
      </c>
      <c r="G453" s="3" t="e">
        <f t="shared" si="14"/>
        <v>#DIV/0!</v>
      </c>
    </row>
    <row r="454" spans="1:7">
      <c r="A454" s="1">
        <v>18</v>
      </c>
      <c r="B454" s="1" t="s">
        <v>22</v>
      </c>
      <c r="C454" s="11">
        <v>125.67</v>
      </c>
      <c r="D454" s="11">
        <v>125.12</v>
      </c>
      <c r="E454" s="2">
        <f t="shared" si="15"/>
        <v>0.54999999999999716</v>
      </c>
      <c r="F454" s="11">
        <v>0.26200000000000001</v>
      </c>
      <c r="G454" s="3">
        <f t="shared" si="14"/>
        <v>6.4613670724914234E-3</v>
      </c>
    </row>
    <row r="455" spans="1:7">
      <c r="A455" s="1">
        <v>19</v>
      </c>
      <c r="B455" s="1" t="s">
        <v>22</v>
      </c>
      <c r="C455" s="11">
        <v>188.04</v>
      </c>
      <c r="D455" s="11">
        <v>187.07</v>
      </c>
      <c r="E455" s="2">
        <f t="shared" si="15"/>
        <v>0.96999999999999886</v>
      </c>
      <c r="F455" s="11">
        <v>0.80200000000000005</v>
      </c>
      <c r="G455" s="3">
        <f t="shared" si="14"/>
        <v>9.4235269091682561E-3</v>
      </c>
    </row>
    <row r="456" spans="1:7">
      <c r="A456" s="1">
        <v>20</v>
      </c>
      <c r="B456" s="1" t="s">
        <v>22</v>
      </c>
      <c r="C456" s="11">
        <v>216.06</v>
      </c>
      <c r="D456" s="11">
        <v>215.06</v>
      </c>
      <c r="E456" s="2">
        <f t="shared" si="15"/>
        <v>1</v>
      </c>
      <c r="F456" s="11">
        <v>0.29399999999999998</v>
      </c>
      <c r="G456" s="3">
        <f t="shared" si="14"/>
        <v>5.9890771082106824E-3</v>
      </c>
    </row>
    <row r="457" spans="1:7">
      <c r="A457" s="1">
        <v>21</v>
      </c>
      <c r="B457" s="1" t="s">
        <v>22</v>
      </c>
      <c r="C457" s="11">
        <v>221.03</v>
      </c>
      <c r="D457" s="11">
        <v>220.22</v>
      </c>
      <c r="E457" s="2">
        <f t="shared" si="15"/>
        <v>0.81000000000000227</v>
      </c>
      <c r="F457" s="11">
        <v>1.6180000000000001</v>
      </c>
      <c r="G457" s="3">
        <f t="shared" si="14"/>
        <v>1.0984934171831889E-2</v>
      </c>
    </row>
    <row r="458" spans="1:7">
      <c r="A458" s="1">
        <v>22</v>
      </c>
      <c r="B458" s="1" t="s">
        <v>22</v>
      </c>
      <c r="C458" s="11">
        <v>100</v>
      </c>
      <c r="D458" s="11">
        <v>99.35</v>
      </c>
      <c r="E458" s="2">
        <f t="shared" si="15"/>
        <v>0.65000000000000568</v>
      </c>
      <c r="F458" s="11">
        <v>0.26600000000000001</v>
      </c>
      <c r="G458" s="3">
        <f t="shared" si="14"/>
        <v>9.160000000000057E-3</v>
      </c>
    </row>
    <row r="459" spans="1:7">
      <c r="A459" s="1">
        <v>23</v>
      </c>
      <c r="B459" s="1" t="s">
        <v>22</v>
      </c>
      <c r="C459" s="11">
        <v>44.2</v>
      </c>
      <c r="D459" s="11">
        <v>44.04</v>
      </c>
      <c r="E459" s="2">
        <f t="shared" si="15"/>
        <v>0.16000000000000369</v>
      </c>
      <c r="F459" s="11">
        <v>0.16200000000000001</v>
      </c>
      <c r="G459" s="3">
        <f t="shared" si="14"/>
        <v>7.285067873303251E-3</v>
      </c>
    </row>
    <row r="460" spans="1:7">
      <c r="A460" s="1">
        <v>24</v>
      </c>
      <c r="B460" s="1" t="s">
        <v>22</v>
      </c>
      <c r="C460" s="11">
        <v>0</v>
      </c>
      <c r="D460" s="11">
        <v>0</v>
      </c>
      <c r="E460" s="2">
        <f t="shared" si="15"/>
        <v>0</v>
      </c>
      <c r="F460" s="11">
        <v>0.192</v>
      </c>
      <c r="G460" s="3" t="e">
        <f t="shared" si="14"/>
        <v>#DIV/0!</v>
      </c>
    </row>
    <row r="461" spans="1:7">
      <c r="A461" s="1">
        <v>25</v>
      </c>
      <c r="B461" s="1" t="s">
        <v>22</v>
      </c>
      <c r="C461" s="11">
        <v>140</v>
      </c>
      <c r="D461" s="11">
        <v>139.19999999999999</v>
      </c>
      <c r="E461" s="2">
        <f t="shared" si="15"/>
        <v>0.80000000000001137</v>
      </c>
      <c r="F461" s="11">
        <v>0.16</v>
      </c>
      <c r="G461" s="3">
        <f t="shared" si="14"/>
        <v>6.8571428571429383E-3</v>
      </c>
    </row>
    <row r="462" spans="1:7">
      <c r="A462" s="1">
        <v>26</v>
      </c>
      <c r="B462" s="1" t="s">
        <v>22</v>
      </c>
      <c r="C462" s="11">
        <v>120</v>
      </c>
      <c r="D462" s="11">
        <v>119.05</v>
      </c>
      <c r="E462" s="2">
        <f t="shared" si="15"/>
        <v>0.95000000000000284</v>
      </c>
      <c r="F462" s="11">
        <v>0.14399999999999999</v>
      </c>
      <c r="G462" s="3">
        <f t="shared" si="14"/>
        <v>9.1166666666666896E-3</v>
      </c>
    </row>
    <row r="463" spans="1:7">
      <c r="A463" s="1">
        <v>27</v>
      </c>
      <c r="B463" s="1" t="s">
        <v>22</v>
      </c>
      <c r="C463" s="11">
        <v>200</v>
      </c>
      <c r="D463" s="11">
        <v>198.89</v>
      </c>
      <c r="E463" s="2">
        <f t="shared" si="15"/>
        <v>1.1100000000000136</v>
      </c>
      <c r="F463" s="11">
        <v>0.59799999999999998</v>
      </c>
      <c r="G463" s="3">
        <f t="shared" si="14"/>
        <v>8.5400000000000684E-3</v>
      </c>
    </row>
    <row r="464" spans="1:7">
      <c r="A464" s="1">
        <v>28</v>
      </c>
      <c r="B464" s="1" t="s">
        <v>22</v>
      </c>
      <c r="C464" s="11">
        <v>0</v>
      </c>
      <c r="D464" s="11">
        <v>0</v>
      </c>
      <c r="E464" s="2">
        <f t="shared" si="15"/>
        <v>0</v>
      </c>
      <c r="F464" s="11">
        <v>9.8000000000000004E-2</v>
      </c>
      <c r="G464" s="3" t="e">
        <f t="shared" si="14"/>
        <v>#DIV/0!</v>
      </c>
    </row>
    <row r="465" spans="1:7">
      <c r="A465" s="1">
        <v>29</v>
      </c>
      <c r="B465" s="1" t="s">
        <v>22</v>
      </c>
      <c r="C465" s="11">
        <v>127.06</v>
      </c>
      <c r="D465" s="11">
        <v>126.19</v>
      </c>
      <c r="E465" s="2">
        <f t="shared" si="15"/>
        <v>0.87000000000000455</v>
      </c>
      <c r="F465" s="11">
        <v>0.86</v>
      </c>
      <c r="G465" s="3">
        <f t="shared" si="14"/>
        <v>1.3615614670234569E-2</v>
      </c>
    </row>
    <row r="466" spans="1:7">
      <c r="A466" s="1">
        <v>30</v>
      </c>
      <c r="B466" s="1" t="s">
        <v>22</v>
      </c>
      <c r="C466" s="11">
        <v>0</v>
      </c>
      <c r="D466" s="11">
        <v>0</v>
      </c>
      <c r="E466" s="2">
        <f t="shared" si="15"/>
        <v>0</v>
      </c>
      <c r="F466" s="11">
        <v>0.30199999999999999</v>
      </c>
      <c r="G466" s="3" t="e">
        <f t="shared" si="14"/>
        <v>#DIV/0!</v>
      </c>
    </row>
    <row r="467" spans="1:7">
      <c r="A467" s="1">
        <v>31</v>
      </c>
      <c r="B467" s="1" t="s">
        <v>22</v>
      </c>
      <c r="C467" s="11">
        <v>26.54</v>
      </c>
      <c r="D467" s="11">
        <v>26.44</v>
      </c>
      <c r="E467" s="2">
        <f t="shared" si="15"/>
        <v>9.9999999999997868E-2</v>
      </c>
      <c r="F467" s="11">
        <v>0.30399999999999999</v>
      </c>
      <c r="G467" s="3">
        <f t="shared" si="14"/>
        <v>1.5222305953277991E-2</v>
      </c>
    </row>
    <row r="468" spans="1:7">
      <c r="A468" s="1">
        <v>1</v>
      </c>
      <c r="B468" s="1" t="s">
        <v>23</v>
      </c>
      <c r="C468" s="11">
        <v>45</v>
      </c>
      <c r="D468" s="11">
        <v>44.58</v>
      </c>
      <c r="E468" s="2">
        <f t="shared" si="15"/>
        <v>0.42000000000000171</v>
      </c>
      <c r="F468" s="11">
        <v>0.154</v>
      </c>
      <c r="G468" s="3">
        <f t="shared" si="14"/>
        <v>1.2755555555555595E-2</v>
      </c>
    </row>
    <row r="469" spans="1:7">
      <c r="A469" s="1">
        <v>2</v>
      </c>
      <c r="B469" s="1" t="s">
        <v>23</v>
      </c>
      <c r="C469" s="11">
        <v>45</v>
      </c>
      <c r="D469" s="11">
        <v>44.87</v>
      </c>
      <c r="E469" s="2">
        <f t="shared" si="15"/>
        <v>0.13000000000000256</v>
      </c>
      <c r="F469" s="11">
        <v>0.36599999999999999</v>
      </c>
      <c r="G469" s="3">
        <f t="shared" si="14"/>
        <v>1.1022222222222279E-2</v>
      </c>
    </row>
    <row r="470" spans="1:7">
      <c r="A470" s="1">
        <v>3</v>
      </c>
      <c r="B470" s="1" t="s">
        <v>23</v>
      </c>
      <c r="C470" s="11">
        <v>105</v>
      </c>
      <c r="D470" s="11">
        <v>104.28</v>
      </c>
      <c r="E470" s="2">
        <f t="shared" si="15"/>
        <v>0.71999999999999886</v>
      </c>
      <c r="F470" s="11">
        <v>0.36599999999999999</v>
      </c>
      <c r="G470" s="3">
        <f t="shared" si="14"/>
        <v>1.0342857142857133E-2</v>
      </c>
    </row>
    <row r="471" spans="1:7">
      <c r="A471" s="1">
        <v>4</v>
      </c>
      <c r="B471" s="1" t="s">
        <v>23</v>
      </c>
      <c r="C471" s="11">
        <v>170</v>
      </c>
      <c r="D471" s="11">
        <v>168.84</v>
      </c>
      <c r="E471" s="2">
        <f t="shared" si="15"/>
        <v>1.1599999999999966</v>
      </c>
      <c r="F471" s="11">
        <v>0.61</v>
      </c>
      <c r="G471" s="3">
        <f t="shared" si="14"/>
        <v>1.0411764705882332E-2</v>
      </c>
    </row>
    <row r="472" spans="1:7">
      <c r="A472" s="1">
        <v>5</v>
      </c>
      <c r="B472" s="1" t="s">
        <v>23</v>
      </c>
      <c r="C472" s="11">
        <v>25</v>
      </c>
      <c r="D472" s="11">
        <v>24.78</v>
      </c>
      <c r="E472" s="2">
        <f t="shared" si="15"/>
        <v>0.21999999999999886</v>
      </c>
      <c r="F472" s="11">
        <v>0.23799999999999999</v>
      </c>
      <c r="G472" s="3">
        <f t="shared" si="14"/>
        <v>1.8319999999999954E-2</v>
      </c>
    </row>
    <row r="473" spans="1:7">
      <c r="A473" s="1">
        <v>6</v>
      </c>
      <c r="B473" s="1" t="s">
        <v>23</v>
      </c>
      <c r="C473" s="11">
        <v>45</v>
      </c>
      <c r="D473" s="11">
        <v>44.81</v>
      </c>
      <c r="E473" s="2">
        <f t="shared" si="15"/>
        <v>0.18999999999999773</v>
      </c>
      <c r="F473" s="11">
        <v>0.24199999999999999</v>
      </c>
      <c r="G473" s="3">
        <f t="shared" si="14"/>
        <v>9.5999999999999489E-3</v>
      </c>
    </row>
    <row r="474" spans="1:7">
      <c r="A474" s="1">
        <v>7</v>
      </c>
      <c r="B474" s="1" t="s">
        <v>23</v>
      </c>
      <c r="C474" s="11">
        <v>40</v>
      </c>
      <c r="D474" s="11">
        <v>39.78</v>
      </c>
      <c r="E474" s="2">
        <f t="shared" si="15"/>
        <v>0.21999999999999886</v>
      </c>
      <c r="F474" s="11">
        <v>0.14199999999999999</v>
      </c>
      <c r="G474" s="3">
        <f t="shared" si="14"/>
        <v>9.0499999999999713E-3</v>
      </c>
    </row>
    <row r="475" spans="1:7">
      <c r="A475" s="1">
        <v>10</v>
      </c>
      <c r="B475" s="1" t="s">
        <v>23</v>
      </c>
      <c r="C475" s="11">
        <v>40</v>
      </c>
      <c r="D475" s="11">
        <v>39.520000000000003</v>
      </c>
      <c r="E475" s="2">
        <f t="shared" si="15"/>
        <v>0.47999999999999687</v>
      </c>
      <c r="F475" s="11">
        <v>0.24199999999999999</v>
      </c>
      <c r="G475" s="3">
        <f t="shared" si="14"/>
        <v>1.804999999999992E-2</v>
      </c>
    </row>
    <row r="476" spans="1:7">
      <c r="A476" s="1">
        <v>8</v>
      </c>
      <c r="B476" s="1" t="s">
        <v>23</v>
      </c>
      <c r="C476" s="11">
        <v>80</v>
      </c>
      <c r="D476" s="11">
        <v>79.06</v>
      </c>
      <c r="E476" s="2">
        <f t="shared" si="15"/>
        <v>0.93999999999999773</v>
      </c>
      <c r="F476" s="11">
        <v>0.42</v>
      </c>
      <c r="G476" s="3">
        <f t="shared" si="14"/>
        <v>1.699999999999997E-2</v>
      </c>
    </row>
    <row r="477" spans="1:7">
      <c r="A477" s="1">
        <v>9</v>
      </c>
      <c r="B477" s="1" t="s">
        <v>23</v>
      </c>
      <c r="C477" s="11">
        <v>40</v>
      </c>
      <c r="D477" s="11">
        <v>39.65</v>
      </c>
      <c r="E477" s="2">
        <f t="shared" si="15"/>
        <v>0.35000000000000142</v>
      </c>
      <c r="F477" s="11">
        <v>0.24199999999999999</v>
      </c>
      <c r="G477" s="3">
        <f t="shared" si="14"/>
        <v>1.4800000000000035E-2</v>
      </c>
    </row>
    <row r="478" spans="1:7">
      <c r="A478" s="1">
        <v>11</v>
      </c>
      <c r="B478" s="1" t="s">
        <v>23</v>
      </c>
      <c r="C478" s="11">
        <v>40</v>
      </c>
      <c r="D478" s="11">
        <v>39.520000000000003</v>
      </c>
      <c r="E478" s="2">
        <f t="shared" si="15"/>
        <v>0.47999999999999687</v>
      </c>
      <c r="F478" s="11">
        <v>0.42</v>
      </c>
      <c r="G478" s="3">
        <f t="shared" si="14"/>
        <v>2.2499999999999919E-2</v>
      </c>
    </row>
    <row r="479" spans="1:7">
      <c r="A479" s="1">
        <v>12</v>
      </c>
      <c r="B479" s="1" t="s">
        <v>23</v>
      </c>
      <c r="C479" s="11">
        <v>170</v>
      </c>
      <c r="D479" s="11">
        <v>168.24</v>
      </c>
      <c r="E479" s="2">
        <f t="shared" si="15"/>
        <v>1.7599999999999909</v>
      </c>
      <c r="F479" s="11">
        <v>0.442</v>
      </c>
      <c r="G479" s="3">
        <f t="shared" si="14"/>
        <v>1.2952941176470535E-2</v>
      </c>
    </row>
    <row r="480" spans="1:7">
      <c r="A480" s="1">
        <v>13</v>
      </c>
      <c r="B480" s="1" t="s">
        <v>23</v>
      </c>
      <c r="C480" s="11">
        <v>50</v>
      </c>
      <c r="D480" s="11">
        <v>49.57</v>
      </c>
      <c r="E480" s="2">
        <f t="shared" si="15"/>
        <v>0.42999999999999972</v>
      </c>
      <c r="F480" s="11">
        <v>0</v>
      </c>
      <c r="G480" s="3">
        <f t="shared" si="14"/>
        <v>8.5999999999999948E-3</v>
      </c>
    </row>
    <row r="481" spans="1:7">
      <c r="A481" s="1">
        <v>14</v>
      </c>
      <c r="B481" s="1" t="s">
        <v>23</v>
      </c>
      <c r="C481" s="11">
        <v>40</v>
      </c>
      <c r="D481" s="11">
        <v>39.5</v>
      </c>
      <c r="E481" s="2">
        <f t="shared" si="15"/>
        <v>0.5</v>
      </c>
      <c r="F481" s="11">
        <v>0.316</v>
      </c>
      <c r="G481" s="3">
        <f t="shared" si="14"/>
        <v>2.0400000000000001E-2</v>
      </c>
    </row>
    <row r="482" spans="1:7">
      <c r="A482" s="1">
        <v>15</v>
      </c>
      <c r="B482" s="1" t="s">
        <v>23</v>
      </c>
      <c r="C482" s="11">
        <v>0</v>
      </c>
      <c r="D482" s="11">
        <v>0</v>
      </c>
      <c r="E482" s="2">
        <f t="shared" si="15"/>
        <v>0</v>
      </c>
      <c r="F482" s="11">
        <v>0.32400000000000001</v>
      </c>
      <c r="G482" s="3" t="e">
        <f t="shared" si="14"/>
        <v>#DIV/0!</v>
      </c>
    </row>
    <row r="483" spans="1:7">
      <c r="A483" s="1">
        <v>16</v>
      </c>
      <c r="B483" s="1" t="s">
        <v>23</v>
      </c>
      <c r="C483" s="11">
        <v>60</v>
      </c>
      <c r="D483" s="11">
        <v>59.37</v>
      </c>
      <c r="E483" s="2">
        <f t="shared" si="15"/>
        <v>0.63000000000000256</v>
      </c>
      <c r="F483" s="11">
        <v>0.23599999999999999</v>
      </c>
      <c r="G483" s="3">
        <f t="shared" si="14"/>
        <v>1.4433333333333376E-2</v>
      </c>
    </row>
    <row r="484" spans="1:7">
      <c r="A484" s="1">
        <v>17</v>
      </c>
      <c r="B484" s="1" t="s">
        <v>23</v>
      </c>
      <c r="C484" s="11">
        <v>125.78400000000001</v>
      </c>
      <c r="D484" s="11">
        <v>124.47</v>
      </c>
      <c r="E484" s="2">
        <f t="shared" si="15"/>
        <v>1.3140000000000072</v>
      </c>
      <c r="F484" s="11">
        <v>0.43</v>
      </c>
      <c r="G484" s="3">
        <f t="shared" si="14"/>
        <v>1.3865038478661889E-2</v>
      </c>
    </row>
    <row r="485" spans="1:7">
      <c r="A485" s="1">
        <v>18</v>
      </c>
      <c r="B485" s="1" t="s">
        <v>23</v>
      </c>
      <c r="C485" s="11">
        <v>265</v>
      </c>
      <c r="D485" s="11">
        <v>262.89999999999998</v>
      </c>
      <c r="E485" s="2">
        <f t="shared" si="15"/>
        <v>2.1000000000000227</v>
      </c>
      <c r="F485" s="11">
        <v>0.95399999999999996</v>
      </c>
      <c r="G485" s="3">
        <f t="shared" ref="G485:G548" si="16">(E485+F485)/C485</f>
        <v>1.1524528301886878E-2</v>
      </c>
    </row>
    <row r="486" spans="1:7">
      <c r="A486" s="1">
        <v>19</v>
      </c>
      <c r="B486" s="1" t="s">
        <v>23</v>
      </c>
      <c r="C486" s="11">
        <v>60</v>
      </c>
      <c r="D486" s="11">
        <v>59.51</v>
      </c>
      <c r="E486" s="2">
        <f t="shared" si="15"/>
        <v>0.49000000000000199</v>
      </c>
      <c r="F486" s="11">
        <v>0.316</v>
      </c>
      <c r="G486" s="3">
        <f t="shared" si="16"/>
        <v>1.3433333333333368E-2</v>
      </c>
    </row>
    <row r="487" spans="1:7">
      <c r="A487" s="1">
        <v>20</v>
      </c>
      <c r="B487" s="1" t="s">
        <v>23</v>
      </c>
      <c r="C487" s="11">
        <v>22.75</v>
      </c>
      <c r="D487" s="11">
        <v>22.49</v>
      </c>
      <c r="E487" s="2">
        <f t="shared" si="15"/>
        <v>0.26000000000000156</v>
      </c>
      <c r="F487" s="11">
        <v>0.23</v>
      </c>
      <c r="G487" s="3">
        <f t="shared" si="16"/>
        <v>2.1538461538461607E-2</v>
      </c>
    </row>
    <row r="488" spans="1:7">
      <c r="A488" s="1">
        <v>21</v>
      </c>
      <c r="B488" s="1" t="s">
        <v>23</v>
      </c>
      <c r="C488" s="11">
        <v>60</v>
      </c>
      <c r="D488" s="11">
        <v>59.52</v>
      </c>
      <c r="E488" s="2">
        <f t="shared" si="15"/>
        <v>0.47999999999999687</v>
      </c>
      <c r="F488" s="11">
        <v>0.28999999999999998</v>
      </c>
      <c r="G488" s="3">
        <f t="shared" si="16"/>
        <v>1.2833333333333282E-2</v>
      </c>
    </row>
    <row r="489" spans="1:7">
      <c r="A489" s="1">
        <v>22</v>
      </c>
      <c r="B489" s="1" t="s">
        <v>23</v>
      </c>
      <c r="C489" s="11">
        <v>45</v>
      </c>
      <c r="D489" s="11">
        <v>44.63</v>
      </c>
      <c r="E489" s="2">
        <f t="shared" si="15"/>
        <v>0.36999999999999744</v>
      </c>
      <c r="F489" s="11">
        <v>0.29799999999999999</v>
      </c>
      <c r="G489" s="3">
        <f t="shared" si="16"/>
        <v>1.4844444444444389E-2</v>
      </c>
    </row>
    <row r="490" spans="1:7">
      <c r="A490" s="1">
        <v>23</v>
      </c>
      <c r="B490" s="1" t="s">
        <v>23</v>
      </c>
      <c r="C490" s="11">
        <v>160</v>
      </c>
      <c r="D490" s="11">
        <v>158.30000000000001</v>
      </c>
      <c r="E490" s="2">
        <f t="shared" si="15"/>
        <v>1.6999999999999886</v>
      </c>
      <c r="F490" s="11">
        <v>1.022</v>
      </c>
      <c r="G490" s="3">
        <f t="shared" si="16"/>
        <v>1.701249999999993E-2</v>
      </c>
    </row>
    <row r="491" spans="1:7">
      <c r="A491" s="1">
        <v>24</v>
      </c>
      <c r="B491" s="1" t="s">
        <v>23</v>
      </c>
      <c r="C491" s="11">
        <v>0</v>
      </c>
      <c r="D491" s="11">
        <v>0</v>
      </c>
      <c r="E491" s="2">
        <f t="shared" si="15"/>
        <v>0</v>
      </c>
      <c r="F491" s="11">
        <v>0.254</v>
      </c>
      <c r="G491" s="3" t="e">
        <f t="shared" si="16"/>
        <v>#DIV/0!</v>
      </c>
    </row>
    <row r="492" spans="1:7">
      <c r="A492" s="1">
        <v>25</v>
      </c>
      <c r="B492" s="1" t="s">
        <v>23</v>
      </c>
      <c r="C492" s="11">
        <v>120</v>
      </c>
      <c r="D492" s="11">
        <v>118.86</v>
      </c>
      <c r="E492" s="2">
        <f t="shared" si="15"/>
        <v>1.1400000000000006</v>
      </c>
      <c r="F492" s="11">
        <v>0.29599999999999999</v>
      </c>
      <c r="G492" s="3">
        <f t="shared" si="16"/>
        <v>1.1966666666666672E-2</v>
      </c>
    </row>
    <row r="493" spans="1:7">
      <c r="A493" s="1">
        <v>26</v>
      </c>
      <c r="B493" s="1" t="s">
        <v>23</v>
      </c>
      <c r="C493" s="11">
        <v>145</v>
      </c>
      <c r="D493" s="11">
        <v>143.87</v>
      </c>
      <c r="E493" s="2">
        <f t="shared" si="15"/>
        <v>1.1299999999999955</v>
      </c>
      <c r="F493" s="11">
        <v>1.022</v>
      </c>
      <c r="G493" s="3">
        <f t="shared" si="16"/>
        <v>1.4841379310344799E-2</v>
      </c>
    </row>
    <row r="494" spans="1:7">
      <c r="A494" s="1">
        <v>27</v>
      </c>
      <c r="B494" s="1" t="s">
        <v>23</v>
      </c>
      <c r="C494" s="11">
        <v>45</v>
      </c>
      <c r="D494" s="11">
        <v>44.49</v>
      </c>
      <c r="E494" s="2">
        <f t="shared" si="15"/>
        <v>0.50999999999999801</v>
      </c>
      <c r="F494" s="11">
        <v>7.1999999999999995E-2</v>
      </c>
      <c r="G494" s="3">
        <f t="shared" si="16"/>
        <v>1.2933333333333288E-2</v>
      </c>
    </row>
    <row r="495" spans="1:7">
      <c r="A495" s="1">
        <v>28</v>
      </c>
      <c r="B495" s="1" t="s">
        <v>23</v>
      </c>
      <c r="C495" s="11">
        <v>111.556</v>
      </c>
      <c r="D495" s="11">
        <v>110.41</v>
      </c>
      <c r="E495" s="2">
        <f t="shared" si="15"/>
        <v>1.1460000000000008</v>
      </c>
      <c r="F495" s="11">
        <v>0.25600000000000001</v>
      </c>
      <c r="G495" s="3">
        <f t="shared" si="16"/>
        <v>1.2567679013231031E-2</v>
      </c>
    </row>
    <row r="496" spans="1:7">
      <c r="A496" s="1">
        <v>29</v>
      </c>
      <c r="B496" s="1" t="s">
        <v>23</v>
      </c>
      <c r="C496" s="11">
        <v>80</v>
      </c>
      <c r="D496" s="11">
        <v>79.08</v>
      </c>
      <c r="E496" s="2">
        <f t="shared" si="15"/>
        <v>0.92000000000000171</v>
      </c>
      <c r="F496" s="11">
        <v>0.89600000000000002</v>
      </c>
      <c r="G496" s="3">
        <f t="shared" si="16"/>
        <v>2.2700000000000019E-2</v>
      </c>
    </row>
    <row r="497" spans="1:7">
      <c r="A497" s="1">
        <v>30</v>
      </c>
      <c r="B497" s="1" t="s">
        <v>23</v>
      </c>
      <c r="C497" s="11">
        <v>185</v>
      </c>
      <c r="D497" s="11">
        <v>182.86</v>
      </c>
      <c r="E497" s="2">
        <f t="shared" si="15"/>
        <v>2.1399999999999864</v>
      </c>
      <c r="F497" s="11">
        <v>0.308</v>
      </c>
      <c r="G497" s="3">
        <f t="shared" si="16"/>
        <v>1.3232432432432358E-2</v>
      </c>
    </row>
    <row r="498" spans="1:7">
      <c r="A498" s="1">
        <v>31</v>
      </c>
      <c r="B498" s="1" t="s">
        <v>23</v>
      </c>
      <c r="C498" s="11">
        <v>60</v>
      </c>
      <c r="D498" s="11">
        <v>59.38</v>
      </c>
      <c r="E498" s="2">
        <f t="shared" si="15"/>
        <v>0.61999999999999744</v>
      </c>
      <c r="F498" s="11">
        <v>0.316</v>
      </c>
      <c r="G498" s="3">
        <f t="shared" si="16"/>
        <v>1.5599999999999958E-2</v>
      </c>
    </row>
    <row r="499" spans="1:7">
      <c r="A499" s="1">
        <v>1</v>
      </c>
      <c r="B499" s="1" t="s">
        <v>24</v>
      </c>
      <c r="C499" s="11">
        <v>60</v>
      </c>
      <c r="D499" s="11">
        <v>59.73</v>
      </c>
      <c r="E499" s="2">
        <f t="shared" si="15"/>
        <v>0.27000000000000313</v>
      </c>
      <c r="F499" s="11">
        <v>0.89</v>
      </c>
      <c r="G499" s="3">
        <f t="shared" si="16"/>
        <v>1.9333333333333386E-2</v>
      </c>
    </row>
    <row r="500" spans="1:7">
      <c r="A500" s="1">
        <v>2</v>
      </c>
      <c r="B500" s="1" t="s">
        <v>24</v>
      </c>
      <c r="C500" s="11">
        <v>200</v>
      </c>
      <c r="D500" s="11">
        <v>199.18</v>
      </c>
      <c r="E500" s="2">
        <f t="shared" si="15"/>
        <v>0.81999999999999318</v>
      </c>
      <c r="F500" s="11">
        <v>2.8250000000000002</v>
      </c>
      <c r="G500" s="3">
        <f t="shared" si="16"/>
        <v>1.8224999999999967E-2</v>
      </c>
    </row>
    <row r="501" spans="1:7">
      <c r="A501" s="1">
        <v>3</v>
      </c>
      <c r="B501" s="1" t="s">
        <v>24</v>
      </c>
      <c r="C501" s="11">
        <v>100</v>
      </c>
      <c r="D501" s="11">
        <v>99.58</v>
      </c>
      <c r="E501" s="2">
        <f t="shared" si="15"/>
        <v>0.42000000000000171</v>
      </c>
      <c r="F501" s="11">
        <v>1.4179999999999999</v>
      </c>
      <c r="G501" s="3">
        <f t="shared" si="16"/>
        <v>1.8380000000000018E-2</v>
      </c>
    </row>
    <row r="502" spans="1:7">
      <c r="A502" s="1">
        <v>4</v>
      </c>
      <c r="B502" s="1" t="s">
        <v>24</v>
      </c>
      <c r="C502" s="11">
        <v>60</v>
      </c>
      <c r="D502" s="11">
        <v>59.69</v>
      </c>
      <c r="E502" s="2">
        <f t="shared" si="15"/>
        <v>0.31000000000000227</v>
      </c>
      <c r="F502" s="11">
        <v>0.79</v>
      </c>
      <c r="G502" s="3">
        <f t="shared" si="16"/>
        <v>1.8333333333333372E-2</v>
      </c>
    </row>
    <row r="503" spans="1:7">
      <c r="A503" s="1">
        <v>5</v>
      </c>
      <c r="B503" s="1" t="s">
        <v>24</v>
      </c>
      <c r="C503" s="11">
        <v>40</v>
      </c>
      <c r="D503" s="11">
        <v>39.71</v>
      </c>
      <c r="E503" s="2">
        <f t="shared" si="15"/>
        <v>0.28999999999999915</v>
      </c>
      <c r="F503" s="11">
        <v>0.46500000000000002</v>
      </c>
      <c r="G503" s="3">
        <f t="shared" si="16"/>
        <v>1.8874999999999982E-2</v>
      </c>
    </row>
    <row r="504" spans="1:7">
      <c r="A504" s="1">
        <v>6</v>
      </c>
      <c r="B504" s="1" t="s">
        <v>24</v>
      </c>
      <c r="C504" s="11">
        <v>40</v>
      </c>
      <c r="D504" s="11">
        <v>39.69</v>
      </c>
      <c r="E504" s="2">
        <f t="shared" si="15"/>
        <v>0.31000000000000227</v>
      </c>
      <c r="F504" s="11">
        <v>0.72499999999999998</v>
      </c>
      <c r="G504" s="3">
        <f t="shared" si="16"/>
        <v>2.5875000000000058E-2</v>
      </c>
    </row>
    <row r="505" spans="1:7">
      <c r="A505" s="1">
        <v>7</v>
      </c>
      <c r="B505" s="1" t="s">
        <v>24</v>
      </c>
      <c r="C505" s="11">
        <v>40</v>
      </c>
      <c r="D505" s="11">
        <v>39.700000000000003</v>
      </c>
      <c r="E505" s="2">
        <f t="shared" si="15"/>
        <v>0.29999999999999716</v>
      </c>
      <c r="F505" s="11">
        <v>0.41499999999999998</v>
      </c>
      <c r="G505" s="3">
        <f t="shared" si="16"/>
        <v>1.7874999999999929E-2</v>
      </c>
    </row>
    <row r="506" spans="1:7">
      <c r="A506" s="1">
        <v>10</v>
      </c>
      <c r="B506" s="1" t="s">
        <v>24</v>
      </c>
      <c r="C506" s="11">
        <v>67.77</v>
      </c>
      <c r="D506" s="11">
        <v>67.22</v>
      </c>
      <c r="E506" s="2">
        <f t="shared" si="15"/>
        <v>0.54999999999999716</v>
      </c>
      <c r="F506" s="11">
        <v>0.60399999999999998</v>
      </c>
      <c r="G506" s="3">
        <f t="shared" si="16"/>
        <v>1.7028183562048063E-2</v>
      </c>
    </row>
    <row r="507" spans="1:7">
      <c r="A507" s="1">
        <v>8</v>
      </c>
      <c r="B507" s="1" t="s">
        <v>24</v>
      </c>
      <c r="C507" s="11">
        <v>22.98</v>
      </c>
      <c r="D507" s="11">
        <v>22.82</v>
      </c>
      <c r="E507" s="2">
        <f t="shared" si="15"/>
        <v>0.16000000000000014</v>
      </c>
      <c r="F507" s="11">
        <v>0.26</v>
      </c>
      <c r="G507" s="3">
        <f t="shared" si="16"/>
        <v>1.8276762402088777E-2</v>
      </c>
    </row>
    <row r="508" spans="1:7">
      <c r="A508" s="1">
        <v>9</v>
      </c>
      <c r="B508" s="1" t="s">
        <v>24</v>
      </c>
      <c r="C508" s="11">
        <v>105.48</v>
      </c>
      <c r="D508" s="11">
        <v>104.57</v>
      </c>
      <c r="E508" s="2">
        <f t="shared" si="15"/>
        <v>0.9100000000000108</v>
      </c>
      <c r="F508" s="11">
        <v>1.31</v>
      </c>
      <c r="G508" s="3">
        <f t="shared" si="16"/>
        <v>2.1046643913538214E-2</v>
      </c>
    </row>
    <row r="509" spans="1:7">
      <c r="A509" s="1">
        <v>11</v>
      </c>
      <c r="B509" s="1" t="s">
        <v>24</v>
      </c>
      <c r="C509" s="11">
        <v>0</v>
      </c>
      <c r="D509" s="11">
        <v>0</v>
      </c>
      <c r="E509" s="2">
        <f t="shared" si="15"/>
        <v>0</v>
      </c>
      <c r="F509" s="11">
        <v>0</v>
      </c>
      <c r="G509" s="3" t="e">
        <f t="shared" si="16"/>
        <v>#DIV/0!</v>
      </c>
    </row>
    <row r="510" spans="1:7">
      <c r="A510" s="1">
        <v>12</v>
      </c>
      <c r="B510" s="1" t="s">
        <v>24</v>
      </c>
      <c r="C510" s="11">
        <v>37.869999999999997</v>
      </c>
      <c r="D510" s="11">
        <v>37.659999999999997</v>
      </c>
      <c r="E510" s="2">
        <f t="shared" si="15"/>
        <v>0.21000000000000085</v>
      </c>
      <c r="F510" s="11">
        <v>0.54500000000000004</v>
      </c>
      <c r="G510" s="3">
        <f t="shared" si="16"/>
        <v>1.9936625297068945E-2</v>
      </c>
    </row>
    <row r="511" spans="1:7">
      <c r="A511" s="1">
        <v>13</v>
      </c>
      <c r="B511" s="1" t="s">
        <v>24</v>
      </c>
      <c r="C511" s="11">
        <v>167.14</v>
      </c>
      <c r="D511" s="11">
        <v>166.11</v>
      </c>
      <c r="E511" s="2">
        <f t="shared" si="15"/>
        <v>1.0299999999999727</v>
      </c>
      <c r="F511" s="11">
        <v>2.1309999999999998</v>
      </c>
      <c r="G511" s="3">
        <f t="shared" si="16"/>
        <v>1.8912289098958795E-2</v>
      </c>
    </row>
    <row r="512" spans="1:7">
      <c r="A512" s="1">
        <v>14</v>
      </c>
      <c r="B512" s="1" t="s">
        <v>24</v>
      </c>
      <c r="C512" s="11">
        <v>80</v>
      </c>
      <c r="D512" s="11">
        <v>79.459999999999994</v>
      </c>
      <c r="E512" s="2">
        <f t="shared" si="15"/>
        <v>0.54000000000000625</v>
      </c>
      <c r="F512" s="11">
        <v>0.997</v>
      </c>
      <c r="G512" s="3">
        <f t="shared" si="16"/>
        <v>1.9212500000000077E-2</v>
      </c>
    </row>
    <row r="513" spans="1:7">
      <c r="A513" s="1">
        <v>15</v>
      </c>
      <c r="B513" s="1" t="s">
        <v>24</v>
      </c>
      <c r="C513" s="11">
        <v>0</v>
      </c>
      <c r="D513" s="11">
        <v>0</v>
      </c>
      <c r="E513" s="2">
        <f t="shared" si="15"/>
        <v>0</v>
      </c>
      <c r="F513" s="11">
        <v>6.6000000000000003E-2</v>
      </c>
      <c r="G513" s="3" t="e">
        <f t="shared" si="16"/>
        <v>#DIV/0!</v>
      </c>
    </row>
    <row r="514" spans="1:7">
      <c r="A514" s="1">
        <v>16</v>
      </c>
      <c r="B514" s="1" t="s">
        <v>24</v>
      </c>
      <c r="C514" s="11">
        <v>23.88</v>
      </c>
      <c r="D514" s="11">
        <v>23.72</v>
      </c>
      <c r="E514" s="2">
        <f t="shared" si="15"/>
        <v>0.16000000000000014</v>
      </c>
      <c r="F514" s="11">
        <v>0.64200000000000002</v>
      </c>
      <c r="G514" s="3">
        <f t="shared" si="16"/>
        <v>3.3584589614740375E-2</v>
      </c>
    </row>
    <row r="515" spans="1:7">
      <c r="A515" s="1">
        <v>17</v>
      </c>
      <c r="B515" s="1" t="s">
        <v>24</v>
      </c>
      <c r="C515" s="11">
        <v>23.31</v>
      </c>
      <c r="D515" s="11">
        <v>23.22</v>
      </c>
      <c r="E515" s="2">
        <f t="shared" si="15"/>
        <v>8.9999999999999858E-2</v>
      </c>
      <c r="F515" s="11">
        <v>0.73099999999999998</v>
      </c>
      <c r="G515" s="3">
        <f t="shared" si="16"/>
        <v>3.5220935220935216E-2</v>
      </c>
    </row>
    <row r="516" spans="1:7">
      <c r="A516" s="1">
        <v>18</v>
      </c>
      <c r="B516" s="1" t="s">
        <v>24</v>
      </c>
      <c r="C516" s="11">
        <v>0</v>
      </c>
      <c r="D516" s="11">
        <v>0</v>
      </c>
      <c r="E516" s="2">
        <f t="shared" ref="E516:E579" si="17">C516-D516</f>
        <v>0</v>
      </c>
      <c r="F516" s="11">
        <v>0.1</v>
      </c>
      <c r="G516" s="3" t="e">
        <f t="shared" si="16"/>
        <v>#DIV/0!</v>
      </c>
    </row>
    <row r="517" spans="1:7">
      <c r="A517" s="1">
        <v>19</v>
      </c>
      <c r="B517" s="1" t="s">
        <v>24</v>
      </c>
      <c r="C517" s="11">
        <v>40</v>
      </c>
      <c r="D517" s="11">
        <v>39.700000000000003</v>
      </c>
      <c r="E517" s="2">
        <f t="shared" si="17"/>
        <v>0.29999999999999716</v>
      </c>
      <c r="F517" s="11">
        <v>0.44900000000000001</v>
      </c>
      <c r="G517" s="3">
        <f t="shared" si="16"/>
        <v>1.8724999999999929E-2</v>
      </c>
    </row>
    <row r="518" spans="1:7">
      <c r="A518" s="1">
        <v>20</v>
      </c>
      <c r="B518" s="1" t="s">
        <v>24</v>
      </c>
      <c r="C518" s="11">
        <v>20</v>
      </c>
      <c r="D518" s="11">
        <v>19.86</v>
      </c>
      <c r="E518" s="2">
        <f t="shared" si="17"/>
        <v>0.14000000000000057</v>
      </c>
      <c r="F518" s="11">
        <v>0.315</v>
      </c>
      <c r="G518" s="3">
        <f t="shared" si="16"/>
        <v>2.2750000000000027E-2</v>
      </c>
    </row>
    <row r="519" spans="1:7">
      <c r="A519" s="1">
        <v>21</v>
      </c>
      <c r="B519" s="1" t="s">
        <v>24</v>
      </c>
      <c r="C519" s="11">
        <v>127.88</v>
      </c>
      <c r="D519" s="11">
        <v>126.94</v>
      </c>
      <c r="E519" s="2">
        <f t="shared" si="17"/>
        <v>0.93999999999999773</v>
      </c>
      <c r="F519" s="11">
        <v>1.585</v>
      </c>
      <c r="G519" s="3">
        <f t="shared" si="16"/>
        <v>1.9745073506412244E-2</v>
      </c>
    </row>
    <row r="520" spans="1:7">
      <c r="A520" s="1">
        <v>22</v>
      </c>
      <c r="B520" s="1" t="s">
        <v>24</v>
      </c>
      <c r="C520" s="11">
        <v>88.08</v>
      </c>
      <c r="D520" s="11">
        <v>87.55</v>
      </c>
      <c r="E520" s="2">
        <f t="shared" si="17"/>
        <v>0.53000000000000114</v>
      </c>
      <c r="F520" s="11">
        <v>1.175</v>
      </c>
      <c r="G520" s="3">
        <f t="shared" si="16"/>
        <v>1.935740236148957E-2</v>
      </c>
    </row>
    <row r="521" spans="1:7">
      <c r="A521" s="1">
        <v>23</v>
      </c>
      <c r="B521" s="1" t="s">
        <v>24</v>
      </c>
      <c r="C521" s="11">
        <v>65.430000000000007</v>
      </c>
      <c r="D521" s="11">
        <v>65.03</v>
      </c>
      <c r="E521" s="2">
        <f t="shared" si="17"/>
        <v>0.40000000000000568</v>
      </c>
      <c r="F521" s="11">
        <v>0.374</v>
      </c>
      <c r="G521" s="3">
        <f t="shared" si="16"/>
        <v>1.1829436038514529E-2</v>
      </c>
    </row>
    <row r="522" spans="1:7">
      <c r="A522" s="1">
        <v>24</v>
      </c>
      <c r="B522" s="1" t="s">
        <v>24</v>
      </c>
      <c r="C522" s="11">
        <v>40</v>
      </c>
      <c r="D522" s="11">
        <v>39.78</v>
      </c>
      <c r="E522" s="2">
        <f t="shared" si="17"/>
        <v>0.21999999999999886</v>
      </c>
      <c r="F522" s="11">
        <v>0.51100000000000001</v>
      </c>
      <c r="G522" s="3">
        <f t="shared" si="16"/>
        <v>1.8274999999999972E-2</v>
      </c>
    </row>
    <row r="523" spans="1:7">
      <c r="A523" s="1">
        <v>25</v>
      </c>
      <c r="B523" s="1" t="s">
        <v>24</v>
      </c>
      <c r="C523" s="11">
        <v>47.3</v>
      </c>
      <c r="D523" s="11">
        <v>46.94</v>
      </c>
      <c r="E523" s="2">
        <f t="shared" si="17"/>
        <v>0.35999999999999943</v>
      </c>
      <c r="F523" s="11">
        <v>0.54600000000000004</v>
      </c>
      <c r="G523" s="3">
        <f t="shared" si="16"/>
        <v>1.9154334038054957E-2</v>
      </c>
    </row>
    <row r="524" spans="1:7">
      <c r="A524" s="1">
        <v>26</v>
      </c>
      <c r="B524" s="1" t="s">
        <v>24</v>
      </c>
      <c r="C524" s="11">
        <v>85.46</v>
      </c>
      <c r="D524" s="11">
        <v>84.53</v>
      </c>
      <c r="E524" s="2">
        <f t="shared" si="17"/>
        <v>0.92999999999999261</v>
      </c>
      <c r="F524" s="11">
        <v>0.53200000000000003</v>
      </c>
      <c r="G524" s="3">
        <f t="shared" si="16"/>
        <v>1.7107418675403614E-2</v>
      </c>
    </row>
    <row r="525" spans="1:7">
      <c r="A525" s="1">
        <v>27</v>
      </c>
      <c r="B525" s="1" t="s">
        <v>24</v>
      </c>
      <c r="C525" s="11">
        <v>20</v>
      </c>
      <c r="D525" s="11">
        <v>19.899999999999999</v>
      </c>
      <c r="E525" s="2">
        <f t="shared" si="17"/>
        <v>0.10000000000000142</v>
      </c>
      <c r="F525" s="11">
        <v>0.34899999999999998</v>
      </c>
      <c r="G525" s="3">
        <f t="shared" si="16"/>
        <v>2.2450000000000071E-2</v>
      </c>
    </row>
    <row r="526" spans="1:7">
      <c r="A526" s="1">
        <v>28</v>
      </c>
      <c r="B526" s="1" t="s">
        <v>24</v>
      </c>
      <c r="C526" s="11">
        <v>40</v>
      </c>
      <c r="D526" s="11">
        <v>39.81</v>
      </c>
      <c r="E526" s="2">
        <f t="shared" si="17"/>
        <v>0.18999999999999773</v>
      </c>
      <c r="F526" s="11">
        <v>0.78800000000000003</v>
      </c>
      <c r="G526" s="3">
        <f t="shared" si="16"/>
        <v>2.4449999999999944E-2</v>
      </c>
    </row>
    <row r="527" spans="1:7">
      <c r="A527" s="1">
        <v>29</v>
      </c>
      <c r="B527" s="1" t="s">
        <v>24</v>
      </c>
      <c r="C527" s="11">
        <v>100</v>
      </c>
      <c r="D527" s="11">
        <v>99.57</v>
      </c>
      <c r="E527" s="2">
        <f t="shared" si="17"/>
        <v>0.43000000000000682</v>
      </c>
      <c r="F527" s="11">
        <v>1.84</v>
      </c>
      <c r="G527" s="3">
        <f t="shared" si="16"/>
        <v>2.2700000000000067E-2</v>
      </c>
    </row>
    <row r="528" spans="1:7">
      <c r="A528" s="1">
        <v>30</v>
      </c>
      <c r="B528" s="1" t="s">
        <v>24</v>
      </c>
      <c r="C528" s="11">
        <v>175.96</v>
      </c>
      <c r="D528" s="11">
        <v>174.18</v>
      </c>
      <c r="E528" s="2">
        <f t="shared" si="17"/>
        <v>1.7800000000000011</v>
      </c>
      <c r="F528" s="11">
        <v>1.4350000000000001</v>
      </c>
      <c r="G528" s="3">
        <f t="shared" si="16"/>
        <v>1.8271197999545356E-2</v>
      </c>
    </row>
    <row r="529" spans="1:7">
      <c r="A529" s="1">
        <v>31</v>
      </c>
      <c r="B529" s="1" t="s">
        <v>24</v>
      </c>
      <c r="C529" s="11">
        <v>40</v>
      </c>
      <c r="D529" s="11">
        <v>39.68</v>
      </c>
      <c r="E529" s="2">
        <f t="shared" si="17"/>
        <v>0.32000000000000028</v>
      </c>
      <c r="F529" s="11">
        <v>0.42799999999999999</v>
      </c>
      <c r="G529" s="3">
        <f t="shared" si="16"/>
        <v>1.8700000000000005E-2</v>
      </c>
    </row>
    <row r="530" spans="1:7">
      <c r="A530" s="1">
        <v>1</v>
      </c>
      <c r="B530" s="1" t="s">
        <v>25</v>
      </c>
      <c r="C530" s="11">
        <v>40</v>
      </c>
      <c r="D530" s="11">
        <v>39.479999999999997</v>
      </c>
      <c r="E530" s="2">
        <f t="shared" si="17"/>
        <v>0.52000000000000313</v>
      </c>
      <c r="F530" s="11">
        <v>0.10100000000000001</v>
      </c>
      <c r="G530" s="3">
        <f t="shared" si="16"/>
        <v>1.5525000000000077E-2</v>
      </c>
    </row>
    <row r="531" spans="1:7">
      <c r="A531" s="1">
        <v>2</v>
      </c>
      <c r="B531" s="1" t="s">
        <v>25</v>
      </c>
      <c r="C531" s="11">
        <v>140</v>
      </c>
      <c r="D531" s="11">
        <v>138.66999999999999</v>
      </c>
      <c r="E531" s="2">
        <f t="shared" si="17"/>
        <v>1.3300000000000125</v>
      </c>
      <c r="F531" s="11">
        <v>7.2999999999999995E-2</v>
      </c>
      <c r="G531" s="3">
        <f t="shared" si="16"/>
        <v>1.002142857142866E-2</v>
      </c>
    </row>
    <row r="532" spans="1:7">
      <c r="A532" s="1">
        <v>3</v>
      </c>
      <c r="B532" s="1" t="s">
        <v>25</v>
      </c>
      <c r="C532" s="11">
        <v>100</v>
      </c>
      <c r="D532" s="11">
        <v>98.56</v>
      </c>
      <c r="E532" s="2">
        <f t="shared" si="17"/>
        <v>1.4399999999999977</v>
      </c>
      <c r="F532" s="11">
        <v>0.32100000000000001</v>
      </c>
      <c r="G532" s="3">
        <f t="shared" si="16"/>
        <v>1.7609999999999976E-2</v>
      </c>
    </row>
    <row r="533" spans="1:7">
      <c r="A533" s="1">
        <v>4</v>
      </c>
      <c r="B533" s="1" t="s">
        <v>25</v>
      </c>
      <c r="C533" s="11">
        <v>340</v>
      </c>
      <c r="D533" s="11">
        <v>336.79</v>
      </c>
      <c r="E533" s="2">
        <f t="shared" si="17"/>
        <v>3.2099999999999795</v>
      </c>
      <c r="F533" s="11">
        <v>0.23499999999999999</v>
      </c>
      <c r="G533" s="3">
        <f t="shared" si="16"/>
        <v>1.013235294117641E-2</v>
      </c>
    </row>
    <row r="534" spans="1:7">
      <c r="A534" s="1">
        <v>5</v>
      </c>
      <c r="B534" s="1" t="s">
        <v>25</v>
      </c>
      <c r="C534" s="11">
        <v>0</v>
      </c>
      <c r="D534" s="11">
        <v>0</v>
      </c>
      <c r="E534" s="2">
        <f t="shared" si="17"/>
        <v>0</v>
      </c>
      <c r="F534" s="11">
        <v>0.14000000000000057</v>
      </c>
      <c r="G534" s="3" t="e">
        <f t="shared" si="16"/>
        <v>#DIV/0!</v>
      </c>
    </row>
    <row r="535" spans="1:7">
      <c r="A535" s="1">
        <v>6</v>
      </c>
      <c r="B535" s="1" t="s">
        <v>25</v>
      </c>
      <c r="C535" s="11">
        <v>0</v>
      </c>
      <c r="D535" s="11">
        <v>0</v>
      </c>
      <c r="E535" s="2">
        <f t="shared" si="17"/>
        <v>0</v>
      </c>
      <c r="F535" s="11">
        <v>0.24299999999999999</v>
      </c>
      <c r="G535" s="3" t="e">
        <f t="shared" si="16"/>
        <v>#DIV/0!</v>
      </c>
    </row>
    <row r="536" spans="1:7">
      <c r="A536" s="1">
        <v>7</v>
      </c>
      <c r="B536" s="1" t="s">
        <v>25</v>
      </c>
      <c r="C536" s="11">
        <v>40</v>
      </c>
      <c r="D536" s="11">
        <v>39.51</v>
      </c>
      <c r="E536" s="2">
        <f t="shared" si="17"/>
        <v>0.49000000000000199</v>
      </c>
      <c r="F536" s="11">
        <v>0.14000000000000001</v>
      </c>
      <c r="G536" s="3">
        <f t="shared" si="16"/>
        <v>1.5750000000000049E-2</v>
      </c>
    </row>
    <row r="537" spans="1:7">
      <c r="A537" s="1">
        <v>10</v>
      </c>
      <c r="B537" s="1" t="s">
        <v>25</v>
      </c>
      <c r="C537" s="11">
        <v>60</v>
      </c>
      <c r="D537" s="11">
        <v>59.5</v>
      </c>
      <c r="E537" s="2">
        <f t="shared" si="17"/>
        <v>0.5</v>
      </c>
      <c r="F537" s="11">
        <v>0.15610000000000213</v>
      </c>
      <c r="G537" s="3">
        <f t="shared" si="16"/>
        <v>1.0935000000000035E-2</v>
      </c>
    </row>
    <row r="538" spans="1:7">
      <c r="A538" s="1">
        <v>8</v>
      </c>
      <c r="B538" s="1" t="s">
        <v>25</v>
      </c>
      <c r="C538" s="11">
        <v>20</v>
      </c>
      <c r="D538" s="11">
        <v>19.62</v>
      </c>
      <c r="E538" s="2">
        <f t="shared" si="17"/>
        <v>0.37999999999999901</v>
      </c>
      <c r="F538" s="11">
        <v>0.13100000000000001</v>
      </c>
      <c r="G538" s="3">
        <f t="shared" si="16"/>
        <v>2.5549999999999951E-2</v>
      </c>
    </row>
    <row r="539" spans="1:7">
      <c r="A539" s="1">
        <v>9</v>
      </c>
      <c r="B539" s="1" t="s">
        <v>25</v>
      </c>
      <c r="C539" s="11">
        <v>40</v>
      </c>
      <c r="D539" s="11">
        <v>39.42</v>
      </c>
      <c r="E539" s="2">
        <f t="shared" si="17"/>
        <v>0.57999999999999829</v>
      </c>
      <c r="F539" s="11">
        <v>0.12690000000000623</v>
      </c>
      <c r="G539" s="3">
        <f t="shared" si="16"/>
        <v>1.7672500000000112E-2</v>
      </c>
    </row>
    <row r="540" spans="1:7">
      <c r="A540" s="1">
        <v>11</v>
      </c>
      <c r="B540" s="1" t="s">
        <v>25</v>
      </c>
      <c r="C540" s="11">
        <v>48.23</v>
      </c>
      <c r="D540" s="11">
        <v>47.92</v>
      </c>
      <c r="E540" s="2">
        <f t="shared" si="17"/>
        <v>0.30999999999999517</v>
      </c>
      <c r="F540" s="11">
        <v>0.19600000000000001</v>
      </c>
      <c r="G540" s="3">
        <f t="shared" si="16"/>
        <v>1.0491395397055674E-2</v>
      </c>
    </row>
    <row r="541" spans="1:7">
      <c r="A541" s="1">
        <v>12</v>
      </c>
      <c r="B541" s="1" t="s">
        <v>25</v>
      </c>
      <c r="C541" s="11">
        <v>62.45</v>
      </c>
      <c r="D541" s="11">
        <v>61.39</v>
      </c>
      <c r="E541" s="2">
        <f t="shared" si="17"/>
        <v>1.0600000000000023</v>
      </c>
      <c r="F541" s="11">
        <v>0.11899999999999999</v>
      </c>
      <c r="G541" s="3">
        <f t="shared" si="16"/>
        <v>1.8879103282626136E-2</v>
      </c>
    </row>
    <row r="542" spans="1:7">
      <c r="A542" s="1">
        <v>13</v>
      </c>
      <c r="B542" s="1" t="s">
        <v>25</v>
      </c>
      <c r="C542" s="11">
        <v>0</v>
      </c>
      <c r="D542" s="11">
        <v>0</v>
      </c>
      <c r="E542" s="2">
        <f t="shared" si="17"/>
        <v>0</v>
      </c>
      <c r="F542" s="11">
        <v>0.13700000000000001</v>
      </c>
      <c r="G542" s="3" t="e">
        <f t="shared" si="16"/>
        <v>#DIV/0!</v>
      </c>
    </row>
    <row r="543" spans="1:7">
      <c r="A543" s="1">
        <v>14</v>
      </c>
      <c r="B543" s="1" t="s">
        <v>25</v>
      </c>
      <c r="C543" s="11">
        <v>45.77</v>
      </c>
      <c r="D543" s="11">
        <v>45.14</v>
      </c>
      <c r="E543" s="2">
        <f t="shared" si="17"/>
        <v>0.63000000000000256</v>
      </c>
      <c r="F543" s="11">
        <v>0.13300000000000001</v>
      </c>
      <c r="G543" s="3">
        <f t="shared" si="16"/>
        <v>1.6670308062049433E-2</v>
      </c>
    </row>
    <row r="544" spans="1:7">
      <c r="A544" s="1">
        <v>15</v>
      </c>
      <c r="B544" s="1" t="s">
        <v>25</v>
      </c>
      <c r="C544" s="11">
        <v>26.46</v>
      </c>
      <c r="D544" s="11">
        <v>25.7</v>
      </c>
      <c r="E544" s="2">
        <f t="shared" si="17"/>
        <v>0.76000000000000156</v>
      </c>
      <c r="F544" s="11">
        <v>0.111</v>
      </c>
      <c r="G544" s="3">
        <f t="shared" si="16"/>
        <v>3.291761148904012E-2</v>
      </c>
    </row>
    <row r="545" spans="1:7">
      <c r="A545" s="1">
        <v>16</v>
      </c>
      <c r="B545" s="1" t="s">
        <v>25</v>
      </c>
      <c r="C545" s="11">
        <v>40</v>
      </c>
      <c r="D545" s="11">
        <v>39.43</v>
      </c>
      <c r="E545" s="2">
        <f t="shared" si="17"/>
        <v>0.57000000000000028</v>
      </c>
      <c r="F545" s="11">
        <v>0.215</v>
      </c>
      <c r="G545" s="3">
        <f t="shared" si="16"/>
        <v>1.9625000000000007E-2</v>
      </c>
    </row>
    <row r="546" spans="1:7">
      <c r="A546" s="1">
        <v>17</v>
      </c>
      <c r="B546" s="1" t="s">
        <v>25</v>
      </c>
      <c r="C546" s="11">
        <v>34.78</v>
      </c>
      <c r="D546" s="11">
        <v>34.47</v>
      </c>
      <c r="E546" s="2">
        <f t="shared" si="17"/>
        <v>0.31000000000000227</v>
      </c>
      <c r="F546" s="11">
        <v>0.14199999999999999</v>
      </c>
      <c r="G546" s="3">
        <f t="shared" si="16"/>
        <v>1.2995974698102424E-2</v>
      </c>
    </row>
    <row r="547" spans="1:7">
      <c r="A547" s="1">
        <v>18</v>
      </c>
      <c r="B547" s="1" t="s">
        <v>25</v>
      </c>
      <c r="C547" s="11">
        <v>40</v>
      </c>
      <c r="D547" s="11">
        <v>39.44</v>
      </c>
      <c r="E547" s="2">
        <f t="shared" si="17"/>
        <v>0.56000000000000227</v>
      </c>
      <c r="F547" s="11">
        <v>0.222</v>
      </c>
      <c r="G547" s="3">
        <f t="shared" si="16"/>
        <v>1.9550000000000057E-2</v>
      </c>
    </row>
    <row r="548" spans="1:7">
      <c r="A548" s="1">
        <v>19</v>
      </c>
      <c r="B548" s="1" t="s">
        <v>25</v>
      </c>
      <c r="C548" s="11">
        <v>140</v>
      </c>
      <c r="D548" s="11">
        <v>139.19999999999999</v>
      </c>
      <c r="E548" s="2">
        <f t="shared" si="17"/>
        <v>0.80000000000001137</v>
      </c>
      <c r="F548" s="11">
        <v>0.34699999999999998</v>
      </c>
      <c r="G548" s="3">
        <f t="shared" si="16"/>
        <v>8.1928571428572239E-3</v>
      </c>
    </row>
    <row r="549" spans="1:7">
      <c r="A549" s="1">
        <v>20</v>
      </c>
      <c r="B549" s="1" t="s">
        <v>25</v>
      </c>
      <c r="C549" s="11">
        <v>20</v>
      </c>
      <c r="D549" s="11">
        <v>19.8</v>
      </c>
      <c r="E549" s="2">
        <f t="shared" si="17"/>
        <v>0.19999999999999929</v>
      </c>
      <c r="F549" s="11">
        <v>0.156</v>
      </c>
      <c r="G549" s="3">
        <f t="shared" ref="G549:G612" si="18">(E549+F549)/C549</f>
        <v>1.7799999999999965E-2</v>
      </c>
    </row>
    <row r="550" spans="1:7">
      <c r="A550" s="1">
        <v>21</v>
      </c>
      <c r="B550" s="1" t="s">
        <v>25</v>
      </c>
      <c r="C550" s="11">
        <v>20</v>
      </c>
      <c r="D550" s="11">
        <v>19.89</v>
      </c>
      <c r="E550" s="2">
        <f t="shared" si="17"/>
        <v>0.10999999999999943</v>
      </c>
      <c r="F550" s="11">
        <v>4.2000000000000003E-2</v>
      </c>
      <c r="G550" s="3">
        <f t="shared" si="18"/>
        <v>7.5999999999999722E-3</v>
      </c>
    </row>
    <row r="551" spans="1:7">
      <c r="A551" s="1">
        <v>22</v>
      </c>
      <c r="B551" s="1" t="s">
        <v>25</v>
      </c>
      <c r="C551" s="11">
        <v>120</v>
      </c>
      <c r="D551" s="11">
        <v>118.91</v>
      </c>
      <c r="E551" s="2">
        <f t="shared" si="17"/>
        <v>1.0900000000000034</v>
      </c>
      <c r="F551" s="11">
        <v>0.23599999999999999</v>
      </c>
      <c r="G551" s="3">
        <f t="shared" si="18"/>
        <v>1.1050000000000029E-2</v>
      </c>
    </row>
    <row r="552" spans="1:7">
      <c r="A552" s="1">
        <v>23</v>
      </c>
      <c r="B552" s="1" t="s">
        <v>25</v>
      </c>
      <c r="C552" s="11">
        <v>80</v>
      </c>
      <c r="D552" s="11">
        <v>78.989999999999995</v>
      </c>
      <c r="E552" s="2">
        <f t="shared" si="17"/>
        <v>1.0100000000000051</v>
      </c>
      <c r="F552" s="11">
        <v>0.126</v>
      </c>
      <c r="G552" s="3">
        <f t="shared" si="18"/>
        <v>1.4200000000000063E-2</v>
      </c>
    </row>
    <row r="553" spans="1:7">
      <c r="A553" s="1">
        <v>24</v>
      </c>
      <c r="B553" s="1" t="s">
        <v>25</v>
      </c>
      <c r="C553" s="11">
        <v>0</v>
      </c>
      <c r="D553" s="11">
        <v>0</v>
      </c>
      <c r="E553" s="2">
        <f t="shared" si="17"/>
        <v>0</v>
      </c>
      <c r="F553" s="11">
        <v>0.14799999999999999</v>
      </c>
      <c r="G553" s="3" t="e">
        <f t="shared" si="18"/>
        <v>#DIV/0!</v>
      </c>
    </row>
    <row r="554" spans="1:7">
      <c r="A554" s="1">
        <v>25</v>
      </c>
      <c r="B554" s="1" t="s">
        <v>25</v>
      </c>
      <c r="C554" s="11">
        <v>65.48</v>
      </c>
      <c r="D554" s="11">
        <v>64.62</v>
      </c>
      <c r="E554" s="2">
        <f t="shared" si="17"/>
        <v>0.85999999999999943</v>
      </c>
      <c r="F554" s="11">
        <v>0.23300000000000001</v>
      </c>
      <c r="G554" s="3">
        <f t="shared" si="18"/>
        <v>1.6692119731215632E-2</v>
      </c>
    </row>
    <row r="555" spans="1:7">
      <c r="A555" s="1">
        <v>26</v>
      </c>
      <c r="B555" s="1" t="s">
        <v>25</v>
      </c>
      <c r="C555" s="11">
        <v>80</v>
      </c>
      <c r="D555" s="11">
        <v>79.489999999999995</v>
      </c>
      <c r="E555" s="2">
        <f t="shared" si="17"/>
        <v>0.51000000000000512</v>
      </c>
      <c r="F555" s="11">
        <v>0.251</v>
      </c>
      <c r="G555" s="3">
        <f t="shared" si="18"/>
        <v>9.5125000000000643E-3</v>
      </c>
    </row>
    <row r="556" spans="1:7">
      <c r="A556" s="1">
        <v>27</v>
      </c>
      <c r="B556" s="1" t="s">
        <v>25</v>
      </c>
      <c r="C556" s="11">
        <v>0</v>
      </c>
      <c r="D556" s="11">
        <v>0</v>
      </c>
      <c r="E556" s="2">
        <f t="shared" si="17"/>
        <v>0</v>
      </c>
      <c r="F556" s="11">
        <v>0.214</v>
      </c>
      <c r="G556" s="3" t="e">
        <f t="shared" si="18"/>
        <v>#DIV/0!</v>
      </c>
    </row>
    <row r="557" spans="1:7">
      <c r="A557" s="1">
        <v>28</v>
      </c>
      <c r="B557" s="1" t="s">
        <v>25</v>
      </c>
      <c r="C557" s="11">
        <v>40</v>
      </c>
      <c r="D557" s="11">
        <v>39.729999999999997</v>
      </c>
      <c r="E557" s="2">
        <f t="shared" si="17"/>
        <v>0.27000000000000313</v>
      </c>
      <c r="F557" s="11">
        <v>0.127</v>
      </c>
      <c r="G557" s="3">
        <f t="shared" si="18"/>
        <v>9.9250000000000779E-3</v>
      </c>
    </row>
    <row r="558" spans="1:7">
      <c r="A558" s="1">
        <v>29</v>
      </c>
      <c r="B558" s="1" t="s">
        <v>25</v>
      </c>
      <c r="C558" s="11">
        <v>40</v>
      </c>
      <c r="D558" s="11">
        <v>39.729999999999997</v>
      </c>
      <c r="E558" s="2">
        <f t="shared" si="17"/>
        <v>0.27000000000000313</v>
      </c>
      <c r="F558" s="11">
        <v>0.128</v>
      </c>
      <c r="G558" s="3">
        <f t="shared" si="18"/>
        <v>9.9500000000000786E-3</v>
      </c>
    </row>
    <row r="559" spans="1:7">
      <c r="A559" s="1">
        <v>30</v>
      </c>
      <c r="B559" s="1" t="s">
        <v>25</v>
      </c>
      <c r="C559" s="11">
        <v>40</v>
      </c>
      <c r="D559" s="11">
        <v>39.47</v>
      </c>
      <c r="E559" s="2">
        <f t="shared" si="17"/>
        <v>0.53000000000000114</v>
      </c>
      <c r="F559" s="11">
        <v>0.161</v>
      </c>
      <c r="G559" s="3">
        <f t="shared" si="18"/>
        <v>1.727500000000003E-2</v>
      </c>
    </row>
    <row r="560" spans="1:7">
      <c r="A560" s="1">
        <v>31</v>
      </c>
      <c r="B560" s="1" t="s">
        <v>25</v>
      </c>
      <c r="C560" s="11">
        <v>20</v>
      </c>
      <c r="D560" s="11">
        <v>19.86</v>
      </c>
      <c r="E560" s="2">
        <f t="shared" si="17"/>
        <v>0.14000000000000057</v>
      </c>
      <c r="F560" s="11">
        <v>0.18</v>
      </c>
      <c r="G560" s="3">
        <f t="shared" si="18"/>
        <v>1.6000000000000028E-2</v>
      </c>
    </row>
    <row r="561" spans="1:7">
      <c r="A561" s="1">
        <v>1</v>
      </c>
      <c r="B561" s="1" t="s">
        <v>27</v>
      </c>
      <c r="C561" s="11">
        <v>0</v>
      </c>
      <c r="D561" s="11">
        <v>0</v>
      </c>
      <c r="E561" s="2">
        <f t="shared" si="17"/>
        <v>0</v>
      </c>
      <c r="F561" s="11">
        <v>0.108</v>
      </c>
      <c r="G561" s="3" t="e">
        <f t="shared" si="18"/>
        <v>#DIV/0!</v>
      </c>
    </row>
    <row r="562" spans="1:7">
      <c r="A562" s="1">
        <v>2</v>
      </c>
      <c r="B562" s="1" t="s">
        <v>27</v>
      </c>
      <c r="C562" s="11">
        <v>40</v>
      </c>
      <c r="D562" s="11">
        <v>39.79</v>
      </c>
      <c r="E562" s="2">
        <f t="shared" si="17"/>
        <v>0.21000000000000085</v>
      </c>
      <c r="F562" s="11">
        <v>0.10100000000000001</v>
      </c>
      <c r="G562" s="3">
        <f t="shared" si="18"/>
        <v>7.7750000000000206E-3</v>
      </c>
    </row>
    <row r="563" spans="1:7">
      <c r="A563" s="1">
        <v>3</v>
      </c>
      <c r="B563" s="1" t="s">
        <v>27</v>
      </c>
      <c r="C563" s="11">
        <v>40</v>
      </c>
      <c r="D563" s="11">
        <v>39.590000000000003</v>
      </c>
      <c r="E563" s="2">
        <f t="shared" si="17"/>
        <v>0.40999999999999659</v>
      </c>
      <c r="F563" s="11">
        <v>0.19</v>
      </c>
      <c r="G563" s="3">
        <f t="shared" si="18"/>
        <v>1.4999999999999913E-2</v>
      </c>
    </row>
    <row r="564" spans="1:7">
      <c r="A564" s="1">
        <v>4</v>
      </c>
      <c r="B564" s="1" t="s">
        <v>27</v>
      </c>
      <c r="C564" s="11">
        <v>20</v>
      </c>
      <c r="D564" s="11">
        <v>19.93</v>
      </c>
      <c r="E564" s="2">
        <f t="shared" si="17"/>
        <v>7.0000000000000284E-2</v>
      </c>
      <c r="F564" s="11">
        <v>0.19800000000000001</v>
      </c>
      <c r="G564" s="3">
        <f t="shared" si="18"/>
        <v>1.3400000000000014E-2</v>
      </c>
    </row>
    <row r="565" spans="1:7">
      <c r="A565" s="1">
        <v>5</v>
      </c>
      <c r="B565" s="1" t="s">
        <v>27</v>
      </c>
      <c r="C565" s="11">
        <v>60</v>
      </c>
      <c r="D565" s="11">
        <v>59.55</v>
      </c>
      <c r="E565" s="2">
        <f t="shared" si="17"/>
        <v>0.45000000000000284</v>
      </c>
      <c r="F565" s="11">
        <v>0.223</v>
      </c>
      <c r="G565" s="3">
        <f t="shared" si="18"/>
        <v>1.1216666666666713E-2</v>
      </c>
    </row>
    <row r="566" spans="1:7">
      <c r="A566" s="1">
        <v>6</v>
      </c>
      <c r="B566" s="1" t="s">
        <v>27</v>
      </c>
      <c r="C566" s="11">
        <v>40</v>
      </c>
      <c r="D566" s="11">
        <v>39.44</v>
      </c>
      <c r="E566" s="2">
        <f t="shared" si="17"/>
        <v>0.56000000000000227</v>
      </c>
      <c r="F566" s="11">
        <v>0.21299999999999999</v>
      </c>
      <c r="G566" s="3">
        <f t="shared" si="18"/>
        <v>1.9325000000000057E-2</v>
      </c>
    </row>
    <row r="567" spans="1:7">
      <c r="A567" s="1">
        <v>7</v>
      </c>
      <c r="B567" s="1" t="s">
        <v>27</v>
      </c>
      <c r="C567" s="11">
        <v>20</v>
      </c>
      <c r="D567" s="11">
        <v>19.760000000000002</v>
      </c>
      <c r="E567" s="2">
        <f t="shared" si="17"/>
        <v>0.23999999999999844</v>
      </c>
      <c r="F567" s="11">
        <v>0.17899999999999999</v>
      </c>
      <c r="G567" s="3">
        <f t="shared" si="18"/>
        <v>2.094999999999992E-2</v>
      </c>
    </row>
    <row r="568" spans="1:7">
      <c r="A568" s="1">
        <v>10</v>
      </c>
      <c r="B568" s="1" t="s">
        <v>27</v>
      </c>
      <c r="C568" s="11">
        <v>47.58</v>
      </c>
      <c r="D568" s="11">
        <v>44.85</v>
      </c>
      <c r="E568" s="2">
        <f t="shared" si="17"/>
        <v>2.7299999999999969</v>
      </c>
      <c r="F568" s="11">
        <v>0.245</v>
      </c>
      <c r="G568" s="3">
        <f t="shared" si="18"/>
        <v>6.2526271542664921E-2</v>
      </c>
    </row>
    <row r="569" spans="1:7">
      <c r="A569" s="1">
        <v>8</v>
      </c>
      <c r="B569" s="1" t="s">
        <v>27</v>
      </c>
      <c r="C569" s="11">
        <v>40</v>
      </c>
      <c r="D569" s="11">
        <v>39.96</v>
      </c>
      <c r="E569" s="2">
        <f t="shared" si="17"/>
        <v>3.9999999999999147E-2</v>
      </c>
      <c r="F569" s="11">
        <v>0.18099999999999999</v>
      </c>
      <c r="G569" s="3">
        <f t="shared" si="18"/>
        <v>5.5249999999999787E-3</v>
      </c>
    </row>
    <row r="570" spans="1:7">
      <c r="A570" s="1">
        <v>9</v>
      </c>
      <c r="B570" s="1" t="s">
        <v>27</v>
      </c>
      <c r="C570" s="11">
        <v>0</v>
      </c>
      <c r="D570" s="11">
        <v>0</v>
      </c>
      <c r="E570" s="2">
        <f t="shared" si="17"/>
        <v>0</v>
      </c>
      <c r="F570" s="11">
        <v>0.19700000000000001</v>
      </c>
      <c r="G570" s="3" t="e">
        <f t="shared" si="18"/>
        <v>#DIV/0!</v>
      </c>
    </row>
    <row r="571" spans="1:7">
      <c r="A571" s="1">
        <v>11</v>
      </c>
      <c r="B571" s="1" t="s">
        <v>27</v>
      </c>
      <c r="C571" s="11">
        <v>24.1</v>
      </c>
      <c r="D571" s="11">
        <v>23.88</v>
      </c>
      <c r="E571" s="2">
        <f t="shared" si="17"/>
        <v>0.22000000000000242</v>
      </c>
      <c r="F571" s="11">
        <v>0.27700000000000002</v>
      </c>
      <c r="G571" s="3">
        <f t="shared" si="18"/>
        <v>2.0622406639004248E-2</v>
      </c>
    </row>
    <row r="572" spans="1:7">
      <c r="A572" s="1">
        <v>12</v>
      </c>
      <c r="B572" s="1" t="s">
        <v>27</v>
      </c>
      <c r="C572" s="11">
        <v>23.6</v>
      </c>
      <c r="D572" s="11">
        <v>23.49</v>
      </c>
      <c r="E572" s="2">
        <f t="shared" si="17"/>
        <v>0.11000000000000298</v>
      </c>
      <c r="F572" s="11">
        <v>0.29899999999999999</v>
      </c>
      <c r="G572" s="3">
        <f t="shared" si="18"/>
        <v>1.7330508474576397E-2</v>
      </c>
    </row>
    <row r="573" spans="1:7">
      <c r="A573" s="1">
        <v>13</v>
      </c>
      <c r="B573" s="1" t="s">
        <v>27</v>
      </c>
      <c r="C573" s="11">
        <v>22.7</v>
      </c>
      <c r="D573" s="11">
        <v>22.49</v>
      </c>
      <c r="E573" s="2">
        <f t="shared" si="17"/>
        <v>0.21000000000000085</v>
      </c>
      <c r="F573" s="11">
        <v>0.221</v>
      </c>
      <c r="G573" s="3">
        <f t="shared" si="18"/>
        <v>1.8986784140969201E-2</v>
      </c>
    </row>
    <row r="574" spans="1:7">
      <c r="A574" s="1">
        <v>14</v>
      </c>
      <c r="B574" s="1" t="s">
        <v>27</v>
      </c>
      <c r="C574" s="11">
        <v>27.58</v>
      </c>
      <c r="D574" s="11">
        <v>27.46</v>
      </c>
      <c r="E574" s="2">
        <f t="shared" si="17"/>
        <v>0.11999999999999744</v>
      </c>
      <c r="F574" s="11">
        <v>0.245</v>
      </c>
      <c r="G574" s="3">
        <f t="shared" si="18"/>
        <v>1.3234227701232686E-2</v>
      </c>
    </row>
    <row r="575" spans="1:7">
      <c r="A575" s="1">
        <v>15</v>
      </c>
      <c r="B575" s="1" t="s">
        <v>27</v>
      </c>
      <c r="C575" s="11">
        <v>50.53</v>
      </c>
      <c r="D575" s="11">
        <v>50.16</v>
      </c>
      <c r="E575" s="2">
        <f t="shared" si="17"/>
        <v>0.37000000000000455</v>
      </c>
      <c r="F575" s="11">
        <v>0.28699999999999998</v>
      </c>
      <c r="G575" s="3">
        <f t="shared" si="18"/>
        <v>1.3002176924599335E-2</v>
      </c>
    </row>
    <row r="576" spans="1:7">
      <c r="A576" s="1">
        <v>16</v>
      </c>
      <c r="B576" s="1" t="s">
        <v>27</v>
      </c>
      <c r="C576" s="11">
        <v>0</v>
      </c>
      <c r="D576" s="11">
        <v>0</v>
      </c>
      <c r="E576" s="2">
        <f t="shared" si="17"/>
        <v>0</v>
      </c>
      <c r="F576" s="11">
        <v>0.27900000000000003</v>
      </c>
      <c r="G576" s="3" t="e">
        <f t="shared" si="18"/>
        <v>#DIV/0!</v>
      </c>
    </row>
    <row r="577" spans="1:7">
      <c r="A577" s="1">
        <v>17</v>
      </c>
      <c r="B577" s="1" t="s">
        <v>27</v>
      </c>
      <c r="C577" s="11">
        <v>20</v>
      </c>
      <c r="D577" s="11">
        <v>19.170000000000002</v>
      </c>
      <c r="E577" s="2">
        <f t="shared" si="17"/>
        <v>0.82999999999999829</v>
      </c>
      <c r="F577" s="11">
        <v>0.25900000000000001</v>
      </c>
      <c r="G577" s="3">
        <f t="shared" si="18"/>
        <v>5.4449999999999908E-2</v>
      </c>
    </row>
    <row r="578" spans="1:7">
      <c r="A578" s="1">
        <v>18</v>
      </c>
      <c r="B578" s="1" t="s">
        <v>27</v>
      </c>
      <c r="C578" s="11">
        <v>46.97</v>
      </c>
      <c r="D578" s="11">
        <v>46.54</v>
      </c>
      <c r="E578" s="2">
        <f t="shared" si="17"/>
        <v>0.42999999999999972</v>
      </c>
      <c r="F578" s="11">
        <v>0.27800000000000002</v>
      </c>
      <c r="G578" s="3">
        <f t="shared" si="18"/>
        <v>1.5073451139024904E-2</v>
      </c>
    </row>
    <row r="579" spans="1:7">
      <c r="A579" s="1">
        <v>19</v>
      </c>
      <c r="B579" s="1" t="s">
        <v>27</v>
      </c>
      <c r="C579" s="11">
        <v>20</v>
      </c>
      <c r="D579" s="11">
        <v>19.97</v>
      </c>
      <c r="E579" s="2">
        <f t="shared" si="17"/>
        <v>3.0000000000001137E-2</v>
      </c>
      <c r="F579" s="11">
        <v>0.34399999999999997</v>
      </c>
      <c r="G579" s="3">
        <f t="shared" si="18"/>
        <v>1.8700000000000057E-2</v>
      </c>
    </row>
    <row r="580" spans="1:7">
      <c r="A580" s="1">
        <v>20</v>
      </c>
      <c r="B580" s="1" t="s">
        <v>27</v>
      </c>
      <c r="C580" s="11">
        <v>0</v>
      </c>
      <c r="D580" s="11">
        <v>0</v>
      </c>
      <c r="E580" s="2">
        <f t="shared" ref="E580:E643" si="19">C580-D580</f>
        <v>0</v>
      </c>
      <c r="F580" s="11">
        <v>0.20100000000000001</v>
      </c>
      <c r="G580" s="3" t="e">
        <f t="shared" si="18"/>
        <v>#DIV/0!</v>
      </c>
    </row>
    <row r="581" spans="1:7">
      <c r="A581" s="1">
        <v>21</v>
      </c>
      <c r="B581" s="1" t="s">
        <v>27</v>
      </c>
      <c r="C581" s="11">
        <v>47.07</v>
      </c>
      <c r="D581" s="11">
        <v>46.83</v>
      </c>
      <c r="E581" s="2">
        <f t="shared" si="19"/>
        <v>0.24000000000000199</v>
      </c>
      <c r="F581" s="11">
        <v>0.30099999999999999</v>
      </c>
      <c r="G581" s="3">
        <f t="shared" si="18"/>
        <v>1.1493520288931419E-2</v>
      </c>
    </row>
    <row r="582" spans="1:7">
      <c r="A582" s="1">
        <v>22</v>
      </c>
      <c r="B582" s="1" t="s">
        <v>27</v>
      </c>
      <c r="C582" s="11">
        <v>20</v>
      </c>
      <c r="D582" s="11">
        <v>19.93</v>
      </c>
      <c r="E582" s="2">
        <f t="shared" si="19"/>
        <v>7.0000000000000284E-2</v>
      </c>
      <c r="F582" s="11">
        <v>0.251</v>
      </c>
      <c r="G582" s="3">
        <f t="shared" si="18"/>
        <v>1.6050000000000016E-2</v>
      </c>
    </row>
    <row r="583" spans="1:7">
      <c r="A583" s="1">
        <v>23</v>
      </c>
      <c r="B583" s="1" t="s">
        <v>27</v>
      </c>
      <c r="C583" s="11">
        <v>0</v>
      </c>
      <c r="D583" s="11">
        <v>0</v>
      </c>
      <c r="E583" s="2">
        <f t="shared" si="19"/>
        <v>0</v>
      </c>
      <c r="F583" s="11">
        <v>0.222</v>
      </c>
      <c r="G583" s="3" t="e">
        <f t="shared" si="18"/>
        <v>#DIV/0!</v>
      </c>
    </row>
    <row r="584" spans="1:7">
      <c r="A584" s="1">
        <v>24</v>
      </c>
      <c r="B584" s="1" t="s">
        <v>27</v>
      </c>
      <c r="C584" s="11">
        <v>0</v>
      </c>
      <c r="D584" s="11">
        <v>0</v>
      </c>
      <c r="E584" s="2">
        <f t="shared" si="19"/>
        <v>0</v>
      </c>
      <c r="F584" s="11">
        <v>0.34399999999999997</v>
      </c>
      <c r="G584" s="3" t="e">
        <f t="shared" si="18"/>
        <v>#DIV/0!</v>
      </c>
    </row>
    <row r="585" spans="1:7">
      <c r="A585" s="1">
        <v>25</v>
      </c>
      <c r="B585" s="1" t="s">
        <v>27</v>
      </c>
      <c r="C585" s="11">
        <v>46</v>
      </c>
      <c r="D585" s="11">
        <v>45.75</v>
      </c>
      <c r="E585" s="2">
        <f t="shared" si="19"/>
        <v>0.25</v>
      </c>
      <c r="F585" s="11">
        <v>0.311</v>
      </c>
      <c r="G585" s="3">
        <f t="shared" si="18"/>
        <v>1.2195652173913041E-2</v>
      </c>
    </row>
    <row r="586" spans="1:7">
      <c r="A586" s="1">
        <v>26</v>
      </c>
      <c r="B586" s="1" t="s">
        <v>27</v>
      </c>
      <c r="C586" s="11">
        <v>20</v>
      </c>
      <c r="D586" s="11">
        <v>19.95</v>
      </c>
      <c r="E586" s="2">
        <f t="shared" si="19"/>
        <v>5.0000000000000711E-2</v>
      </c>
      <c r="F586" s="11">
        <v>0.35699999999999998</v>
      </c>
      <c r="G586" s="3">
        <f t="shared" si="18"/>
        <v>2.0350000000000035E-2</v>
      </c>
    </row>
    <row r="587" spans="1:7">
      <c r="A587" s="1">
        <v>27</v>
      </c>
      <c r="B587" s="1" t="s">
        <v>27</v>
      </c>
      <c r="C587" s="11">
        <v>0</v>
      </c>
      <c r="D587" s="11">
        <v>0</v>
      </c>
      <c r="E587" s="2">
        <f t="shared" si="19"/>
        <v>0</v>
      </c>
      <c r="F587" s="11">
        <v>0.28699999999999998</v>
      </c>
      <c r="G587" s="3" t="e">
        <f t="shared" si="18"/>
        <v>#DIV/0!</v>
      </c>
    </row>
    <row r="588" spans="1:7">
      <c r="A588" s="1">
        <v>28</v>
      </c>
      <c r="B588" s="1" t="s">
        <v>27</v>
      </c>
      <c r="C588" s="11">
        <v>20</v>
      </c>
      <c r="D588" s="11">
        <v>19.97</v>
      </c>
      <c r="E588" s="2">
        <f t="shared" si="19"/>
        <v>3.0000000000001137E-2</v>
      </c>
      <c r="F588" s="11">
        <v>0.28799999999999998</v>
      </c>
      <c r="G588" s="3">
        <f t="shared" si="18"/>
        <v>1.5900000000000056E-2</v>
      </c>
    </row>
    <row r="589" spans="1:7">
      <c r="A589" s="1">
        <v>29</v>
      </c>
      <c r="B589" s="1" t="s">
        <v>27</v>
      </c>
      <c r="C589" s="11">
        <v>40</v>
      </c>
      <c r="D589" s="11">
        <v>39.869999999999997</v>
      </c>
      <c r="E589" s="2">
        <f t="shared" si="19"/>
        <v>0.13000000000000256</v>
      </c>
      <c r="F589" s="11">
        <v>0.20200000000000001</v>
      </c>
      <c r="G589" s="3">
        <f t="shared" si="18"/>
        <v>8.3000000000000643E-3</v>
      </c>
    </row>
    <row r="590" spans="1:7">
      <c r="A590" s="1">
        <v>30</v>
      </c>
      <c r="B590" s="1" t="s">
        <v>27</v>
      </c>
      <c r="C590" s="11">
        <v>40</v>
      </c>
      <c r="D590" s="11">
        <v>39.67</v>
      </c>
      <c r="E590" s="2">
        <f t="shared" si="19"/>
        <v>0.32999999999999829</v>
      </c>
      <c r="F590" s="11">
        <v>0.58699999999999997</v>
      </c>
      <c r="G590" s="3">
        <f t="shared" si="18"/>
        <v>2.2924999999999956E-2</v>
      </c>
    </row>
    <row r="591" spans="1:7">
      <c r="A591" s="1">
        <v>31</v>
      </c>
      <c r="B591" s="1" t="s">
        <v>27</v>
      </c>
      <c r="C591" s="11">
        <v>40</v>
      </c>
      <c r="D591" s="11">
        <v>39.82</v>
      </c>
      <c r="E591" s="2">
        <f t="shared" si="19"/>
        <v>0.17999999999999972</v>
      </c>
      <c r="F591" s="11">
        <v>0.378</v>
      </c>
      <c r="G591" s="3">
        <f t="shared" si="18"/>
        <v>1.3949999999999994E-2</v>
      </c>
    </row>
    <row r="592" spans="1:7">
      <c r="A592" s="1">
        <v>1</v>
      </c>
      <c r="B592" s="1" t="s">
        <v>26</v>
      </c>
      <c r="C592" s="11">
        <v>80</v>
      </c>
      <c r="D592" s="11">
        <v>79.460000000000008</v>
      </c>
      <c r="E592" s="2">
        <f t="shared" si="19"/>
        <v>0.53999999999999204</v>
      </c>
      <c r="F592" s="11">
        <v>0.29000000000000625</v>
      </c>
      <c r="G592" s="3">
        <f t="shared" si="18"/>
        <v>1.0374999999999978E-2</v>
      </c>
    </row>
    <row r="593" spans="1:7">
      <c r="A593" s="1">
        <v>2</v>
      </c>
      <c r="B593" s="1" t="s">
        <v>26</v>
      </c>
      <c r="C593" s="11">
        <v>140</v>
      </c>
      <c r="D593" s="11">
        <v>139.04</v>
      </c>
      <c r="E593" s="2">
        <f t="shared" si="19"/>
        <v>0.96000000000000796</v>
      </c>
      <c r="F593" s="11">
        <v>0.99399999999999999</v>
      </c>
      <c r="G593" s="3">
        <f t="shared" si="18"/>
        <v>1.3957142857142914E-2</v>
      </c>
    </row>
    <row r="594" spans="1:7">
      <c r="A594" s="1">
        <v>3</v>
      </c>
      <c r="B594" s="1" t="s">
        <v>26</v>
      </c>
      <c r="C594" s="11">
        <v>185</v>
      </c>
      <c r="D594" s="11">
        <v>183.45</v>
      </c>
      <c r="E594" s="2">
        <f t="shared" si="19"/>
        <v>1.5500000000000114</v>
      </c>
      <c r="F594" s="11">
        <v>2.16</v>
      </c>
      <c r="G594" s="3">
        <f t="shared" si="18"/>
        <v>2.0054054054054117E-2</v>
      </c>
    </row>
    <row r="595" spans="1:7">
      <c r="A595" s="1">
        <v>4</v>
      </c>
      <c r="B595" s="1" t="s">
        <v>26</v>
      </c>
      <c r="C595" s="11">
        <v>80</v>
      </c>
      <c r="D595" s="11">
        <v>79.41</v>
      </c>
      <c r="E595" s="2">
        <f t="shared" si="19"/>
        <v>0.59000000000000341</v>
      </c>
      <c r="F595" s="11">
        <v>0.92</v>
      </c>
      <c r="G595" s="3">
        <f t="shared" si="18"/>
        <v>1.8875000000000041E-2</v>
      </c>
    </row>
    <row r="596" spans="1:7">
      <c r="A596" s="1">
        <v>5</v>
      </c>
      <c r="B596" s="1" t="s">
        <v>26</v>
      </c>
      <c r="C596" s="11">
        <v>60</v>
      </c>
      <c r="D596" s="11">
        <v>59.4</v>
      </c>
      <c r="E596" s="2">
        <f t="shared" si="19"/>
        <v>0.60000000000000142</v>
      </c>
      <c r="F596" s="11">
        <v>0.50600000000000001</v>
      </c>
      <c r="G596" s="3">
        <f t="shared" si="18"/>
        <v>1.8433333333333357E-2</v>
      </c>
    </row>
    <row r="597" spans="1:7">
      <c r="A597" s="1">
        <v>6</v>
      </c>
      <c r="B597" s="1" t="s">
        <v>26</v>
      </c>
      <c r="C597" s="11">
        <v>20</v>
      </c>
      <c r="D597" s="11">
        <v>19.850000000000001</v>
      </c>
      <c r="E597" s="2">
        <f t="shared" si="19"/>
        <v>0.14999999999999858</v>
      </c>
      <c r="F597" s="11">
        <v>0.92600000000000005</v>
      </c>
      <c r="G597" s="3">
        <f t="shared" si="18"/>
        <v>5.3799999999999938E-2</v>
      </c>
    </row>
    <row r="598" spans="1:7">
      <c r="A598" s="1">
        <v>7</v>
      </c>
      <c r="B598" s="1" t="s">
        <v>26</v>
      </c>
      <c r="C598" s="11">
        <v>40</v>
      </c>
      <c r="D598" s="11">
        <v>39.64</v>
      </c>
      <c r="E598" s="2">
        <f t="shared" si="19"/>
        <v>0.35999999999999943</v>
      </c>
      <c r="F598" s="11">
        <v>0.505</v>
      </c>
      <c r="G598" s="3">
        <f t="shared" si="18"/>
        <v>2.1624999999999985E-2</v>
      </c>
    </row>
    <row r="599" spans="1:7">
      <c r="A599" s="1">
        <v>10</v>
      </c>
      <c r="B599" s="1" t="s">
        <v>26</v>
      </c>
      <c r="C599" s="11">
        <v>40</v>
      </c>
      <c r="D599" s="11">
        <v>39.71</v>
      </c>
      <c r="E599" s="2">
        <f t="shared" si="19"/>
        <v>0.28999999999999915</v>
      </c>
      <c r="F599" s="11">
        <v>0.83099999999999996</v>
      </c>
      <c r="G599" s="3">
        <f t="shared" si="18"/>
        <v>2.8024999999999977E-2</v>
      </c>
    </row>
    <row r="600" spans="1:7">
      <c r="A600" s="1">
        <v>8</v>
      </c>
      <c r="B600" s="1" t="s">
        <v>26</v>
      </c>
      <c r="C600" s="11">
        <v>0</v>
      </c>
      <c r="D600" s="11">
        <v>0</v>
      </c>
      <c r="E600" s="2">
        <f t="shared" si="19"/>
        <v>0</v>
      </c>
      <c r="F600" s="11">
        <v>0.41399999999999998</v>
      </c>
      <c r="G600" s="3" t="e">
        <f t="shared" si="18"/>
        <v>#DIV/0!</v>
      </c>
    </row>
    <row r="601" spans="1:7">
      <c r="A601" s="1">
        <v>9</v>
      </c>
      <c r="B601" s="1" t="s">
        <v>26</v>
      </c>
      <c r="C601" s="11">
        <v>140</v>
      </c>
      <c r="D601" s="11">
        <v>139.16999999999999</v>
      </c>
      <c r="E601" s="2">
        <f t="shared" si="19"/>
        <v>0.83000000000001251</v>
      </c>
      <c r="F601" s="11">
        <v>0.78900000000000003</v>
      </c>
      <c r="G601" s="3">
        <f t="shared" si="18"/>
        <v>1.1564285714285805E-2</v>
      </c>
    </row>
    <row r="602" spans="1:7">
      <c r="A602" s="1">
        <v>11</v>
      </c>
      <c r="B602" s="1" t="s">
        <v>26</v>
      </c>
      <c r="C602" s="11">
        <v>38.700000000000003</v>
      </c>
      <c r="D602" s="11">
        <v>38.36</v>
      </c>
      <c r="E602" s="2">
        <f t="shared" si="19"/>
        <v>0.34000000000000341</v>
      </c>
      <c r="F602" s="11">
        <v>0.437</v>
      </c>
      <c r="G602" s="3">
        <f t="shared" si="18"/>
        <v>2.007751937984505E-2</v>
      </c>
    </row>
    <row r="603" spans="1:7">
      <c r="A603" s="1">
        <v>12</v>
      </c>
      <c r="B603" s="1" t="s">
        <v>26</v>
      </c>
      <c r="C603" s="11">
        <v>12.47</v>
      </c>
      <c r="D603" s="11">
        <v>12.36</v>
      </c>
      <c r="E603" s="2">
        <f t="shared" si="19"/>
        <v>0.11000000000000121</v>
      </c>
      <c r="F603" s="11">
        <v>0.13</v>
      </c>
      <c r="G603" s="3">
        <f t="shared" si="18"/>
        <v>1.9246190858059439E-2</v>
      </c>
    </row>
    <row r="604" spans="1:7">
      <c r="A604" s="1">
        <v>13</v>
      </c>
      <c r="B604" s="1" t="s">
        <v>26</v>
      </c>
      <c r="C604" s="11">
        <v>46.02</v>
      </c>
      <c r="D604" s="11">
        <v>45.65</v>
      </c>
      <c r="E604" s="2">
        <f t="shared" si="19"/>
        <v>0.37000000000000455</v>
      </c>
      <c r="F604" s="11">
        <v>0.42899999999999999</v>
      </c>
      <c r="G604" s="3">
        <f t="shared" si="18"/>
        <v>1.7362016514558987E-2</v>
      </c>
    </row>
    <row r="605" spans="1:7">
      <c r="A605" s="1">
        <v>14</v>
      </c>
      <c r="B605" s="1" t="s">
        <v>26</v>
      </c>
      <c r="C605" s="11">
        <v>46.91</v>
      </c>
      <c r="D605" s="11">
        <v>46.62</v>
      </c>
      <c r="E605" s="2">
        <f t="shared" si="19"/>
        <v>0.28999999999999915</v>
      </c>
      <c r="F605" s="11">
        <v>0.20799999999999999</v>
      </c>
      <c r="G605" s="3">
        <f t="shared" si="18"/>
        <v>1.0616073331912154E-2</v>
      </c>
    </row>
    <row r="606" spans="1:7">
      <c r="A606" s="1">
        <v>15</v>
      </c>
      <c r="B606" s="1" t="s">
        <v>26</v>
      </c>
      <c r="C606" s="11">
        <v>0</v>
      </c>
      <c r="D606" s="11">
        <v>0</v>
      </c>
      <c r="E606" s="2">
        <f t="shared" si="19"/>
        <v>0</v>
      </c>
      <c r="F606" s="11">
        <v>0.19500000000000001</v>
      </c>
      <c r="G606" s="3" t="e">
        <f t="shared" si="18"/>
        <v>#DIV/0!</v>
      </c>
    </row>
    <row r="607" spans="1:7">
      <c r="A607" s="1">
        <v>16</v>
      </c>
      <c r="B607" s="1" t="s">
        <v>26</v>
      </c>
      <c r="C607" s="11">
        <v>9.82</v>
      </c>
      <c r="D607" s="11">
        <v>9.7200000000000006</v>
      </c>
      <c r="E607" s="2">
        <f t="shared" si="19"/>
        <v>9.9999999999999645E-2</v>
      </c>
      <c r="F607" s="11">
        <v>5.7000000000000002E-2</v>
      </c>
      <c r="G607" s="3">
        <f t="shared" si="18"/>
        <v>1.598778004073316E-2</v>
      </c>
    </row>
    <row r="608" spans="1:7">
      <c r="A608" s="1">
        <v>17</v>
      </c>
      <c r="B608" s="1" t="s">
        <v>26</v>
      </c>
      <c r="C608" s="11">
        <v>41.81</v>
      </c>
      <c r="D608" s="11">
        <v>41.6</v>
      </c>
      <c r="E608" s="2">
        <f t="shared" si="19"/>
        <v>0.21000000000000085</v>
      </c>
      <c r="F608" s="11">
        <v>0.13900000000000001</v>
      </c>
      <c r="G608" s="3">
        <f t="shared" si="18"/>
        <v>8.3472853384358014E-3</v>
      </c>
    </row>
    <row r="609" spans="1:7">
      <c r="A609" s="1">
        <v>18</v>
      </c>
      <c r="B609" s="1" t="s">
        <v>26</v>
      </c>
      <c r="C609" s="11">
        <v>62.56</v>
      </c>
      <c r="D609" s="11">
        <v>62.07</v>
      </c>
      <c r="E609" s="2">
        <f t="shared" si="19"/>
        <v>0.49000000000000199</v>
      </c>
      <c r="F609" s="11">
        <v>0.188</v>
      </c>
      <c r="G609" s="3">
        <f t="shared" si="18"/>
        <v>1.0837595907928418E-2</v>
      </c>
    </row>
    <row r="610" spans="1:7">
      <c r="A610" s="1">
        <v>19</v>
      </c>
      <c r="B610" s="1" t="s">
        <v>26</v>
      </c>
      <c r="C610" s="11">
        <v>40</v>
      </c>
      <c r="D610" s="11">
        <v>39.76</v>
      </c>
      <c r="E610" s="2">
        <f t="shared" si="19"/>
        <v>0.24000000000000199</v>
      </c>
      <c r="F610" s="11">
        <v>0.54100000000000004</v>
      </c>
      <c r="G610" s="3">
        <f t="shared" si="18"/>
        <v>1.9525000000000049E-2</v>
      </c>
    </row>
    <row r="611" spans="1:7">
      <c r="A611" s="1">
        <v>20</v>
      </c>
      <c r="B611" s="1" t="s">
        <v>26</v>
      </c>
      <c r="C611" s="11">
        <v>0</v>
      </c>
      <c r="D611" s="11">
        <v>0</v>
      </c>
      <c r="E611" s="2">
        <f t="shared" si="19"/>
        <v>0</v>
      </c>
      <c r="F611" s="11">
        <v>0.112</v>
      </c>
      <c r="G611" s="3" t="e">
        <f t="shared" si="18"/>
        <v>#DIV/0!</v>
      </c>
    </row>
    <row r="612" spans="1:7">
      <c r="A612" s="1">
        <v>21</v>
      </c>
      <c r="B612" s="1" t="s">
        <v>26</v>
      </c>
      <c r="C612" s="11">
        <v>60</v>
      </c>
      <c r="D612" s="11">
        <v>59.45</v>
      </c>
      <c r="E612" s="2">
        <f t="shared" si="19"/>
        <v>0.54999999999999716</v>
      </c>
      <c r="F612" s="11">
        <v>0.153</v>
      </c>
      <c r="G612" s="3">
        <f t="shared" si="18"/>
        <v>1.171666666666662E-2</v>
      </c>
    </row>
    <row r="613" spans="1:7">
      <c r="A613" s="1">
        <v>22</v>
      </c>
      <c r="B613" s="1" t="s">
        <v>26</v>
      </c>
      <c r="C613" s="11">
        <v>33.979999999999997</v>
      </c>
      <c r="D613" s="11">
        <v>33.68</v>
      </c>
      <c r="E613" s="2">
        <f t="shared" si="19"/>
        <v>0.29999999999999716</v>
      </c>
      <c r="F613" s="11">
        <v>0.18</v>
      </c>
      <c r="G613" s="3">
        <f t="shared" ref="G613:G676" si="20">(E613+F613)/C613</f>
        <v>1.4125956444967546E-2</v>
      </c>
    </row>
    <row r="614" spans="1:7">
      <c r="A614" s="1">
        <v>23</v>
      </c>
      <c r="B614" s="1" t="s">
        <v>26</v>
      </c>
      <c r="C614" s="11">
        <v>20</v>
      </c>
      <c r="D614" s="11">
        <v>19.88</v>
      </c>
      <c r="E614" s="2">
        <f t="shared" si="19"/>
        <v>0.12000000000000099</v>
      </c>
      <c r="F614" s="11">
        <v>0.22500000000000001</v>
      </c>
      <c r="G614" s="3">
        <f t="shared" si="20"/>
        <v>1.725000000000005E-2</v>
      </c>
    </row>
    <row r="615" spans="1:7">
      <c r="A615" s="1">
        <v>24</v>
      </c>
      <c r="B615" s="1" t="s">
        <v>26</v>
      </c>
      <c r="C615" s="11">
        <v>100.91</v>
      </c>
      <c r="D615" s="11">
        <v>100.24</v>
      </c>
      <c r="E615" s="2">
        <f t="shared" si="19"/>
        <v>0.67000000000000171</v>
      </c>
      <c r="F615" s="11">
        <v>0.23799999999999999</v>
      </c>
      <c r="G615" s="3">
        <f t="shared" si="20"/>
        <v>8.9981171340798895E-3</v>
      </c>
    </row>
    <row r="616" spans="1:7">
      <c r="A616" s="1">
        <v>25</v>
      </c>
      <c r="B616" s="1" t="s">
        <v>26</v>
      </c>
      <c r="C616" s="11">
        <v>62.28</v>
      </c>
      <c r="D616" s="11">
        <v>61.91</v>
      </c>
      <c r="E616" s="2">
        <f t="shared" si="19"/>
        <v>0.37000000000000455</v>
      </c>
      <c r="F616" s="11">
        <v>0.498</v>
      </c>
      <c r="G616" s="3">
        <f t="shared" si="20"/>
        <v>1.3937058445729039E-2</v>
      </c>
    </row>
    <row r="617" spans="1:7">
      <c r="A617" s="1">
        <v>26</v>
      </c>
      <c r="B617" s="1" t="s">
        <v>26</v>
      </c>
      <c r="C617" s="11">
        <v>34.85</v>
      </c>
      <c r="D617" s="11">
        <v>34.6</v>
      </c>
      <c r="E617" s="2">
        <f t="shared" si="19"/>
        <v>0.25</v>
      </c>
      <c r="F617" s="11">
        <v>0.32400000000000001</v>
      </c>
      <c r="G617" s="3">
        <f t="shared" si="20"/>
        <v>1.6470588235294119E-2</v>
      </c>
    </row>
    <row r="618" spans="1:7">
      <c r="A618" s="1">
        <v>27</v>
      </c>
      <c r="B618" s="1" t="s">
        <v>26</v>
      </c>
      <c r="C618" s="11">
        <v>22.6</v>
      </c>
      <c r="D618" s="11">
        <v>22.47</v>
      </c>
      <c r="E618" s="2">
        <f t="shared" si="19"/>
        <v>0.13000000000000256</v>
      </c>
      <c r="F618" s="11">
        <v>0.28999999999999998</v>
      </c>
      <c r="G618" s="3">
        <f t="shared" si="20"/>
        <v>1.8584070796460288E-2</v>
      </c>
    </row>
    <row r="619" spans="1:7" ht="14.4" customHeight="1">
      <c r="A619" s="1">
        <v>28</v>
      </c>
      <c r="B619" s="1" t="s">
        <v>26</v>
      </c>
      <c r="C619" s="11">
        <v>60</v>
      </c>
      <c r="D619" s="11">
        <v>59.77</v>
      </c>
      <c r="E619" s="2">
        <f t="shared" si="19"/>
        <v>0.22999999999999687</v>
      </c>
      <c r="F619" s="11">
        <v>0.161</v>
      </c>
      <c r="G619" s="3">
        <f t="shared" si="20"/>
        <v>6.5166666666666151E-3</v>
      </c>
    </row>
    <row r="620" spans="1:7">
      <c r="A620" s="1">
        <v>29</v>
      </c>
      <c r="B620" s="1" t="s">
        <v>26</v>
      </c>
      <c r="C620" s="11">
        <v>40</v>
      </c>
      <c r="D620" s="11">
        <v>39.729999999999997</v>
      </c>
      <c r="E620" s="2">
        <f t="shared" si="19"/>
        <v>0.27000000000000313</v>
      </c>
      <c r="F620" s="11">
        <v>0.13800000000000001</v>
      </c>
      <c r="G620" s="3">
        <f t="shared" si="20"/>
        <v>1.0200000000000079E-2</v>
      </c>
    </row>
    <row r="621" spans="1:7">
      <c r="A621" s="1">
        <v>30</v>
      </c>
      <c r="B621" s="1" t="s">
        <v>26</v>
      </c>
      <c r="C621" s="11">
        <v>43</v>
      </c>
      <c r="D621" s="11">
        <v>42.62</v>
      </c>
      <c r="E621" s="2">
        <f t="shared" si="19"/>
        <v>0.38000000000000256</v>
      </c>
      <c r="F621" s="11">
        <v>9.1999999999999998E-2</v>
      </c>
      <c r="G621" s="3">
        <f t="shared" si="20"/>
        <v>1.0976744186046571E-2</v>
      </c>
    </row>
    <row r="622" spans="1:7">
      <c r="A622" s="1">
        <v>31</v>
      </c>
      <c r="B622" s="1" t="s">
        <v>26</v>
      </c>
      <c r="C622" s="11">
        <v>41.24</v>
      </c>
      <c r="D622" s="11">
        <v>40.909999999999997</v>
      </c>
      <c r="E622" s="2">
        <f t="shared" si="19"/>
        <v>0.3300000000000054</v>
      </c>
      <c r="F622" s="11">
        <v>0.38600000000000001</v>
      </c>
      <c r="G622" s="3">
        <f t="shared" si="20"/>
        <v>1.7361784675072874E-2</v>
      </c>
    </row>
    <row r="623" spans="1:7">
      <c r="A623" s="1">
        <v>1</v>
      </c>
      <c r="B623" s="1" t="s">
        <v>28</v>
      </c>
      <c r="C623" s="11">
        <v>0</v>
      </c>
      <c r="D623" s="11">
        <v>0</v>
      </c>
      <c r="E623" s="2">
        <f t="shared" si="19"/>
        <v>0</v>
      </c>
      <c r="F623" s="11">
        <v>0.219</v>
      </c>
      <c r="G623" s="3" t="e">
        <f t="shared" si="20"/>
        <v>#DIV/0!</v>
      </c>
    </row>
    <row r="624" spans="1:7">
      <c r="A624" s="1">
        <v>2</v>
      </c>
      <c r="B624" s="1" t="s">
        <v>28</v>
      </c>
      <c r="C624" s="11">
        <v>22</v>
      </c>
      <c r="D624" s="11">
        <v>21.67</v>
      </c>
      <c r="E624" s="2">
        <f t="shared" si="19"/>
        <v>0.32999999999999829</v>
      </c>
      <c r="F624" s="11">
        <v>0.224</v>
      </c>
      <c r="G624" s="3">
        <f t="shared" si="20"/>
        <v>2.5181818181818104E-2</v>
      </c>
    </row>
    <row r="625" spans="1:7">
      <c r="A625" s="1">
        <v>3</v>
      </c>
      <c r="B625" s="1" t="s">
        <v>28</v>
      </c>
      <c r="C625" s="11">
        <v>30</v>
      </c>
      <c r="D625" s="11">
        <v>29.64</v>
      </c>
      <c r="E625" s="2">
        <f t="shared" si="19"/>
        <v>0.35999999999999943</v>
      </c>
      <c r="F625" s="11">
        <v>0.22900000000000001</v>
      </c>
      <c r="G625" s="3">
        <f t="shared" si="20"/>
        <v>1.9633333333333315E-2</v>
      </c>
    </row>
    <row r="626" spans="1:7">
      <c r="A626" s="1">
        <v>4</v>
      </c>
      <c r="B626" s="1" t="s">
        <v>28</v>
      </c>
      <c r="C626" s="11">
        <v>33</v>
      </c>
      <c r="D626" s="11">
        <v>32.47</v>
      </c>
      <c r="E626" s="2">
        <f t="shared" si="19"/>
        <v>0.53000000000000114</v>
      </c>
      <c r="F626" s="11">
        <v>0.23899999999999999</v>
      </c>
      <c r="G626" s="3">
        <f t="shared" si="20"/>
        <v>2.3303030303030336E-2</v>
      </c>
    </row>
    <row r="627" spans="1:7">
      <c r="A627" s="1">
        <v>5</v>
      </c>
      <c r="B627" s="1" t="s">
        <v>28</v>
      </c>
      <c r="C627" s="11">
        <v>25</v>
      </c>
      <c r="D627" s="11">
        <v>24.67</v>
      </c>
      <c r="E627" s="2">
        <f t="shared" si="19"/>
        <v>0.32999999999999829</v>
      </c>
      <c r="F627" s="11">
        <v>0.21800000000000352</v>
      </c>
      <c r="G627" s="3">
        <f t="shared" si="20"/>
        <v>2.1920000000000071E-2</v>
      </c>
    </row>
    <row r="628" spans="1:7">
      <c r="A628" s="1">
        <v>6</v>
      </c>
      <c r="B628" s="1" t="s">
        <v>28</v>
      </c>
      <c r="C628" s="11">
        <v>25</v>
      </c>
      <c r="D628" s="11">
        <v>24.82</v>
      </c>
      <c r="E628" s="2">
        <f t="shared" si="19"/>
        <v>0.17999999999999972</v>
      </c>
      <c r="F628" s="11">
        <v>0.27500000000000002</v>
      </c>
      <c r="G628" s="3">
        <f t="shared" si="20"/>
        <v>1.819999999999999E-2</v>
      </c>
    </row>
    <row r="629" spans="1:7">
      <c r="A629" s="1">
        <v>7</v>
      </c>
      <c r="B629" s="1" t="s">
        <v>28</v>
      </c>
      <c r="C629" s="11">
        <v>25</v>
      </c>
      <c r="D629" s="11">
        <v>24.79</v>
      </c>
      <c r="E629" s="2">
        <f t="shared" si="19"/>
        <v>0.21000000000000085</v>
      </c>
      <c r="F629" s="11">
        <v>0.245</v>
      </c>
      <c r="G629" s="3">
        <f t="shared" si="20"/>
        <v>1.8200000000000036E-2</v>
      </c>
    </row>
    <row r="630" spans="1:7">
      <c r="A630" s="1">
        <v>10</v>
      </c>
      <c r="B630" s="1" t="s">
        <v>28</v>
      </c>
      <c r="C630" s="11">
        <v>7</v>
      </c>
      <c r="D630" s="11">
        <v>6.8</v>
      </c>
      <c r="E630" s="2">
        <f t="shared" si="19"/>
        <v>0.20000000000000018</v>
      </c>
      <c r="F630" s="11">
        <v>0.32400000000000001</v>
      </c>
      <c r="G630" s="3">
        <f t="shared" si="20"/>
        <v>7.4857142857142886E-2</v>
      </c>
    </row>
    <row r="631" spans="1:7">
      <c r="A631" s="1">
        <v>8</v>
      </c>
      <c r="B631" s="1" t="s">
        <v>28</v>
      </c>
      <c r="C631" s="11">
        <v>20</v>
      </c>
      <c r="D631" s="11">
        <v>19.75</v>
      </c>
      <c r="E631" s="2">
        <f t="shared" si="19"/>
        <v>0.25</v>
      </c>
      <c r="F631" s="11">
        <v>1.869</v>
      </c>
      <c r="G631" s="3">
        <f t="shared" si="20"/>
        <v>0.10594999999999999</v>
      </c>
    </row>
    <row r="632" spans="1:7">
      <c r="A632" s="1">
        <v>9</v>
      </c>
      <c r="B632" s="1" t="s">
        <v>28</v>
      </c>
      <c r="C632" s="11">
        <v>10</v>
      </c>
      <c r="D632" s="11">
        <v>9.77</v>
      </c>
      <c r="E632" s="2">
        <f t="shared" si="19"/>
        <v>0.23000000000000043</v>
      </c>
      <c r="F632" s="11">
        <v>0.22900000000000001</v>
      </c>
      <c r="G632" s="3">
        <f t="shared" si="20"/>
        <v>4.5900000000000038E-2</v>
      </c>
    </row>
    <row r="633" spans="1:7">
      <c r="A633" s="1">
        <v>11</v>
      </c>
      <c r="B633" s="1" t="s">
        <v>28</v>
      </c>
      <c r="C633" s="11">
        <v>175</v>
      </c>
      <c r="D633" s="11">
        <v>173.52</v>
      </c>
      <c r="E633" s="2">
        <f t="shared" si="19"/>
        <v>1.4799999999999898</v>
      </c>
      <c r="F633" s="11">
        <v>0.22500000000000001</v>
      </c>
      <c r="G633" s="3">
        <f t="shared" si="20"/>
        <v>9.7428571428570844E-3</v>
      </c>
    </row>
    <row r="634" spans="1:7">
      <c r="A634" s="1">
        <v>12</v>
      </c>
      <c r="B634" s="1" t="s">
        <v>28</v>
      </c>
      <c r="C634" s="11">
        <v>33</v>
      </c>
      <c r="D634" s="11">
        <v>32.58</v>
      </c>
      <c r="E634" s="2">
        <f t="shared" si="19"/>
        <v>0.42000000000000171</v>
      </c>
      <c r="F634" s="11">
        <v>0.76</v>
      </c>
      <c r="G634" s="3">
        <f t="shared" si="20"/>
        <v>3.5757575757575807E-2</v>
      </c>
    </row>
    <row r="635" spans="1:7">
      <c r="A635" s="1">
        <v>13</v>
      </c>
      <c r="B635" s="1" t="s">
        <v>28</v>
      </c>
      <c r="C635" s="11">
        <v>20</v>
      </c>
      <c r="D635" s="11">
        <v>19.489999999999998</v>
      </c>
      <c r="E635" s="2">
        <f t="shared" si="19"/>
        <v>0.51000000000000156</v>
      </c>
      <c r="F635" s="11">
        <v>0.19</v>
      </c>
      <c r="G635" s="3">
        <f t="shared" si="20"/>
        <v>3.5000000000000073E-2</v>
      </c>
    </row>
    <row r="636" spans="1:7">
      <c r="A636" s="1">
        <v>14</v>
      </c>
      <c r="B636" s="1" t="s">
        <v>28</v>
      </c>
      <c r="C636" s="11">
        <v>10</v>
      </c>
      <c r="D636" s="11">
        <v>9.75</v>
      </c>
      <c r="E636" s="2">
        <f t="shared" si="19"/>
        <v>0.25</v>
      </c>
      <c r="F636" s="11">
        <v>0.20499999999999999</v>
      </c>
      <c r="G636" s="3">
        <f t="shared" si="20"/>
        <v>4.5499999999999999E-2</v>
      </c>
    </row>
    <row r="637" spans="1:7">
      <c r="A637" s="1">
        <v>15</v>
      </c>
      <c r="B637" s="1" t="s">
        <v>28</v>
      </c>
      <c r="C637" s="11">
        <v>10</v>
      </c>
      <c r="D637" s="11">
        <v>9.81</v>
      </c>
      <c r="E637" s="2">
        <f t="shared" si="19"/>
        <v>0.1899999999999995</v>
      </c>
      <c r="F637" s="11">
        <v>0.20699999999999999</v>
      </c>
      <c r="G637" s="3">
        <f t="shared" si="20"/>
        <v>3.9699999999999944E-2</v>
      </c>
    </row>
    <row r="638" spans="1:7">
      <c r="A638" s="1">
        <v>16</v>
      </c>
      <c r="B638" s="1" t="s">
        <v>28</v>
      </c>
      <c r="C638" s="11">
        <v>20</v>
      </c>
      <c r="D638" s="11">
        <v>19.36</v>
      </c>
      <c r="E638" s="2">
        <f t="shared" si="19"/>
        <v>0.64000000000000057</v>
      </c>
      <c r="F638" s="11">
        <v>0.223</v>
      </c>
      <c r="G638" s="3">
        <f t="shared" si="20"/>
        <v>4.3150000000000029E-2</v>
      </c>
    </row>
    <row r="639" spans="1:7">
      <c r="A639" s="1">
        <v>17</v>
      </c>
      <c r="B639" s="1" t="s">
        <v>28</v>
      </c>
      <c r="C639" s="11">
        <v>30</v>
      </c>
      <c r="D639" s="11">
        <v>29.43</v>
      </c>
      <c r="E639" s="2">
        <f t="shared" si="19"/>
        <v>0.57000000000000028</v>
      </c>
      <c r="F639" s="11">
        <v>0.26</v>
      </c>
      <c r="G639" s="3">
        <f t="shared" si="20"/>
        <v>2.7666666666666676E-2</v>
      </c>
    </row>
    <row r="640" spans="1:7">
      <c r="A640" s="1">
        <v>18</v>
      </c>
      <c r="B640" s="1" t="s">
        <v>28</v>
      </c>
      <c r="C640" s="11">
        <v>35</v>
      </c>
      <c r="D640" s="11">
        <v>34.49</v>
      </c>
      <c r="E640" s="2">
        <f t="shared" si="19"/>
        <v>0.50999999999999801</v>
      </c>
      <c r="F640" s="11">
        <v>0.22800000000000001</v>
      </c>
      <c r="G640" s="3">
        <f t="shared" si="20"/>
        <v>2.1085714285714229E-2</v>
      </c>
    </row>
    <row r="641" spans="1:7">
      <c r="A641" s="1">
        <v>19</v>
      </c>
      <c r="B641" s="1" t="s">
        <v>28</v>
      </c>
      <c r="C641" s="11">
        <v>180</v>
      </c>
      <c r="D641" s="11">
        <v>176.29</v>
      </c>
      <c r="E641" s="2">
        <f t="shared" si="19"/>
        <v>3.710000000000008</v>
      </c>
      <c r="F641" s="11">
        <v>0.73199999999999998</v>
      </c>
      <c r="G641" s="3">
        <f t="shared" si="20"/>
        <v>2.4677777777777823E-2</v>
      </c>
    </row>
    <row r="642" spans="1:7">
      <c r="A642" s="1">
        <v>20</v>
      </c>
      <c r="B642" s="1" t="s">
        <v>28</v>
      </c>
      <c r="C642" s="11">
        <v>15</v>
      </c>
      <c r="D642" s="11">
        <v>14.57</v>
      </c>
      <c r="E642" s="2">
        <f t="shared" si="19"/>
        <v>0.42999999999999972</v>
      </c>
      <c r="F642" s="11">
        <v>0.27500000000000002</v>
      </c>
      <c r="G642" s="3">
        <f t="shared" si="20"/>
        <v>4.6999999999999979E-2</v>
      </c>
    </row>
    <row r="643" spans="1:7">
      <c r="A643" s="1">
        <v>21</v>
      </c>
      <c r="B643" s="1" t="s">
        <v>28</v>
      </c>
      <c r="C643" s="11">
        <v>0</v>
      </c>
      <c r="D643" s="11">
        <v>0</v>
      </c>
      <c r="E643" s="2">
        <f t="shared" si="19"/>
        <v>0</v>
      </c>
      <c r="F643" s="11">
        <v>0.17199999999999999</v>
      </c>
      <c r="G643" s="3" t="e">
        <f t="shared" si="20"/>
        <v>#DIV/0!</v>
      </c>
    </row>
    <row r="644" spans="1:7">
      <c r="A644" s="1">
        <v>22</v>
      </c>
      <c r="B644" s="1" t="s">
        <v>28</v>
      </c>
      <c r="C644" s="11">
        <v>15</v>
      </c>
      <c r="D644" s="11">
        <v>14.63</v>
      </c>
      <c r="E644" s="2">
        <f t="shared" ref="E644:E707" si="21">C644-D644</f>
        <v>0.36999999999999922</v>
      </c>
      <c r="F644" s="11">
        <v>0.1980000000000004</v>
      </c>
      <c r="G644" s="3">
        <f t="shared" si="20"/>
        <v>3.7866666666666639E-2</v>
      </c>
    </row>
    <row r="645" spans="1:7">
      <c r="A645" s="1">
        <v>23</v>
      </c>
      <c r="B645" s="1" t="s">
        <v>28</v>
      </c>
      <c r="C645" s="11">
        <v>10</v>
      </c>
      <c r="D645" s="11">
        <v>9.58</v>
      </c>
      <c r="E645" s="2">
        <f t="shared" si="21"/>
        <v>0.41999999999999993</v>
      </c>
      <c r="F645" s="11">
        <v>0.22</v>
      </c>
      <c r="G645" s="3">
        <f t="shared" si="20"/>
        <v>6.3999999999999987E-2</v>
      </c>
    </row>
    <row r="646" spans="1:7">
      <c r="A646" s="1">
        <v>24</v>
      </c>
      <c r="B646" s="1" t="s">
        <v>28</v>
      </c>
      <c r="C646" s="11">
        <v>0</v>
      </c>
      <c r="D646" s="11">
        <v>0</v>
      </c>
      <c r="E646" s="2">
        <f t="shared" si="21"/>
        <v>0</v>
      </c>
      <c r="F646" s="11">
        <v>0.22</v>
      </c>
      <c r="G646" s="3" t="e">
        <f t="shared" si="20"/>
        <v>#DIV/0!</v>
      </c>
    </row>
    <row r="647" spans="1:7">
      <c r="A647" s="1">
        <v>25</v>
      </c>
      <c r="B647" s="1" t="s">
        <v>28</v>
      </c>
      <c r="C647" s="11">
        <v>25</v>
      </c>
      <c r="D647" s="11">
        <v>24.6</v>
      </c>
      <c r="E647" s="2">
        <f t="shared" si="21"/>
        <v>0.39999999999999858</v>
      </c>
      <c r="F647" s="11">
        <v>0.28999999999999998</v>
      </c>
      <c r="G647" s="3">
        <f t="shared" si="20"/>
        <v>2.7599999999999944E-2</v>
      </c>
    </row>
    <row r="648" spans="1:7">
      <c r="A648" s="1">
        <v>26</v>
      </c>
      <c r="B648" s="1" t="s">
        <v>28</v>
      </c>
      <c r="C648" s="11">
        <v>25</v>
      </c>
      <c r="D648" s="11">
        <v>24.34</v>
      </c>
      <c r="E648" s="2">
        <f t="shared" si="21"/>
        <v>0.66000000000000014</v>
      </c>
      <c r="F648" s="11">
        <v>0.22</v>
      </c>
      <c r="G648" s="3">
        <f t="shared" si="20"/>
        <v>3.5200000000000002E-2</v>
      </c>
    </row>
    <row r="649" spans="1:7">
      <c r="A649" s="1">
        <v>27</v>
      </c>
      <c r="B649" s="1" t="s">
        <v>28</v>
      </c>
      <c r="C649" s="11">
        <v>165</v>
      </c>
      <c r="D649" s="11">
        <v>163.02000000000001</v>
      </c>
      <c r="E649" s="2">
        <f t="shared" si="21"/>
        <v>1.9799999999999898</v>
      </c>
      <c r="F649" s="11">
        <v>0.34</v>
      </c>
      <c r="G649" s="3">
        <f t="shared" si="20"/>
        <v>1.4060606060605997E-2</v>
      </c>
    </row>
    <row r="650" spans="1:7">
      <c r="A650" s="1">
        <v>28</v>
      </c>
      <c r="B650" s="1" t="s">
        <v>28</v>
      </c>
      <c r="C650" s="11">
        <v>45</v>
      </c>
      <c r="D650" s="11">
        <v>44.2</v>
      </c>
      <c r="E650" s="2">
        <f t="shared" si="21"/>
        <v>0.79999999999999716</v>
      </c>
      <c r="F650" s="11">
        <v>0.71</v>
      </c>
      <c r="G650" s="3">
        <f t="shared" si="20"/>
        <v>3.3555555555555491E-2</v>
      </c>
    </row>
    <row r="651" spans="1:7">
      <c r="A651" s="1">
        <v>29</v>
      </c>
      <c r="B651" s="1" t="s">
        <v>28</v>
      </c>
      <c r="C651" s="11">
        <v>20</v>
      </c>
      <c r="D651" s="11">
        <v>19.46</v>
      </c>
      <c r="E651" s="2">
        <f t="shared" si="21"/>
        <v>0.53999999999999915</v>
      </c>
      <c r="F651" s="11">
        <v>0.151</v>
      </c>
      <c r="G651" s="3">
        <f t="shared" si="20"/>
        <v>3.4549999999999956E-2</v>
      </c>
    </row>
    <row r="652" spans="1:7">
      <c r="A652" s="1">
        <v>30</v>
      </c>
      <c r="B652" s="1" t="s">
        <v>28</v>
      </c>
      <c r="C652" s="11">
        <v>40</v>
      </c>
      <c r="D652" s="11">
        <v>39.590000000000003</v>
      </c>
      <c r="E652" s="2">
        <f t="shared" si="21"/>
        <v>0.40999999999999659</v>
      </c>
      <c r="F652" s="11">
        <v>0.34</v>
      </c>
      <c r="G652" s="3">
        <f t="shared" si="20"/>
        <v>1.8749999999999916E-2</v>
      </c>
    </row>
    <row r="653" spans="1:7">
      <c r="A653" s="1">
        <v>31</v>
      </c>
      <c r="B653" s="1" t="s">
        <v>28</v>
      </c>
      <c r="C653" s="11">
        <v>20</v>
      </c>
      <c r="D653" s="11">
        <v>19.600000000000001</v>
      </c>
      <c r="E653" s="2">
        <f t="shared" si="21"/>
        <v>0.39999999999999858</v>
      </c>
      <c r="F653" s="11">
        <v>0.223</v>
      </c>
      <c r="G653" s="3">
        <f t="shared" si="20"/>
        <v>3.1149999999999928E-2</v>
      </c>
    </row>
    <row r="654" spans="1:7">
      <c r="A654" s="1">
        <v>1</v>
      </c>
      <c r="B654" s="1" t="s">
        <v>29</v>
      </c>
      <c r="C654" s="11">
        <v>60</v>
      </c>
      <c r="D654" s="11">
        <v>59.82</v>
      </c>
      <c r="E654" s="2">
        <f t="shared" si="21"/>
        <v>0.17999999999999972</v>
      </c>
      <c r="F654" s="11">
        <v>0.21</v>
      </c>
      <c r="G654" s="3">
        <f t="shared" si="20"/>
        <v>6.4999999999999945E-3</v>
      </c>
    </row>
    <row r="655" spans="1:7">
      <c r="A655" s="1">
        <v>2</v>
      </c>
      <c r="B655" s="1" t="s">
        <v>29</v>
      </c>
      <c r="C655" s="11">
        <v>20</v>
      </c>
      <c r="D655" s="11">
        <v>19.73</v>
      </c>
      <c r="E655" s="2">
        <f t="shared" si="21"/>
        <v>0.26999999999999957</v>
      </c>
      <c r="F655" s="11">
        <v>0.14499999999999999</v>
      </c>
      <c r="G655" s="3">
        <f t="shared" si="20"/>
        <v>2.074999999999998E-2</v>
      </c>
    </row>
    <row r="656" spans="1:7">
      <c r="A656" s="1">
        <v>3</v>
      </c>
      <c r="B656" s="1" t="s">
        <v>29</v>
      </c>
      <c r="C656" s="11">
        <v>40</v>
      </c>
      <c r="D656" s="11">
        <v>39.700000000000003</v>
      </c>
      <c r="E656" s="2">
        <f t="shared" si="21"/>
        <v>0.29999999999999716</v>
      </c>
      <c r="F656" s="11">
        <v>0.17499999999999999</v>
      </c>
      <c r="G656" s="3">
        <f t="shared" si="20"/>
        <v>1.1874999999999929E-2</v>
      </c>
    </row>
    <row r="657" spans="1:7">
      <c r="A657" s="1">
        <v>4</v>
      </c>
      <c r="B657" s="1" t="s">
        <v>29</v>
      </c>
      <c r="C657" s="11">
        <v>20</v>
      </c>
      <c r="D657" s="11">
        <v>19.829999999999998</v>
      </c>
      <c r="E657" s="2">
        <f t="shared" si="21"/>
        <v>0.17000000000000171</v>
      </c>
      <c r="F657" s="11">
        <v>0.14499999999999999</v>
      </c>
      <c r="G657" s="3">
        <f t="shared" si="20"/>
        <v>1.5750000000000087E-2</v>
      </c>
    </row>
    <row r="658" spans="1:7">
      <c r="A658" s="1">
        <v>5</v>
      </c>
      <c r="B658" s="1" t="s">
        <v>29</v>
      </c>
      <c r="C658" s="11">
        <v>20</v>
      </c>
      <c r="D658" s="11">
        <v>19.899999999999999</v>
      </c>
      <c r="E658" s="2">
        <f t="shared" si="21"/>
        <v>0.10000000000000142</v>
      </c>
      <c r="F658" s="11">
        <v>0.13</v>
      </c>
      <c r="G658" s="3">
        <f t="shared" si="20"/>
        <v>1.1500000000000071E-2</v>
      </c>
    </row>
    <row r="659" spans="1:7">
      <c r="A659" s="1">
        <v>6</v>
      </c>
      <c r="B659" s="1" t="s">
        <v>29</v>
      </c>
      <c r="C659" s="11">
        <v>20</v>
      </c>
      <c r="D659" s="11">
        <v>19.75</v>
      </c>
      <c r="E659" s="2">
        <f t="shared" si="21"/>
        <v>0.25</v>
      </c>
      <c r="F659" s="11">
        <v>0.14000000000000001</v>
      </c>
      <c r="G659" s="3">
        <f t="shared" si="20"/>
        <v>1.95E-2</v>
      </c>
    </row>
    <row r="660" spans="1:7">
      <c r="A660" s="1">
        <v>7</v>
      </c>
      <c r="B660" s="1" t="s">
        <v>29</v>
      </c>
      <c r="C660" s="11">
        <v>100</v>
      </c>
      <c r="D660" s="11">
        <v>98.87</v>
      </c>
      <c r="E660" s="2">
        <f t="shared" si="21"/>
        <v>1.1299999999999955</v>
      </c>
      <c r="F660" s="11">
        <v>0.35</v>
      </c>
      <c r="G660" s="3">
        <f t="shared" si="20"/>
        <v>1.4799999999999956E-2</v>
      </c>
    </row>
    <row r="661" spans="1:7">
      <c r="A661" s="1">
        <v>10</v>
      </c>
      <c r="B661" s="1" t="s">
        <v>29</v>
      </c>
      <c r="C661" s="11">
        <v>23.32</v>
      </c>
      <c r="D661" s="11">
        <v>22.97</v>
      </c>
      <c r="E661" s="2">
        <f t="shared" si="21"/>
        <v>0.35000000000000142</v>
      </c>
      <c r="F661" s="11">
        <v>0.15</v>
      </c>
      <c r="G661" s="3">
        <f t="shared" si="20"/>
        <v>2.1440823327615842E-2</v>
      </c>
    </row>
    <row r="662" spans="1:7">
      <c r="A662" s="1">
        <v>8</v>
      </c>
      <c r="B662" s="1" t="s">
        <v>29</v>
      </c>
      <c r="C662" s="11">
        <v>20</v>
      </c>
      <c r="D662" s="11">
        <v>19.79</v>
      </c>
      <c r="E662" s="2">
        <f t="shared" si="21"/>
        <v>0.21000000000000085</v>
      </c>
      <c r="F662" s="11">
        <v>0.12</v>
      </c>
      <c r="G662" s="3">
        <f t="shared" si="20"/>
        <v>1.6500000000000042E-2</v>
      </c>
    </row>
    <row r="663" spans="1:7">
      <c r="A663" s="1">
        <v>9</v>
      </c>
      <c r="B663" s="1" t="s">
        <v>29</v>
      </c>
      <c r="C663" s="11">
        <v>46.6</v>
      </c>
      <c r="D663" s="11">
        <v>46.06</v>
      </c>
      <c r="E663" s="2">
        <f t="shared" si="21"/>
        <v>0.53999999999999915</v>
      </c>
      <c r="F663" s="11">
        <v>0.12</v>
      </c>
      <c r="G663" s="3">
        <f t="shared" si="20"/>
        <v>1.4163090128755346E-2</v>
      </c>
    </row>
    <row r="664" spans="1:7">
      <c r="A664" s="1">
        <v>11</v>
      </c>
      <c r="B664" s="1" t="s">
        <v>29</v>
      </c>
      <c r="C664" s="11">
        <v>26.02</v>
      </c>
      <c r="D664" s="11">
        <v>25.8</v>
      </c>
      <c r="E664" s="2">
        <f t="shared" si="21"/>
        <v>0.21999999999999886</v>
      </c>
      <c r="F664" s="11">
        <v>0.125</v>
      </c>
      <c r="G664" s="3">
        <f t="shared" si="20"/>
        <v>1.3259031514219788E-2</v>
      </c>
    </row>
    <row r="665" spans="1:7">
      <c r="A665" s="1">
        <v>12</v>
      </c>
      <c r="B665" s="1" t="s">
        <v>29</v>
      </c>
      <c r="C665" s="11">
        <v>26.02</v>
      </c>
      <c r="D665" s="11">
        <v>25.8</v>
      </c>
      <c r="E665" s="2">
        <f t="shared" si="21"/>
        <v>0.21999999999999886</v>
      </c>
      <c r="F665" s="11">
        <v>0.18</v>
      </c>
      <c r="G665" s="3">
        <f t="shared" si="20"/>
        <v>1.5372790161414253E-2</v>
      </c>
    </row>
    <row r="666" spans="1:7">
      <c r="A666" s="1">
        <v>13</v>
      </c>
      <c r="B666" s="1" t="s">
        <v>29</v>
      </c>
      <c r="C666" s="11">
        <v>26.02</v>
      </c>
      <c r="D666" s="11">
        <v>25.8</v>
      </c>
      <c r="E666" s="2">
        <f t="shared" si="21"/>
        <v>0.21999999999999886</v>
      </c>
      <c r="F666" s="11">
        <v>0.14499999999999999</v>
      </c>
      <c r="G666" s="3">
        <f t="shared" si="20"/>
        <v>1.4027671022290503E-2</v>
      </c>
    </row>
    <row r="667" spans="1:7">
      <c r="A667" s="1">
        <v>14</v>
      </c>
      <c r="B667" s="1" t="s">
        <v>29</v>
      </c>
      <c r="C667" s="11">
        <v>26.02</v>
      </c>
      <c r="D667" s="11">
        <v>25.8</v>
      </c>
      <c r="E667" s="2">
        <f t="shared" si="21"/>
        <v>0.21999999999999886</v>
      </c>
      <c r="F667" s="11">
        <v>0.1</v>
      </c>
      <c r="G667" s="3">
        <f t="shared" si="20"/>
        <v>1.2298232129131392E-2</v>
      </c>
    </row>
    <row r="668" spans="1:7">
      <c r="A668" s="1">
        <v>15</v>
      </c>
      <c r="B668" s="1" t="s">
        <v>29</v>
      </c>
      <c r="C668" s="11">
        <v>26.6</v>
      </c>
      <c r="D668" s="11">
        <v>26.33</v>
      </c>
      <c r="E668" s="2">
        <f t="shared" si="21"/>
        <v>0.27000000000000313</v>
      </c>
      <c r="F668" s="11">
        <v>0.16</v>
      </c>
      <c r="G668" s="3">
        <f t="shared" si="20"/>
        <v>1.6165413533834706E-2</v>
      </c>
    </row>
    <row r="669" spans="1:7">
      <c r="A669" s="1">
        <v>16</v>
      </c>
      <c r="B669" s="1" t="s">
        <v>29</v>
      </c>
      <c r="C669" s="11">
        <v>28.67</v>
      </c>
      <c r="D669" s="11">
        <v>28.35</v>
      </c>
      <c r="E669" s="2">
        <f t="shared" si="21"/>
        <v>0.32000000000000028</v>
      </c>
      <c r="F669" s="11">
        <v>0.15</v>
      </c>
      <c r="G669" s="3">
        <f t="shared" si="20"/>
        <v>1.6393442622950831E-2</v>
      </c>
    </row>
    <row r="670" spans="1:7">
      <c r="A670" s="1">
        <v>17</v>
      </c>
      <c r="B670" s="1" t="s">
        <v>29</v>
      </c>
      <c r="C670" s="11">
        <v>0</v>
      </c>
      <c r="D670" s="11">
        <v>0</v>
      </c>
      <c r="E670" s="2">
        <f t="shared" si="21"/>
        <v>0</v>
      </c>
      <c r="F670" s="11">
        <v>0.155</v>
      </c>
      <c r="G670" s="3" t="e">
        <f t="shared" si="20"/>
        <v>#DIV/0!</v>
      </c>
    </row>
    <row r="671" spans="1:7">
      <c r="A671" s="1">
        <v>18</v>
      </c>
      <c r="B671" s="1" t="s">
        <v>29</v>
      </c>
      <c r="C671" s="11">
        <v>27.12</v>
      </c>
      <c r="D671" s="11">
        <v>26.91</v>
      </c>
      <c r="E671" s="2">
        <f t="shared" si="21"/>
        <v>0.21000000000000085</v>
      </c>
      <c r="F671" s="11">
        <v>0.14000000000000001</v>
      </c>
      <c r="G671" s="3">
        <f t="shared" si="20"/>
        <v>1.2905604719764043E-2</v>
      </c>
    </row>
    <row r="672" spans="1:7">
      <c r="A672" s="1">
        <v>19</v>
      </c>
      <c r="B672" s="1" t="s">
        <v>29</v>
      </c>
      <c r="C672" s="11">
        <v>20</v>
      </c>
      <c r="D672" s="11">
        <v>19.7</v>
      </c>
      <c r="E672" s="2">
        <f t="shared" si="21"/>
        <v>0.30000000000000071</v>
      </c>
      <c r="F672" s="11">
        <v>0.125</v>
      </c>
      <c r="G672" s="3">
        <f t="shared" si="20"/>
        <v>2.1250000000000036E-2</v>
      </c>
    </row>
    <row r="673" spans="1:7">
      <c r="A673" s="1">
        <v>20</v>
      </c>
      <c r="B673" s="1" t="s">
        <v>29</v>
      </c>
      <c r="C673" s="11">
        <v>0</v>
      </c>
      <c r="D673" s="11">
        <v>0</v>
      </c>
      <c r="E673" s="2">
        <f t="shared" si="21"/>
        <v>0</v>
      </c>
      <c r="F673" s="11">
        <v>0.12</v>
      </c>
      <c r="G673" s="3" t="e">
        <f t="shared" si="20"/>
        <v>#DIV/0!</v>
      </c>
    </row>
    <row r="674" spans="1:7">
      <c r="A674" s="1">
        <v>21</v>
      </c>
      <c r="B674" s="1" t="s">
        <v>29</v>
      </c>
      <c r="C674" s="11">
        <v>20</v>
      </c>
      <c r="D674" s="11">
        <v>19.809999999999999</v>
      </c>
      <c r="E674" s="2">
        <f t="shared" si="21"/>
        <v>0.19000000000000128</v>
      </c>
      <c r="F674" s="11">
        <v>0.16</v>
      </c>
      <c r="G674" s="3">
        <f t="shared" si="20"/>
        <v>1.7500000000000064E-2</v>
      </c>
    </row>
    <row r="675" spans="1:7">
      <c r="A675" s="1">
        <v>22</v>
      </c>
      <c r="B675" s="1" t="s">
        <v>29</v>
      </c>
      <c r="C675" s="11">
        <v>40</v>
      </c>
      <c r="D675" s="11">
        <v>39.630000000000003</v>
      </c>
      <c r="E675" s="2">
        <f t="shared" si="21"/>
        <v>0.36999999999999744</v>
      </c>
      <c r="F675" s="11">
        <v>0.14499999999999999</v>
      </c>
      <c r="G675" s="3">
        <f t="shared" si="20"/>
        <v>1.2874999999999937E-2</v>
      </c>
    </row>
    <row r="676" spans="1:7">
      <c r="A676" s="1">
        <v>23</v>
      </c>
      <c r="B676" s="1" t="s">
        <v>29</v>
      </c>
      <c r="C676" s="11">
        <v>40.299999999999997</v>
      </c>
      <c r="D676" s="11">
        <v>39.99</v>
      </c>
      <c r="E676" s="2">
        <f t="shared" si="21"/>
        <v>0.30999999999999517</v>
      </c>
      <c r="F676" s="11">
        <v>0.16</v>
      </c>
      <c r="G676" s="3">
        <f t="shared" si="20"/>
        <v>1.166253101736961E-2</v>
      </c>
    </row>
    <row r="677" spans="1:7">
      <c r="A677" s="1">
        <v>24</v>
      </c>
      <c r="B677" s="1" t="s">
        <v>29</v>
      </c>
      <c r="C677" s="11">
        <v>0</v>
      </c>
      <c r="D677" s="11">
        <v>0</v>
      </c>
      <c r="E677" s="2">
        <f t="shared" si="21"/>
        <v>0</v>
      </c>
      <c r="F677" s="11">
        <v>0.22500000000000001</v>
      </c>
      <c r="G677" s="3" t="e">
        <f t="shared" ref="G677:G740" si="22">(E677+F677)/C677</f>
        <v>#DIV/0!</v>
      </c>
    </row>
    <row r="678" spans="1:7">
      <c r="A678" s="1">
        <v>25</v>
      </c>
      <c r="B678" s="1" t="s">
        <v>29</v>
      </c>
      <c r="C678" s="11">
        <v>40</v>
      </c>
      <c r="D678" s="11">
        <v>39.380000000000003</v>
      </c>
      <c r="E678" s="2">
        <f t="shared" si="21"/>
        <v>0.61999999999999744</v>
      </c>
      <c r="F678" s="11">
        <v>0.12</v>
      </c>
      <c r="G678" s="3">
        <f t="shared" si="22"/>
        <v>1.8499999999999937E-2</v>
      </c>
    </row>
    <row r="679" spans="1:7">
      <c r="A679" s="1">
        <v>26</v>
      </c>
      <c r="B679" s="1" t="s">
        <v>29</v>
      </c>
      <c r="C679" s="11">
        <v>40</v>
      </c>
      <c r="D679" s="11">
        <v>39.549999999999997</v>
      </c>
      <c r="E679" s="2">
        <f t="shared" si="21"/>
        <v>0.45000000000000284</v>
      </c>
      <c r="F679" s="11">
        <v>0.28000000000000003</v>
      </c>
      <c r="G679" s="3">
        <f t="shared" si="22"/>
        <v>1.8250000000000072E-2</v>
      </c>
    </row>
    <row r="680" spans="1:7">
      <c r="A680" s="1">
        <v>27</v>
      </c>
      <c r="B680" s="1" t="s">
        <v>29</v>
      </c>
      <c r="C680" s="11">
        <v>0</v>
      </c>
      <c r="D680" s="11">
        <v>0</v>
      </c>
      <c r="E680" s="2">
        <f t="shared" si="21"/>
        <v>0</v>
      </c>
      <c r="F680" s="11">
        <v>0.12</v>
      </c>
      <c r="G680" s="3" t="e">
        <f t="shared" si="22"/>
        <v>#DIV/0!</v>
      </c>
    </row>
    <row r="681" spans="1:7">
      <c r="A681" s="1">
        <v>28</v>
      </c>
      <c r="B681" s="1" t="s">
        <v>29</v>
      </c>
      <c r="C681" s="11">
        <v>40</v>
      </c>
      <c r="D681" s="11">
        <v>39.44</v>
      </c>
      <c r="E681" s="2">
        <f t="shared" si="21"/>
        <v>0.56000000000000227</v>
      </c>
      <c r="F681" s="11">
        <v>0.13</v>
      </c>
      <c r="G681" s="3">
        <f t="shared" si="22"/>
        <v>1.7250000000000057E-2</v>
      </c>
    </row>
    <row r="682" spans="1:7">
      <c r="A682" s="1">
        <v>29</v>
      </c>
      <c r="B682" s="1" t="s">
        <v>29</v>
      </c>
      <c r="C682" s="11">
        <v>20</v>
      </c>
      <c r="D682" s="11">
        <v>19.809999999999999</v>
      </c>
      <c r="E682" s="2">
        <f t="shared" si="21"/>
        <v>0.19000000000000128</v>
      </c>
      <c r="F682" s="11">
        <v>0.185</v>
      </c>
      <c r="G682" s="3">
        <f t="shared" si="22"/>
        <v>1.8750000000000065E-2</v>
      </c>
    </row>
    <row r="683" spans="1:7">
      <c r="A683" s="1">
        <v>30</v>
      </c>
      <c r="B683" s="1" t="s">
        <v>29</v>
      </c>
      <c r="C683" s="11">
        <v>60</v>
      </c>
      <c r="D683" s="11">
        <v>59.34</v>
      </c>
      <c r="E683" s="2">
        <f t="shared" si="21"/>
        <v>0.65999999999999659</v>
      </c>
      <c r="F683" s="11">
        <v>0.14000000000000001</v>
      </c>
      <c r="G683" s="3">
        <f t="shared" si="22"/>
        <v>1.3333333333333277E-2</v>
      </c>
    </row>
    <row r="684" spans="1:7">
      <c r="A684" s="1">
        <v>31</v>
      </c>
      <c r="B684" s="1" t="s">
        <v>29</v>
      </c>
      <c r="C684" s="11">
        <v>20</v>
      </c>
      <c r="D684" s="11">
        <v>19.829999999999998</v>
      </c>
      <c r="E684" s="2">
        <f t="shared" si="21"/>
        <v>0.17000000000000171</v>
      </c>
      <c r="F684" s="11">
        <v>0.12</v>
      </c>
      <c r="G684" s="3">
        <f t="shared" si="22"/>
        <v>1.4500000000000086E-2</v>
      </c>
    </row>
    <row r="685" spans="1:7">
      <c r="A685" s="1">
        <v>1</v>
      </c>
      <c r="B685" s="1" t="s">
        <v>30</v>
      </c>
      <c r="C685" s="11">
        <v>20</v>
      </c>
      <c r="D685" s="11">
        <v>19.940000000000001</v>
      </c>
      <c r="E685" s="2">
        <f t="shared" si="21"/>
        <v>5.9999999999998721E-2</v>
      </c>
      <c r="F685" s="11">
        <v>0.13500000000000001</v>
      </c>
      <c r="G685" s="3">
        <f t="shared" si="22"/>
        <v>9.7499999999999358E-3</v>
      </c>
    </row>
    <row r="686" spans="1:7">
      <c r="A686" s="1">
        <v>2</v>
      </c>
      <c r="B686" s="1" t="s">
        <v>30</v>
      </c>
      <c r="C686" s="11">
        <v>40</v>
      </c>
      <c r="D686" s="11">
        <v>39.65</v>
      </c>
      <c r="E686" s="2">
        <f t="shared" si="21"/>
        <v>0.35000000000000142</v>
      </c>
      <c r="F686" s="11">
        <v>0.15</v>
      </c>
      <c r="G686" s="3">
        <f t="shared" si="22"/>
        <v>1.2500000000000035E-2</v>
      </c>
    </row>
    <row r="687" spans="1:7">
      <c r="A687" s="1">
        <v>3</v>
      </c>
      <c r="B687" s="1" t="s">
        <v>30</v>
      </c>
      <c r="C687" s="11">
        <v>100</v>
      </c>
      <c r="D687" s="11">
        <v>99.47</v>
      </c>
      <c r="E687" s="2">
        <f t="shared" si="21"/>
        <v>0.53000000000000114</v>
      </c>
      <c r="F687" s="11">
        <v>0.11</v>
      </c>
      <c r="G687" s="3">
        <f t="shared" si="22"/>
        <v>6.4000000000000116E-3</v>
      </c>
    </row>
    <row r="688" spans="1:7">
      <c r="A688" s="1">
        <v>4</v>
      </c>
      <c r="B688" s="1" t="s">
        <v>30</v>
      </c>
      <c r="C688" s="11">
        <v>20</v>
      </c>
      <c r="D688" s="11">
        <v>19.88</v>
      </c>
      <c r="E688" s="2">
        <f t="shared" si="21"/>
        <v>0.12000000000000099</v>
      </c>
      <c r="F688" s="11">
        <v>0.11</v>
      </c>
      <c r="G688" s="3">
        <f t="shared" si="22"/>
        <v>1.1500000000000048E-2</v>
      </c>
    </row>
    <row r="689" spans="1:7">
      <c r="A689" s="1">
        <v>5</v>
      </c>
      <c r="B689" s="1" t="s">
        <v>30</v>
      </c>
      <c r="C689" s="11">
        <v>0</v>
      </c>
      <c r="D689" s="11">
        <v>0</v>
      </c>
      <c r="E689" s="2">
        <f t="shared" si="21"/>
        <v>0</v>
      </c>
      <c r="F689" s="11">
        <v>0.115</v>
      </c>
      <c r="G689" s="3" t="e">
        <f t="shared" si="22"/>
        <v>#DIV/0!</v>
      </c>
    </row>
    <row r="690" spans="1:7">
      <c r="A690" s="1">
        <v>6</v>
      </c>
      <c r="B690" s="1" t="s">
        <v>30</v>
      </c>
      <c r="C690" s="11">
        <v>20</v>
      </c>
      <c r="D690" s="11">
        <v>19.809999999999999</v>
      </c>
      <c r="E690" s="2">
        <f t="shared" si="21"/>
        <v>0.19000000000000128</v>
      </c>
      <c r="F690" s="11">
        <v>0.23300000000000001</v>
      </c>
      <c r="G690" s="3">
        <f t="shared" si="22"/>
        <v>2.1150000000000065E-2</v>
      </c>
    </row>
    <row r="691" spans="1:7">
      <c r="A691" s="1">
        <v>7</v>
      </c>
      <c r="B691" s="1" t="s">
        <v>30</v>
      </c>
      <c r="C691" s="11">
        <v>20</v>
      </c>
      <c r="D691" s="11">
        <v>19.87</v>
      </c>
      <c r="E691" s="2">
        <f t="shared" si="21"/>
        <v>0.12999999999999901</v>
      </c>
      <c r="F691" s="11">
        <v>0.15</v>
      </c>
      <c r="G691" s="3">
        <f t="shared" si="22"/>
        <v>1.3999999999999952E-2</v>
      </c>
    </row>
    <row r="692" spans="1:7">
      <c r="A692" s="1">
        <v>10</v>
      </c>
      <c r="B692" s="1" t="s">
        <v>30</v>
      </c>
      <c r="C692" s="11">
        <v>40</v>
      </c>
      <c r="D692" s="11">
        <v>39.42</v>
      </c>
      <c r="E692" s="2">
        <f t="shared" si="21"/>
        <v>0.57999999999999829</v>
      </c>
      <c r="F692" s="11">
        <v>0.2</v>
      </c>
      <c r="G692" s="3">
        <f t="shared" si="22"/>
        <v>1.9499999999999955E-2</v>
      </c>
    </row>
    <row r="693" spans="1:7">
      <c r="A693" s="1">
        <v>8</v>
      </c>
      <c r="B693" s="1" t="s">
        <v>30</v>
      </c>
      <c r="C693" s="11">
        <v>40</v>
      </c>
      <c r="D693" s="11">
        <v>39.56</v>
      </c>
      <c r="E693" s="2">
        <f t="shared" si="21"/>
        <v>0.43999999999999773</v>
      </c>
      <c r="F693" s="11">
        <v>0.05</v>
      </c>
      <c r="G693" s="3">
        <f t="shared" si="22"/>
        <v>1.2249999999999943E-2</v>
      </c>
    </row>
    <row r="694" spans="1:7">
      <c r="A694" s="1">
        <v>9</v>
      </c>
      <c r="B694" s="1" t="s">
        <v>30</v>
      </c>
      <c r="C694" s="11">
        <v>40</v>
      </c>
      <c r="D694" s="11">
        <v>39.64</v>
      </c>
      <c r="E694" s="2">
        <f t="shared" si="21"/>
        <v>0.35999999999999943</v>
      </c>
      <c r="F694" s="11">
        <v>0.21</v>
      </c>
      <c r="G694" s="3">
        <f t="shared" si="22"/>
        <v>1.4249999999999985E-2</v>
      </c>
    </row>
    <row r="695" spans="1:7">
      <c r="A695" s="1">
        <v>11</v>
      </c>
      <c r="B695" s="1" t="s">
        <v>30</v>
      </c>
      <c r="C695" s="11">
        <v>69.63</v>
      </c>
      <c r="D695" s="11">
        <v>69.08</v>
      </c>
      <c r="E695" s="2">
        <f t="shared" si="21"/>
        <v>0.54999999999999716</v>
      </c>
      <c r="F695" s="11">
        <v>0.28000000000000003</v>
      </c>
      <c r="G695" s="3">
        <f t="shared" si="22"/>
        <v>1.1920149360907614E-2</v>
      </c>
    </row>
    <row r="696" spans="1:7">
      <c r="A696" s="1">
        <v>12</v>
      </c>
      <c r="B696" s="1" t="s">
        <v>30</v>
      </c>
      <c r="C696" s="11">
        <v>40</v>
      </c>
      <c r="D696" s="11">
        <v>39.590000000000003</v>
      </c>
      <c r="E696" s="2">
        <f t="shared" si="21"/>
        <v>0.40999999999999659</v>
      </c>
      <c r="F696" s="11">
        <v>0.15</v>
      </c>
      <c r="G696" s="3">
        <f t="shared" si="22"/>
        <v>1.3999999999999915E-2</v>
      </c>
    </row>
    <row r="697" spans="1:7">
      <c r="A697" s="1">
        <v>13</v>
      </c>
      <c r="B697" s="1" t="s">
        <v>30</v>
      </c>
      <c r="C697" s="11">
        <v>26.31</v>
      </c>
      <c r="D697" s="11">
        <v>26.03</v>
      </c>
      <c r="E697" s="2">
        <f t="shared" si="21"/>
        <v>0.27999999999999758</v>
      </c>
      <c r="F697" s="11">
        <v>0.13</v>
      </c>
      <c r="G697" s="3">
        <f t="shared" si="22"/>
        <v>1.5583428354237842E-2</v>
      </c>
    </row>
    <row r="698" spans="1:7">
      <c r="A698" s="1">
        <v>14</v>
      </c>
      <c r="B698" s="1" t="s">
        <v>30</v>
      </c>
      <c r="C698" s="11">
        <v>20.565999999999999</v>
      </c>
      <c r="D698" s="11">
        <v>20.51</v>
      </c>
      <c r="E698" s="2">
        <f t="shared" si="21"/>
        <v>5.5999999999997385E-2</v>
      </c>
      <c r="F698" s="11">
        <v>0.24</v>
      </c>
      <c r="G698" s="3">
        <f t="shared" si="22"/>
        <v>1.4392686959058513E-2</v>
      </c>
    </row>
    <row r="699" spans="1:7">
      <c r="A699" s="1">
        <v>15</v>
      </c>
      <c r="B699" s="1" t="s">
        <v>30</v>
      </c>
      <c r="C699" s="11">
        <v>0</v>
      </c>
      <c r="D699" s="11">
        <v>0</v>
      </c>
      <c r="E699" s="2">
        <f t="shared" si="21"/>
        <v>0</v>
      </c>
      <c r="F699" s="11">
        <v>0.27</v>
      </c>
      <c r="G699" s="3" t="e">
        <f t="shared" si="22"/>
        <v>#DIV/0!</v>
      </c>
    </row>
    <row r="700" spans="1:7">
      <c r="A700" s="1">
        <v>16</v>
      </c>
      <c r="B700" s="1" t="s">
        <v>30</v>
      </c>
      <c r="C700" s="11">
        <v>25.181999999999999</v>
      </c>
      <c r="D700" s="11">
        <v>25.04</v>
      </c>
      <c r="E700" s="2">
        <f t="shared" si="21"/>
        <v>0.14199999999999946</v>
      </c>
      <c r="F700" s="11">
        <v>0.35</v>
      </c>
      <c r="G700" s="3">
        <f t="shared" si="22"/>
        <v>1.9537765070288281E-2</v>
      </c>
    </row>
    <row r="701" spans="1:7">
      <c r="A701" s="1">
        <v>17</v>
      </c>
      <c r="B701" s="1" t="s">
        <v>30</v>
      </c>
      <c r="C701" s="11">
        <v>27.7</v>
      </c>
      <c r="D701" s="11">
        <v>26.84</v>
      </c>
      <c r="E701" s="2">
        <f t="shared" si="21"/>
        <v>0.85999999999999943</v>
      </c>
      <c r="F701" s="11">
        <v>0.76</v>
      </c>
      <c r="G701" s="3">
        <f t="shared" si="22"/>
        <v>5.8483754512635364E-2</v>
      </c>
    </row>
    <row r="702" spans="1:7">
      <c r="A702" s="1">
        <v>18</v>
      </c>
      <c r="B702" s="1" t="s">
        <v>30</v>
      </c>
      <c r="C702" s="11">
        <v>25.64</v>
      </c>
      <c r="D702" s="11">
        <v>25.42</v>
      </c>
      <c r="E702" s="2">
        <f t="shared" si="21"/>
        <v>0.21999999999999886</v>
      </c>
      <c r="F702" s="11">
        <v>0.35</v>
      </c>
      <c r="G702" s="3">
        <f t="shared" si="22"/>
        <v>2.2230889235569377E-2</v>
      </c>
    </row>
    <row r="703" spans="1:7">
      <c r="A703" s="1">
        <v>19</v>
      </c>
      <c r="B703" s="1" t="s">
        <v>30</v>
      </c>
      <c r="C703" s="11">
        <v>0</v>
      </c>
      <c r="D703" s="11">
        <v>0</v>
      </c>
      <c r="E703" s="2">
        <f t="shared" si="21"/>
        <v>0</v>
      </c>
      <c r="F703" s="11">
        <v>0.35</v>
      </c>
      <c r="G703" s="3" t="e">
        <f t="shared" si="22"/>
        <v>#DIV/0!</v>
      </c>
    </row>
    <row r="704" spans="1:7">
      <c r="A704" s="1">
        <v>20</v>
      </c>
      <c r="B704" s="1" t="s">
        <v>30</v>
      </c>
      <c r="C704" s="11">
        <v>0</v>
      </c>
      <c r="D704" s="11">
        <v>0</v>
      </c>
      <c r="E704" s="2">
        <f t="shared" si="21"/>
        <v>0</v>
      </c>
      <c r="F704" s="11">
        <v>0.35</v>
      </c>
      <c r="G704" s="3" t="e">
        <f t="shared" si="22"/>
        <v>#DIV/0!</v>
      </c>
    </row>
    <row r="705" spans="1:7">
      <c r="A705" s="1">
        <v>21</v>
      </c>
      <c r="B705" s="1" t="s">
        <v>30</v>
      </c>
      <c r="C705" s="11">
        <v>187.43199999999999</v>
      </c>
      <c r="D705" s="11">
        <v>185.81</v>
      </c>
      <c r="E705" s="2">
        <f t="shared" si="21"/>
        <v>1.6219999999999857</v>
      </c>
      <c r="F705" s="11">
        <v>0.8</v>
      </c>
      <c r="G705" s="3">
        <f t="shared" si="22"/>
        <v>1.2922019719151403E-2</v>
      </c>
    </row>
    <row r="706" spans="1:7">
      <c r="A706" s="1">
        <v>22</v>
      </c>
      <c r="B706" s="1" t="s">
        <v>30</v>
      </c>
      <c r="C706" s="11">
        <v>0</v>
      </c>
      <c r="D706" s="11">
        <v>0</v>
      </c>
      <c r="E706" s="2">
        <f t="shared" si="21"/>
        <v>0</v>
      </c>
      <c r="F706" s="11">
        <v>0.25</v>
      </c>
      <c r="G706" s="3" t="e">
        <f t="shared" si="22"/>
        <v>#DIV/0!</v>
      </c>
    </row>
    <row r="707" spans="1:7">
      <c r="A707" s="1">
        <v>23</v>
      </c>
      <c r="B707" s="1" t="s">
        <v>30</v>
      </c>
      <c r="C707" s="11">
        <v>21.46</v>
      </c>
      <c r="D707" s="11">
        <v>21.19</v>
      </c>
      <c r="E707" s="2">
        <f t="shared" si="21"/>
        <v>0.26999999999999957</v>
      </c>
      <c r="F707" s="11">
        <v>0.28000000000000003</v>
      </c>
      <c r="G707" s="3">
        <f t="shared" si="22"/>
        <v>2.5629077353215266E-2</v>
      </c>
    </row>
    <row r="708" spans="1:7">
      <c r="A708" s="1">
        <v>24</v>
      </c>
      <c r="B708" s="1" t="s">
        <v>30</v>
      </c>
      <c r="C708" s="11">
        <v>0</v>
      </c>
      <c r="D708" s="11">
        <v>0</v>
      </c>
      <c r="E708" s="2">
        <f t="shared" ref="E708:E771" si="23">C708-D708</f>
        <v>0</v>
      </c>
      <c r="F708" s="11">
        <v>0.21</v>
      </c>
      <c r="G708" s="3" t="e">
        <f t="shared" si="22"/>
        <v>#DIV/0!</v>
      </c>
    </row>
    <row r="709" spans="1:7">
      <c r="A709" s="1">
        <v>25</v>
      </c>
      <c r="B709" s="1" t="s">
        <v>30</v>
      </c>
      <c r="C709" s="11">
        <v>20</v>
      </c>
      <c r="D709" s="11">
        <v>19.96</v>
      </c>
      <c r="E709" s="2">
        <f t="shared" si="23"/>
        <v>3.9999999999999147E-2</v>
      </c>
      <c r="F709" s="11">
        <v>0.1</v>
      </c>
      <c r="G709" s="3">
        <f t="shared" si="22"/>
        <v>6.9999999999999576E-3</v>
      </c>
    </row>
    <row r="710" spans="1:7">
      <c r="A710" s="1">
        <v>26</v>
      </c>
      <c r="B710" s="1" t="s">
        <v>30</v>
      </c>
      <c r="C710" s="11">
        <v>72.853999999999999</v>
      </c>
      <c r="D710" s="11">
        <v>72.58</v>
      </c>
      <c r="E710" s="2">
        <f t="shared" si="23"/>
        <v>0.27400000000000091</v>
      </c>
      <c r="F710" s="11">
        <v>0.23</v>
      </c>
      <c r="G710" s="3">
        <f t="shared" si="22"/>
        <v>6.91794548000111E-3</v>
      </c>
    </row>
    <row r="711" spans="1:7">
      <c r="A711" s="1">
        <v>27</v>
      </c>
      <c r="B711" s="1" t="s">
        <v>30</v>
      </c>
      <c r="C711" s="11">
        <v>103.596</v>
      </c>
      <c r="D711" s="11">
        <v>102.85000000000001</v>
      </c>
      <c r="E711" s="2">
        <f t="shared" si="23"/>
        <v>0.74599999999999511</v>
      </c>
      <c r="F711" s="11">
        <v>0.27</v>
      </c>
      <c r="G711" s="3">
        <f t="shared" si="22"/>
        <v>9.8073284682805816E-3</v>
      </c>
    </row>
    <row r="712" spans="1:7">
      <c r="A712" s="1">
        <v>28</v>
      </c>
      <c r="B712" s="1" t="s">
        <v>30</v>
      </c>
      <c r="C712" s="11">
        <v>0</v>
      </c>
      <c r="D712" s="11">
        <v>0</v>
      </c>
      <c r="E712" s="2">
        <f t="shared" si="23"/>
        <v>0</v>
      </c>
      <c r="F712" s="11">
        <v>0.26500000000000001</v>
      </c>
      <c r="G712" s="3" t="e">
        <f t="shared" si="22"/>
        <v>#DIV/0!</v>
      </c>
    </row>
    <row r="713" spans="1:7">
      <c r="A713" s="1">
        <v>29</v>
      </c>
      <c r="B713" s="1" t="s">
        <v>30</v>
      </c>
      <c r="C713" s="11">
        <v>180</v>
      </c>
      <c r="D713" s="11">
        <v>178.94</v>
      </c>
      <c r="E713" s="2">
        <f t="shared" si="23"/>
        <v>1.0600000000000023</v>
      </c>
      <c r="F713" s="11">
        <v>0.25</v>
      </c>
      <c r="G713" s="3">
        <f t="shared" si="22"/>
        <v>7.2777777777777901E-3</v>
      </c>
    </row>
    <row r="714" spans="1:7">
      <c r="A714" s="1">
        <v>30</v>
      </c>
      <c r="B714" s="1" t="s">
        <v>30</v>
      </c>
      <c r="C714" s="11">
        <v>20</v>
      </c>
      <c r="D714" s="11">
        <v>19.78</v>
      </c>
      <c r="E714" s="2">
        <f t="shared" si="23"/>
        <v>0.21999999999999886</v>
      </c>
      <c r="F714" s="11">
        <v>0.64500000000000002</v>
      </c>
      <c r="G714" s="3">
        <f t="shared" si="22"/>
        <v>4.3249999999999941E-2</v>
      </c>
    </row>
    <row r="715" spans="1:7">
      <c r="A715" s="1">
        <v>31</v>
      </c>
      <c r="B715" s="1" t="s">
        <v>30</v>
      </c>
      <c r="C715" s="11">
        <v>40</v>
      </c>
      <c r="D715" s="11">
        <v>39.65</v>
      </c>
      <c r="E715" s="2">
        <f t="shared" si="23"/>
        <v>0.35000000000000142</v>
      </c>
      <c r="F715" s="11">
        <v>0.16</v>
      </c>
      <c r="G715" s="3">
        <f t="shared" si="22"/>
        <v>1.2750000000000036E-2</v>
      </c>
    </row>
    <row r="716" spans="1:7">
      <c r="A716" s="1">
        <v>1</v>
      </c>
      <c r="B716" s="1" t="s">
        <v>31</v>
      </c>
      <c r="C716" s="11">
        <v>40</v>
      </c>
      <c r="D716" s="11">
        <v>39.380000000000003</v>
      </c>
      <c r="E716" s="2">
        <f t="shared" si="23"/>
        <v>0.61999999999999744</v>
      </c>
      <c r="F716" s="11">
        <v>0.104</v>
      </c>
      <c r="G716" s="3">
        <f t="shared" si="22"/>
        <v>1.8099999999999936E-2</v>
      </c>
    </row>
    <row r="717" spans="1:7">
      <c r="A717" s="1">
        <v>2</v>
      </c>
      <c r="B717" s="1" t="s">
        <v>31</v>
      </c>
      <c r="C717" s="11">
        <v>120</v>
      </c>
      <c r="D717" s="11">
        <v>119.18</v>
      </c>
      <c r="E717" s="2">
        <f t="shared" si="23"/>
        <v>0.81999999999999318</v>
      </c>
      <c r="F717" s="11">
        <v>0.38900000000000001</v>
      </c>
      <c r="G717" s="3">
        <f t="shared" si="22"/>
        <v>1.0074999999999943E-2</v>
      </c>
    </row>
    <row r="718" spans="1:7">
      <c r="A718" s="1">
        <v>3</v>
      </c>
      <c r="B718" s="1" t="s">
        <v>31</v>
      </c>
      <c r="C718" s="11">
        <v>160</v>
      </c>
      <c r="D718" s="11">
        <v>159.44999999999999</v>
      </c>
      <c r="E718" s="2">
        <f t="shared" si="23"/>
        <v>0.55000000000001137</v>
      </c>
      <c r="F718" s="11">
        <v>0.435</v>
      </c>
      <c r="G718" s="3">
        <f t="shared" si="22"/>
        <v>6.1562500000000714E-3</v>
      </c>
    </row>
    <row r="719" spans="1:7">
      <c r="A719" s="1">
        <v>4</v>
      </c>
      <c r="B719" s="1" t="s">
        <v>31</v>
      </c>
      <c r="C719" s="11">
        <v>160</v>
      </c>
      <c r="D719" s="11">
        <v>158.51</v>
      </c>
      <c r="E719" s="2">
        <f t="shared" si="23"/>
        <v>1.4900000000000091</v>
      </c>
      <c r="F719" s="11">
        <v>0.32</v>
      </c>
      <c r="G719" s="3">
        <f t="shared" si="22"/>
        <v>1.1312500000000057E-2</v>
      </c>
    </row>
    <row r="720" spans="1:7">
      <c r="A720" s="1">
        <v>5</v>
      </c>
      <c r="B720" s="1" t="s">
        <v>31</v>
      </c>
      <c r="C720" s="11">
        <v>80</v>
      </c>
      <c r="D720" s="11">
        <v>78.8</v>
      </c>
      <c r="E720" s="2">
        <f t="shared" si="23"/>
        <v>1.2000000000000028</v>
      </c>
      <c r="F720" s="11">
        <v>0.21299999999999999</v>
      </c>
      <c r="G720" s="3">
        <f t="shared" si="22"/>
        <v>1.7662500000000036E-2</v>
      </c>
    </row>
    <row r="721" spans="1:7">
      <c r="A721" s="1">
        <v>6</v>
      </c>
      <c r="B721" s="1" t="s">
        <v>31</v>
      </c>
      <c r="C721" s="11">
        <v>0</v>
      </c>
      <c r="D721" s="11">
        <v>0</v>
      </c>
      <c r="E721" s="2">
        <f t="shared" si="23"/>
        <v>0</v>
      </c>
      <c r="F721" s="11">
        <v>0.218</v>
      </c>
      <c r="G721" s="3" t="e">
        <f t="shared" si="22"/>
        <v>#DIV/0!</v>
      </c>
    </row>
    <row r="722" spans="1:7">
      <c r="A722" s="1">
        <v>7</v>
      </c>
      <c r="B722" s="1" t="s">
        <v>31</v>
      </c>
      <c r="C722" s="11">
        <v>40</v>
      </c>
      <c r="D722" s="11">
        <v>36.67</v>
      </c>
      <c r="E722" s="2">
        <f t="shared" si="23"/>
        <v>3.3299999999999983</v>
      </c>
      <c r="F722" s="11">
        <v>0.121</v>
      </c>
      <c r="G722" s="3">
        <f t="shared" si="22"/>
        <v>8.6274999999999963E-2</v>
      </c>
    </row>
    <row r="723" spans="1:7">
      <c r="A723" s="1">
        <v>10</v>
      </c>
      <c r="B723" s="1" t="s">
        <v>31</v>
      </c>
      <c r="C723" s="11">
        <v>60</v>
      </c>
      <c r="D723" s="11">
        <v>59.8</v>
      </c>
      <c r="E723" s="2">
        <f t="shared" si="23"/>
        <v>0.20000000000000284</v>
      </c>
      <c r="F723" s="11">
        <v>0.32200000000000001</v>
      </c>
      <c r="G723" s="3">
        <f t="shared" si="22"/>
        <v>8.700000000000048E-3</v>
      </c>
    </row>
    <row r="724" spans="1:7">
      <c r="A724" s="1">
        <v>8</v>
      </c>
      <c r="B724" s="1" t="s">
        <v>31</v>
      </c>
      <c r="C724" s="11">
        <v>20</v>
      </c>
      <c r="D724" s="11">
        <v>19.8</v>
      </c>
      <c r="E724" s="2">
        <f t="shared" si="23"/>
        <v>0.19999999999999929</v>
      </c>
      <c r="F724" s="11">
        <v>0.122</v>
      </c>
      <c r="G724" s="3">
        <f t="shared" si="22"/>
        <v>1.6099999999999965E-2</v>
      </c>
    </row>
    <row r="725" spans="1:7">
      <c r="A725" s="1">
        <v>9</v>
      </c>
      <c r="B725" s="1" t="s">
        <v>31</v>
      </c>
      <c r="C725" s="11">
        <v>40</v>
      </c>
      <c r="D725" s="11">
        <v>39.86</v>
      </c>
      <c r="E725" s="2">
        <f t="shared" si="23"/>
        <v>0.14000000000000057</v>
      </c>
      <c r="F725" s="11">
        <v>0.112</v>
      </c>
      <c r="G725" s="3">
        <f t="shared" si="22"/>
        <v>6.3000000000000139E-3</v>
      </c>
    </row>
    <row r="726" spans="1:7">
      <c r="A726" s="1">
        <v>11</v>
      </c>
      <c r="B726" s="1" t="s">
        <v>31</v>
      </c>
      <c r="C726" s="11">
        <v>31.36</v>
      </c>
      <c r="D726" s="11">
        <v>31.28</v>
      </c>
      <c r="E726" s="2">
        <f t="shared" si="23"/>
        <v>7.9999999999998295E-2</v>
      </c>
      <c r="F726" s="11">
        <v>0.28899999999999998</v>
      </c>
      <c r="G726" s="3">
        <f t="shared" si="22"/>
        <v>1.1766581632653006E-2</v>
      </c>
    </row>
    <row r="727" spans="1:7">
      <c r="A727" s="1">
        <v>12</v>
      </c>
      <c r="B727" s="1" t="s">
        <v>31</v>
      </c>
      <c r="C727" s="11">
        <v>163.80000000000001</v>
      </c>
      <c r="D727" s="11">
        <v>162.81</v>
      </c>
      <c r="E727" s="2">
        <f t="shared" si="23"/>
        <v>0.99000000000000909</v>
      </c>
      <c r="F727" s="11">
        <v>0.67700000000000005</v>
      </c>
      <c r="G727" s="3">
        <f t="shared" si="22"/>
        <v>1.0177045177045232E-2</v>
      </c>
    </row>
    <row r="728" spans="1:7">
      <c r="A728" s="1">
        <v>13</v>
      </c>
      <c r="B728" s="1" t="s">
        <v>31</v>
      </c>
      <c r="C728" s="11">
        <v>55.34</v>
      </c>
      <c r="D728" s="11">
        <v>54.7</v>
      </c>
      <c r="E728" s="2">
        <f t="shared" si="23"/>
        <v>0.64000000000000057</v>
      </c>
      <c r="F728" s="11">
        <v>0.21199999999999999</v>
      </c>
      <c r="G728" s="3">
        <f t="shared" si="22"/>
        <v>1.5395735453559821E-2</v>
      </c>
    </row>
    <row r="729" spans="1:7">
      <c r="A729" s="1">
        <v>14</v>
      </c>
      <c r="B729" s="1" t="s">
        <v>31</v>
      </c>
      <c r="C729" s="11">
        <v>0</v>
      </c>
      <c r="D729" s="11">
        <v>0</v>
      </c>
      <c r="E729" s="2">
        <f t="shared" si="23"/>
        <v>0</v>
      </c>
      <c r="F729" s="11">
        <v>0.23100000000000001</v>
      </c>
      <c r="G729" s="3" t="e">
        <f t="shared" si="22"/>
        <v>#DIV/0!</v>
      </c>
    </row>
    <row r="730" spans="1:7">
      <c r="A730" s="1">
        <v>15</v>
      </c>
      <c r="B730" s="1" t="s">
        <v>31</v>
      </c>
      <c r="C730" s="11">
        <v>0</v>
      </c>
      <c r="D730" s="11">
        <v>0</v>
      </c>
      <c r="E730" s="2">
        <f t="shared" si="23"/>
        <v>0</v>
      </c>
      <c r="F730" s="11">
        <v>0.2</v>
      </c>
      <c r="G730" s="3" t="e">
        <f t="shared" si="22"/>
        <v>#DIV/0!</v>
      </c>
    </row>
    <row r="731" spans="1:7">
      <c r="A731" s="1">
        <v>16</v>
      </c>
      <c r="B731" s="1" t="s">
        <v>31</v>
      </c>
      <c r="C731" s="11">
        <v>148.96</v>
      </c>
      <c r="D731" s="11">
        <v>147.84</v>
      </c>
      <c r="E731" s="2">
        <f t="shared" si="23"/>
        <v>1.1200000000000045</v>
      </c>
      <c r="F731" s="11">
        <v>0.876</v>
      </c>
      <c r="G731" s="3">
        <f t="shared" si="22"/>
        <v>1.3399570354457602E-2</v>
      </c>
    </row>
    <row r="732" spans="1:7">
      <c r="A732" s="1">
        <v>17</v>
      </c>
      <c r="B732" s="1" t="s">
        <v>31</v>
      </c>
      <c r="C732" s="11">
        <v>21.32</v>
      </c>
      <c r="D732" s="11">
        <v>21.18</v>
      </c>
      <c r="E732" s="2">
        <f t="shared" si="23"/>
        <v>0.14000000000000057</v>
      </c>
      <c r="F732" s="11">
        <v>0.32100000000000001</v>
      </c>
      <c r="G732" s="3">
        <f t="shared" si="22"/>
        <v>2.1622889305816163E-2</v>
      </c>
    </row>
    <row r="733" spans="1:7">
      <c r="A733" s="1">
        <v>18</v>
      </c>
      <c r="B733" s="1" t="s">
        <v>31</v>
      </c>
      <c r="C733" s="11">
        <v>52.2</v>
      </c>
      <c r="D733" s="11">
        <v>51.45</v>
      </c>
      <c r="E733" s="2">
        <f t="shared" si="23"/>
        <v>0.75</v>
      </c>
      <c r="F733" s="11">
        <v>0.13200000000000001</v>
      </c>
      <c r="G733" s="3">
        <f t="shared" si="22"/>
        <v>1.6896551724137929E-2</v>
      </c>
    </row>
    <row r="734" spans="1:7">
      <c r="A734" s="1">
        <v>19</v>
      </c>
      <c r="B734" s="1" t="s">
        <v>31</v>
      </c>
      <c r="C734" s="11">
        <v>20</v>
      </c>
      <c r="D734" s="11">
        <v>19.7</v>
      </c>
      <c r="E734" s="2">
        <f t="shared" si="23"/>
        <v>0.30000000000000071</v>
      </c>
      <c r="F734" s="11">
        <v>0.29799999999999999</v>
      </c>
      <c r="G734" s="3">
        <f t="shared" si="22"/>
        <v>2.9900000000000038E-2</v>
      </c>
    </row>
    <row r="735" spans="1:7">
      <c r="A735" s="1">
        <v>20</v>
      </c>
      <c r="B735" s="1" t="s">
        <v>31</v>
      </c>
      <c r="C735" s="11">
        <v>65.27</v>
      </c>
      <c r="D735" s="11">
        <v>64.680000000000007</v>
      </c>
      <c r="E735" s="2">
        <f t="shared" si="23"/>
        <v>0.5899999999999892</v>
      </c>
      <c r="F735" s="11">
        <v>0.224</v>
      </c>
      <c r="G735" s="3">
        <f t="shared" si="22"/>
        <v>1.2471273172973637E-2</v>
      </c>
    </row>
    <row r="736" spans="1:7">
      <c r="A736" s="1">
        <v>21</v>
      </c>
      <c r="B736" s="1" t="s">
        <v>31</v>
      </c>
      <c r="C736" s="11">
        <v>20</v>
      </c>
      <c r="D736" s="11">
        <v>19.87</v>
      </c>
      <c r="E736" s="2">
        <f t="shared" si="23"/>
        <v>0.12999999999999901</v>
      </c>
      <c r="F736" s="11">
        <v>8.8999999999999996E-2</v>
      </c>
      <c r="G736" s="3">
        <f t="shared" si="22"/>
        <v>1.0949999999999949E-2</v>
      </c>
    </row>
    <row r="737" spans="1:7">
      <c r="A737" s="1">
        <v>22</v>
      </c>
      <c r="B737" s="1" t="s">
        <v>31</v>
      </c>
      <c r="C737" s="11">
        <v>120</v>
      </c>
      <c r="D737" s="11">
        <v>119.66</v>
      </c>
      <c r="E737" s="2">
        <f t="shared" si="23"/>
        <v>0.34000000000000341</v>
      </c>
      <c r="F737" s="11">
        <v>0.44500000000000001</v>
      </c>
      <c r="G737" s="3">
        <f t="shared" si="22"/>
        <v>6.5416666666666956E-3</v>
      </c>
    </row>
    <row r="738" spans="1:7">
      <c r="A738" s="1">
        <v>23</v>
      </c>
      <c r="B738" s="1" t="s">
        <v>31</v>
      </c>
      <c r="C738" s="11">
        <v>40</v>
      </c>
      <c r="D738" s="11">
        <v>39.75</v>
      </c>
      <c r="E738" s="2">
        <f t="shared" si="23"/>
        <v>0.25</v>
      </c>
      <c r="F738" s="11">
        <v>0.254</v>
      </c>
      <c r="G738" s="3">
        <f t="shared" si="22"/>
        <v>1.26E-2</v>
      </c>
    </row>
    <row r="739" spans="1:7">
      <c r="A739" s="1">
        <v>24</v>
      </c>
      <c r="B739" s="1" t="s">
        <v>31</v>
      </c>
      <c r="C739" s="11">
        <v>70.349999999999994</v>
      </c>
      <c r="D739" s="11">
        <v>69.010000000000005</v>
      </c>
      <c r="E739" s="2">
        <f t="shared" si="23"/>
        <v>1.3399999999999892</v>
      </c>
      <c r="F739" s="11">
        <v>0.36599999999999999</v>
      </c>
      <c r="G739" s="3">
        <f t="shared" si="22"/>
        <v>2.4250177683013355E-2</v>
      </c>
    </row>
    <row r="740" spans="1:7">
      <c r="A740" s="1">
        <v>25</v>
      </c>
      <c r="B740" s="1" t="s">
        <v>31</v>
      </c>
      <c r="C740" s="11">
        <v>64.44</v>
      </c>
      <c r="D740" s="11">
        <v>62.89</v>
      </c>
      <c r="E740" s="2">
        <f t="shared" si="23"/>
        <v>1.5499999999999972</v>
      </c>
      <c r="F740" s="11">
        <v>0.255</v>
      </c>
      <c r="G740" s="3">
        <f t="shared" si="22"/>
        <v>2.8010552451893191E-2</v>
      </c>
    </row>
    <row r="741" spans="1:7">
      <c r="A741" s="1">
        <v>26</v>
      </c>
      <c r="B741" s="1" t="s">
        <v>31</v>
      </c>
      <c r="C741" s="11">
        <v>0</v>
      </c>
      <c r="D741" s="11">
        <v>0</v>
      </c>
      <c r="E741" s="2">
        <f t="shared" si="23"/>
        <v>0</v>
      </c>
      <c r="F741" s="11">
        <v>0.42099999999999999</v>
      </c>
      <c r="G741" s="3" t="e">
        <f t="shared" ref="G741:G804" si="24">(E741+F741)/C741</f>
        <v>#DIV/0!</v>
      </c>
    </row>
    <row r="742" spans="1:7">
      <c r="A742" s="1">
        <v>27</v>
      </c>
      <c r="B742" s="1" t="s">
        <v>31</v>
      </c>
      <c r="C742" s="11">
        <v>20</v>
      </c>
      <c r="D742" s="11">
        <v>19.93</v>
      </c>
      <c r="E742" s="2">
        <f t="shared" si="23"/>
        <v>7.0000000000000284E-2</v>
      </c>
      <c r="F742" s="11">
        <v>0.189</v>
      </c>
      <c r="G742" s="3">
        <f t="shared" si="24"/>
        <v>1.2950000000000014E-2</v>
      </c>
    </row>
    <row r="743" spans="1:7">
      <c r="A743" s="1">
        <v>28</v>
      </c>
      <c r="B743" s="1" t="s">
        <v>31</v>
      </c>
      <c r="C743" s="11">
        <v>140</v>
      </c>
      <c r="D743" s="11">
        <v>137.99</v>
      </c>
      <c r="E743" s="2">
        <f t="shared" si="23"/>
        <v>2.0099999999999909</v>
      </c>
      <c r="F743" s="11">
        <v>0.26600000000000001</v>
      </c>
      <c r="G743" s="3">
        <f t="shared" si="24"/>
        <v>1.6257142857142793E-2</v>
      </c>
    </row>
    <row r="744" spans="1:7">
      <c r="A744" s="1">
        <v>29</v>
      </c>
      <c r="B744" s="1" t="s">
        <v>31</v>
      </c>
      <c r="C744" s="11">
        <v>60</v>
      </c>
      <c r="D744" s="11">
        <v>59.45</v>
      </c>
      <c r="E744" s="2">
        <f t="shared" si="23"/>
        <v>0.54999999999999716</v>
      </c>
      <c r="F744" s="11">
        <v>0.311</v>
      </c>
      <c r="G744" s="3">
        <f t="shared" si="24"/>
        <v>1.4349999999999951E-2</v>
      </c>
    </row>
    <row r="745" spans="1:7">
      <c r="A745" s="1">
        <v>30</v>
      </c>
      <c r="B745" s="1" t="s">
        <v>31</v>
      </c>
      <c r="C745" s="11">
        <v>0</v>
      </c>
      <c r="D745" s="11">
        <v>0</v>
      </c>
      <c r="E745" s="2">
        <f t="shared" si="23"/>
        <v>0</v>
      </c>
      <c r="F745" s="11">
        <v>0.19800000000000001</v>
      </c>
      <c r="G745" s="3" t="e">
        <f t="shared" si="24"/>
        <v>#DIV/0!</v>
      </c>
    </row>
    <row r="746" spans="1:7">
      <c r="A746" s="1">
        <v>31</v>
      </c>
      <c r="B746" s="1" t="s">
        <v>31</v>
      </c>
      <c r="C746" s="11">
        <v>40</v>
      </c>
      <c r="D746" s="11">
        <v>39.880000000000003</v>
      </c>
      <c r="E746" s="2">
        <f t="shared" si="23"/>
        <v>0.11999999999999744</v>
      </c>
      <c r="F746" s="11">
        <v>0.20100000000000001</v>
      </c>
      <c r="G746" s="3">
        <f t="shared" si="24"/>
        <v>8.0249999999999367E-3</v>
      </c>
    </row>
    <row r="747" spans="1:7">
      <c r="A747" s="1">
        <v>1</v>
      </c>
      <c r="B747" s="1" t="s">
        <v>32</v>
      </c>
      <c r="C747" s="11">
        <v>20</v>
      </c>
      <c r="D747" s="11">
        <v>19.89</v>
      </c>
      <c r="E747" s="2">
        <f t="shared" si="23"/>
        <v>0.10999999999999943</v>
      </c>
      <c r="F747" s="11">
        <v>0.11600000000000001</v>
      </c>
      <c r="G747" s="3">
        <f t="shared" si="24"/>
        <v>1.1299999999999972E-2</v>
      </c>
    </row>
    <row r="748" spans="1:7">
      <c r="A748" s="1">
        <v>2</v>
      </c>
      <c r="B748" s="1" t="s">
        <v>32</v>
      </c>
      <c r="C748" s="11">
        <v>50</v>
      </c>
      <c r="D748" s="11">
        <v>49.75</v>
      </c>
      <c r="E748" s="2">
        <f t="shared" si="23"/>
        <v>0.25</v>
      </c>
      <c r="F748" s="11">
        <v>0.10199999999999999</v>
      </c>
      <c r="G748" s="3">
        <f t="shared" si="24"/>
        <v>7.0399999999999994E-3</v>
      </c>
    </row>
    <row r="749" spans="1:7">
      <c r="A749" s="1">
        <v>3</v>
      </c>
      <c r="B749" s="1" t="s">
        <v>32</v>
      </c>
      <c r="C749" s="11">
        <v>150</v>
      </c>
      <c r="D749" s="11">
        <v>148.06</v>
      </c>
      <c r="E749" s="2">
        <f t="shared" si="23"/>
        <v>1.9399999999999977</v>
      </c>
      <c r="F749" s="11">
        <v>0.10199999999999999</v>
      </c>
      <c r="G749" s="3">
        <f t="shared" si="24"/>
        <v>1.3613333333333318E-2</v>
      </c>
    </row>
    <row r="750" spans="1:7">
      <c r="A750" s="1">
        <v>4</v>
      </c>
      <c r="B750" s="1" t="s">
        <v>32</v>
      </c>
      <c r="C750" s="11">
        <v>60</v>
      </c>
      <c r="D750" s="11">
        <v>59.59</v>
      </c>
      <c r="E750" s="2">
        <f t="shared" si="23"/>
        <v>0.40999999999999659</v>
      </c>
      <c r="F750" s="11">
        <v>0.187</v>
      </c>
      <c r="G750" s="3">
        <f t="shared" si="24"/>
        <v>9.9499999999999433E-3</v>
      </c>
    </row>
    <row r="751" spans="1:7">
      <c r="A751" s="1">
        <v>5</v>
      </c>
      <c r="B751" s="1" t="s">
        <v>32</v>
      </c>
      <c r="C751" s="11">
        <v>0</v>
      </c>
      <c r="D751" s="11">
        <v>0</v>
      </c>
      <c r="E751" s="2">
        <f t="shared" si="23"/>
        <v>0</v>
      </c>
      <c r="F751" s="11">
        <v>0.10100000000000001</v>
      </c>
      <c r="G751" s="3" t="e">
        <f t="shared" si="24"/>
        <v>#DIV/0!</v>
      </c>
    </row>
    <row r="752" spans="1:7">
      <c r="A752" s="1">
        <v>6</v>
      </c>
      <c r="B752" s="1" t="s">
        <v>32</v>
      </c>
      <c r="C752" s="11">
        <v>40</v>
      </c>
      <c r="D752" s="11">
        <v>39.81</v>
      </c>
      <c r="E752" s="2">
        <f t="shared" si="23"/>
        <v>0.18999999999999773</v>
      </c>
      <c r="F752" s="11">
        <v>0.104</v>
      </c>
      <c r="G752" s="3">
        <f t="shared" si="24"/>
        <v>7.3499999999999425E-3</v>
      </c>
    </row>
    <row r="753" spans="1:7">
      <c r="A753" s="1">
        <v>7</v>
      </c>
      <c r="B753" s="1" t="s">
        <v>32</v>
      </c>
      <c r="C753" s="11">
        <v>0</v>
      </c>
      <c r="D753" s="11">
        <v>0</v>
      </c>
      <c r="E753" s="2">
        <f t="shared" si="23"/>
        <v>0</v>
      </c>
      <c r="F753" s="11">
        <v>0.14000000000000001</v>
      </c>
      <c r="G753" s="3" t="e">
        <f t="shared" si="24"/>
        <v>#DIV/0!</v>
      </c>
    </row>
    <row r="754" spans="1:7">
      <c r="A754" s="1">
        <v>10</v>
      </c>
      <c r="B754" s="1" t="s">
        <v>32</v>
      </c>
      <c r="C754" s="11">
        <v>66.19</v>
      </c>
      <c r="D754" s="11">
        <v>65.75</v>
      </c>
      <c r="E754" s="2">
        <f t="shared" si="23"/>
        <v>0.43999999999999773</v>
      </c>
      <c r="F754" s="11">
        <v>0.192</v>
      </c>
      <c r="G754" s="3">
        <f t="shared" si="24"/>
        <v>9.5482701314397594E-3</v>
      </c>
    </row>
    <row r="755" spans="1:7">
      <c r="A755" s="1">
        <v>8</v>
      </c>
      <c r="B755" s="1" t="s">
        <v>32</v>
      </c>
      <c r="C755" s="11">
        <v>60</v>
      </c>
      <c r="D755" s="11">
        <v>59.67</v>
      </c>
      <c r="E755" s="2">
        <f t="shared" si="23"/>
        <v>0.32999999999999829</v>
      </c>
      <c r="F755" s="11">
        <v>0.152</v>
      </c>
      <c r="G755" s="3">
        <f t="shared" si="24"/>
        <v>8.0333333333333055E-3</v>
      </c>
    </row>
    <row r="756" spans="1:7">
      <c r="A756" s="1">
        <v>9</v>
      </c>
      <c r="B756" s="1" t="s">
        <v>32</v>
      </c>
      <c r="C756" s="11">
        <v>0</v>
      </c>
      <c r="D756" s="11">
        <v>0</v>
      </c>
      <c r="E756" s="2">
        <f t="shared" si="23"/>
        <v>0</v>
      </c>
      <c r="F756" s="11">
        <v>0.154</v>
      </c>
      <c r="G756" s="3" t="e">
        <f t="shared" si="24"/>
        <v>#DIV/0!</v>
      </c>
    </row>
    <row r="757" spans="1:7">
      <c r="A757" s="1">
        <v>11</v>
      </c>
      <c r="B757" s="1" t="s">
        <v>32</v>
      </c>
      <c r="C757" s="11">
        <v>25.41</v>
      </c>
      <c r="D757" s="11">
        <v>25.2</v>
      </c>
      <c r="E757" s="2">
        <f t="shared" si="23"/>
        <v>0.21000000000000085</v>
      </c>
      <c r="F757" s="11">
        <v>0.108</v>
      </c>
      <c r="G757" s="3">
        <f t="shared" si="24"/>
        <v>1.2514757969303457E-2</v>
      </c>
    </row>
    <row r="758" spans="1:7">
      <c r="A758" s="1">
        <v>12</v>
      </c>
      <c r="B758" s="1" t="s">
        <v>32</v>
      </c>
      <c r="C758" s="11">
        <v>0</v>
      </c>
      <c r="D758" s="11">
        <v>0</v>
      </c>
      <c r="E758" s="2">
        <f t="shared" si="23"/>
        <v>0</v>
      </c>
      <c r="F758" s="11">
        <v>0.10999999999999588</v>
      </c>
      <c r="G758" s="3" t="e">
        <f t="shared" si="24"/>
        <v>#DIV/0!</v>
      </c>
    </row>
    <row r="759" spans="1:7">
      <c r="A759" s="1">
        <v>13</v>
      </c>
      <c r="B759" s="1" t="s">
        <v>32</v>
      </c>
      <c r="C759" s="11">
        <v>22.22</v>
      </c>
      <c r="D759" s="11">
        <v>21.95</v>
      </c>
      <c r="E759" s="2">
        <f t="shared" si="23"/>
        <v>0.26999999999999957</v>
      </c>
      <c r="F759" s="11">
        <v>0.122</v>
      </c>
      <c r="G759" s="3">
        <f t="shared" si="24"/>
        <v>1.7641764176417624E-2</v>
      </c>
    </row>
    <row r="760" spans="1:7">
      <c r="A760" s="1">
        <v>14</v>
      </c>
      <c r="B760" s="1" t="s">
        <v>32</v>
      </c>
      <c r="C760" s="11">
        <v>0</v>
      </c>
      <c r="D760" s="11">
        <v>0</v>
      </c>
      <c r="E760" s="2">
        <f t="shared" si="23"/>
        <v>0</v>
      </c>
      <c r="F760" s="11">
        <v>0.161</v>
      </c>
      <c r="G760" s="3" t="e">
        <f t="shared" si="24"/>
        <v>#DIV/0!</v>
      </c>
    </row>
    <row r="761" spans="1:7">
      <c r="A761" s="1">
        <v>15</v>
      </c>
      <c r="B761" s="1" t="s">
        <v>32</v>
      </c>
      <c r="C761" s="11">
        <v>0</v>
      </c>
      <c r="D761" s="11">
        <v>0</v>
      </c>
      <c r="E761" s="2">
        <f t="shared" si="23"/>
        <v>0</v>
      </c>
      <c r="F761" s="11">
        <v>0.14799999999999999</v>
      </c>
      <c r="G761" s="3" t="e">
        <f t="shared" si="24"/>
        <v>#DIV/0!</v>
      </c>
    </row>
    <row r="762" spans="1:7">
      <c r="A762" s="1">
        <v>16</v>
      </c>
      <c r="B762" s="1" t="s">
        <v>32</v>
      </c>
      <c r="C762" s="11">
        <v>20</v>
      </c>
      <c r="D762" s="11">
        <v>19.89</v>
      </c>
      <c r="E762" s="2">
        <f t="shared" si="23"/>
        <v>0.10999999999999943</v>
      </c>
      <c r="F762" s="11">
        <v>0.152</v>
      </c>
      <c r="G762" s="3">
        <f t="shared" si="24"/>
        <v>1.3099999999999973E-2</v>
      </c>
    </row>
    <row r="763" spans="1:7">
      <c r="A763" s="1">
        <v>17</v>
      </c>
      <c r="B763" s="1" t="s">
        <v>32</v>
      </c>
      <c r="C763" s="11">
        <v>23.43</v>
      </c>
      <c r="D763" s="11">
        <v>23.11</v>
      </c>
      <c r="E763" s="2">
        <f t="shared" si="23"/>
        <v>0.32000000000000028</v>
      </c>
      <c r="F763" s="11">
        <v>0.11</v>
      </c>
      <c r="G763" s="3">
        <f t="shared" si="24"/>
        <v>1.8352539479300056E-2</v>
      </c>
    </row>
    <row r="764" spans="1:7">
      <c r="A764" s="1">
        <v>18</v>
      </c>
      <c r="B764" s="1" t="s">
        <v>32</v>
      </c>
      <c r="C764" s="11">
        <v>0</v>
      </c>
      <c r="D764" s="11">
        <v>0</v>
      </c>
      <c r="E764" s="2">
        <f t="shared" si="23"/>
        <v>0</v>
      </c>
      <c r="F764" s="11">
        <v>0.13900000000000001</v>
      </c>
      <c r="G764" s="3" t="e">
        <f t="shared" si="24"/>
        <v>#DIV/0!</v>
      </c>
    </row>
    <row r="765" spans="1:7">
      <c r="A765" s="1">
        <v>19</v>
      </c>
      <c r="B765" s="1" t="s">
        <v>32</v>
      </c>
      <c r="C765" s="11">
        <v>60</v>
      </c>
      <c r="D765" s="11">
        <v>59.6</v>
      </c>
      <c r="E765" s="2">
        <f t="shared" si="23"/>
        <v>0.39999999999999858</v>
      </c>
      <c r="F765" s="11">
        <v>0.11</v>
      </c>
      <c r="G765" s="3">
        <f t="shared" si="24"/>
        <v>8.4999999999999763E-3</v>
      </c>
    </row>
    <row r="766" spans="1:7">
      <c r="A766" s="1">
        <v>20</v>
      </c>
      <c r="B766" s="1" t="s">
        <v>32</v>
      </c>
      <c r="C766" s="11">
        <v>20</v>
      </c>
      <c r="D766" s="11">
        <v>19.690000000000001</v>
      </c>
      <c r="E766" s="2">
        <f t="shared" si="23"/>
        <v>0.30999999999999872</v>
      </c>
      <c r="F766" s="11">
        <v>0.04</v>
      </c>
      <c r="G766" s="3">
        <f t="shared" si="24"/>
        <v>1.7499999999999936E-2</v>
      </c>
    </row>
    <row r="767" spans="1:7">
      <c r="A767" s="1">
        <v>21</v>
      </c>
      <c r="B767" s="1" t="s">
        <v>32</v>
      </c>
      <c r="C767" s="11">
        <v>0</v>
      </c>
      <c r="D767" s="11">
        <v>0</v>
      </c>
      <c r="E767" s="2">
        <f t="shared" si="23"/>
        <v>0</v>
      </c>
      <c r="F767" s="11">
        <v>0.14799999999999999</v>
      </c>
      <c r="G767" s="3" t="e">
        <f t="shared" si="24"/>
        <v>#DIV/0!</v>
      </c>
    </row>
    <row r="768" spans="1:7">
      <c r="A768" s="1">
        <v>22</v>
      </c>
      <c r="B768" s="1" t="s">
        <v>32</v>
      </c>
      <c r="C768" s="11">
        <v>0</v>
      </c>
      <c r="D768" s="11">
        <v>0</v>
      </c>
      <c r="E768" s="2">
        <f t="shared" si="23"/>
        <v>0</v>
      </c>
      <c r="F768" s="11">
        <v>0.19400000000000001</v>
      </c>
      <c r="G768" s="3" t="e">
        <f t="shared" si="24"/>
        <v>#DIV/0!</v>
      </c>
    </row>
    <row r="769" spans="1:7">
      <c r="A769" s="1">
        <v>23</v>
      </c>
      <c r="B769" s="1" t="s">
        <v>32</v>
      </c>
      <c r="C769" s="11">
        <v>40</v>
      </c>
      <c r="D769" s="11">
        <v>39.770000000000003</v>
      </c>
      <c r="E769" s="2">
        <f t="shared" si="23"/>
        <v>0.22999999999999687</v>
      </c>
      <c r="F769" s="11">
        <v>0.113</v>
      </c>
      <c r="G769" s="3">
        <f t="shared" si="24"/>
        <v>8.5749999999999212E-3</v>
      </c>
    </row>
    <row r="770" spans="1:7">
      <c r="A770" s="1">
        <v>24</v>
      </c>
      <c r="B770" s="1" t="s">
        <v>32</v>
      </c>
      <c r="C770" s="11">
        <v>20.71</v>
      </c>
      <c r="D770" s="11">
        <v>20.56</v>
      </c>
      <c r="E770" s="2">
        <f t="shared" si="23"/>
        <v>0.15000000000000213</v>
      </c>
      <c r="F770" s="11">
        <v>0.122</v>
      </c>
      <c r="G770" s="3">
        <f t="shared" si="24"/>
        <v>1.3133751810719562E-2</v>
      </c>
    </row>
    <row r="771" spans="1:7">
      <c r="A771" s="1">
        <v>25</v>
      </c>
      <c r="B771" s="1" t="s">
        <v>32</v>
      </c>
      <c r="C771" s="11">
        <v>20</v>
      </c>
      <c r="D771" s="11">
        <v>19.899999999999999</v>
      </c>
      <c r="E771" s="2">
        <f t="shared" si="23"/>
        <v>0.10000000000000142</v>
      </c>
      <c r="F771" s="11">
        <v>0.18</v>
      </c>
      <c r="G771" s="3">
        <f t="shared" si="24"/>
        <v>1.4000000000000071E-2</v>
      </c>
    </row>
    <row r="772" spans="1:7">
      <c r="A772" s="1">
        <v>26</v>
      </c>
      <c r="B772" s="1" t="s">
        <v>32</v>
      </c>
      <c r="C772" s="11">
        <v>0</v>
      </c>
      <c r="D772" s="11">
        <v>0</v>
      </c>
      <c r="E772" s="2">
        <f t="shared" ref="E772:E835" si="25">C772-D772</f>
        <v>0</v>
      </c>
      <c r="F772" s="11">
        <v>0.114</v>
      </c>
      <c r="G772" s="3" t="e">
        <f t="shared" si="24"/>
        <v>#DIV/0!</v>
      </c>
    </row>
    <row r="773" spans="1:7">
      <c r="A773" s="1">
        <v>27</v>
      </c>
      <c r="B773" s="1" t="s">
        <v>32</v>
      </c>
      <c r="C773" s="11">
        <v>45.88</v>
      </c>
      <c r="D773" s="11">
        <v>45.46</v>
      </c>
      <c r="E773" s="2">
        <f t="shared" si="25"/>
        <v>0.42000000000000171</v>
      </c>
      <c r="F773" s="11">
        <v>0.17100000000000001</v>
      </c>
      <c r="G773" s="3">
        <f t="shared" si="24"/>
        <v>1.2881429816913726E-2</v>
      </c>
    </row>
    <row r="774" spans="1:7">
      <c r="A774" s="1">
        <v>28</v>
      </c>
      <c r="B774" s="1" t="s">
        <v>32</v>
      </c>
      <c r="C774" s="11">
        <v>20</v>
      </c>
      <c r="D774" s="11">
        <v>19.89</v>
      </c>
      <c r="E774" s="2">
        <f t="shared" si="25"/>
        <v>0.10999999999999943</v>
      </c>
      <c r="F774" s="11">
        <v>0.17599999999999999</v>
      </c>
      <c r="G774" s="3">
        <f t="shared" si="24"/>
        <v>1.4299999999999971E-2</v>
      </c>
    </row>
    <row r="775" spans="1:7">
      <c r="A775" s="1">
        <v>29</v>
      </c>
      <c r="B775" s="1" t="s">
        <v>32</v>
      </c>
      <c r="C775" s="11">
        <v>0</v>
      </c>
      <c r="D775" s="11">
        <v>0</v>
      </c>
      <c r="E775" s="2">
        <f t="shared" si="25"/>
        <v>0</v>
      </c>
      <c r="F775" s="11">
        <v>0.1</v>
      </c>
      <c r="G775" s="3" t="e">
        <f t="shared" si="24"/>
        <v>#DIV/0!</v>
      </c>
    </row>
    <row r="776" spans="1:7">
      <c r="A776" s="1">
        <v>30</v>
      </c>
      <c r="B776" s="1" t="s">
        <v>32</v>
      </c>
      <c r="C776" s="11">
        <v>20</v>
      </c>
      <c r="D776" s="11">
        <v>19.86</v>
      </c>
      <c r="E776" s="2">
        <f t="shared" si="25"/>
        <v>0.14000000000000057</v>
      </c>
      <c r="F776" s="11">
        <v>0.13200000000000001</v>
      </c>
      <c r="G776" s="3">
        <f t="shared" si="24"/>
        <v>1.3600000000000029E-2</v>
      </c>
    </row>
    <row r="777" spans="1:7">
      <c r="A777" s="1">
        <v>31</v>
      </c>
      <c r="B777" s="1" t="s">
        <v>32</v>
      </c>
      <c r="C777" s="11">
        <v>20</v>
      </c>
      <c r="D777" s="11">
        <v>19.93</v>
      </c>
      <c r="E777" s="2">
        <f t="shared" si="25"/>
        <v>7.0000000000000284E-2</v>
      </c>
      <c r="F777" s="11">
        <v>0.123</v>
      </c>
      <c r="G777" s="3">
        <f t="shared" si="24"/>
        <v>9.6500000000000145E-3</v>
      </c>
    </row>
    <row r="778" spans="1:7">
      <c r="A778" s="1">
        <v>1</v>
      </c>
      <c r="B778" s="1" t="s">
        <v>33</v>
      </c>
      <c r="C778" s="11">
        <v>40</v>
      </c>
      <c r="D778" s="11">
        <v>39.67</v>
      </c>
      <c r="E778" s="2">
        <f t="shared" si="25"/>
        <v>0.32999999999999829</v>
      </c>
      <c r="F778" s="11">
        <v>0.64200000000000002</v>
      </c>
      <c r="G778" s="3">
        <f t="shared" si="24"/>
        <v>2.4299999999999957E-2</v>
      </c>
    </row>
    <row r="779" spans="1:7">
      <c r="A779" s="1">
        <v>2</v>
      </c>
      <c r="B779" s="1" t="s">
        <v>33</v>
      </c>
      <c r="C779" s="11">
        <v>20</v>
      </c>
      <c r="D779" s="11">
        <v>19.84</v>
      </c>
      <c r="E779" s="2">
        <f t="shared" si="25"/>
        <v>0.16000000000000014</v>
      </c>
      <c r="F779" s="11">
        <v>0.32400000000000001</v>
      </c>
      <c r="G779" s="3">
        <f t="shared" si="24"/>
        <v>2.4200000000000006E-2</v>
      </c>
    </row>
    <row r="780" spans="1:7">
      <c r="A780" s="1">
        <v>3</v>
      </c>
      <c r="B780" s="1" t="s">
        <v>33</v>
      </c>
      <c r="C780" s="11">
        <v>40</v>
      </c>
      <c r="D780" s="11">
        <v>39.700000000000003</v>
      </c>
      <c r="E780" s="2">
        <f t="shared" si="25"/>
        <v>0.29999999999999716</v>
      </c>
      <c r="F780" s="11">
        <v>0.92900000000000005</v>
      </c>
      <c r="G780" s="3">
        <f t="shared" si="24"/>
        <v>3.0724999999999929E-2</v>
      </c>
    </row>
    <row r="781" spans="1:7">
      <c r="A781" s="1">
        <v>4</v>
      </c>
      <c r="B781" s="1" t="s">
        <v>33</v>
      </c>
      <c r="C781" s="11">
        <v>20</v>
      </c>
      <c r="D781" s="11">
        <v>19.86</v>
      </c>
      <c r="E781" s="2">
        <f t="shared" si="25"/>
        <v>0.14000000000000057</v>
      </c>
      <c r="F781" s="11">
        <v>0.41199999999999998</v>
      </c>
      <c r="G781" s="3">
        <f t="shared" si="24"/>
        <v>2.7600000000000024E-2</v>
      </c>
    </row>
    <row r="782" spans="1:7">
      <c r="A782" s="1">
        <v>5</v>
      </c>
      <c r="B782" s="1" t="s">
        <v>33</v>
      </c>
      <c r="C782" s="11">
        <v>85</v>
      </c>
      <c r="D782" s="11">
        <v>84.6</v>
      </c>
      <c r="E782" s="2">
        <f t="shared" si="25"/>
        <v>0.40000000000000568</v>
      </c>
      <c r="F782" s="11">
        <v>0.91900000000000004</v>
      </c>
      <c r="G782" s="3">
        <f t="shared" si="24"/>
        <v>1.5517647058823596E-2</v>
      </c>
    </row>
    <row r="783" spans="1:7">
      <c r="A783" s="1">
        <v>6</v>
      </c>
      <c r="B783" s="1" t="s">
        <v>33</v>
      </c>
      <c r="C783" s="11">
        <v>0</v>
      </c>
      <c r="D783" s="11">
        <v>0</v>
      </c>
      <c r="E783" s="2">
        <f t="shared" si="25"/>
        <v>0</v>
      </c>
      <c r="F783" s="11">
        <v>0.124</v>
      </c>
      <c r="G783" s="3" t="e">
        <f t="shared" si="24"/>
        <v>#DIV/0!</v>
      </c>
    </row>
    <row r="784" spans="1:7">
      <c r="A784" s="1">
        <v>7</v>
      </c>
      <c r="B784" s="1" t="s">
        <v>33</v>
      </c>
      <c r="C784" s="11">
        <v>0</v>
      </c>
      <c r="D784" s="11">
        <v>0</v>
      </c>
      <c r="E784" s="2">
        <f t="shared" si="25"/>
        <v>0</v>
      </c>
      <c r="F784" s="11">
        <v>0.128</v>
      </c>
      <c r="G784" s="3" t="e">
        <f t="shared" si="24"/>
        <v>#DIV/0!</v>
      </c>
    </row>
    <row r="785" spans="1:7">
      <c r="A785" s="1">
        <v>10</v>
      </c>
      <c r="B785" s="1" t="s">
        <v>33</v>
      </c>
      <c r="C785" s="11">
        <v>0</v>
      </c>
      <c r="D785" s="11">
        <v>0</v>
      </c>
      <c r="E785" s="2">
        <f t="shared" si="25"/>
        <v>0</v>
      </c>
      <c r="F785" s="11">
        <v>0.38700000000000001</v>
      </c>
      <c r="G785" s="3" t="e">
        <f t="shared" si="24"/>
        <v>#DIV/0!</v>
      </c>
    </row>
    <row r="786" spans="1:7">
      <c r="A786" s="1">
        <v>8</v>
      </c>
      <c r="B786" s="1" t="s">
        <v>33</v>
      </c>
      <c r="C786" s="11">
        <v>0</v>
      </c>
      <c r="D786" s="11">
        <v>0</v>
      </c>
      <c r="E786" s="2">
        <f t="shared" si="25"/>
        <v>0</v>
      </c>
      <c r="F786" s="11">
        <v>0.19800000000000001</v>
      </c>
      <c r="G786" s="3" t="e">
        <f t="shared" si="24"/>
        <v>#DIV/0!</v>
      </c>
    </row>
    <row r="787" spans="1:7">
      <c r="A787" s="1">
        <v>9</v>
      </c>
      <c r="B787" s="1" t="s">
        <v>33</v>
      </c>
      <c r="C787" s="11">
        <v>25</v>
      </c>
      <c r="D787" s="11">
        <v>24.76</v>
      </c>
      <c r="E787" s="2">
        <f t="shared" si="25"/>
        <v>0.23999999999999844</v>
      </c>
      <c r="F787" s="11">
        <v>0.436</v>
      </c>
      <c r="G787" s="3">
        <f t="shared" si="24"/>
        <v>2.7039999999999936E-2</v>
      </c>
    </row>
    <row r="788" spans="1:7">
      <c r="A788" s="1">
        <v>11</v>
      </c>
      <c r="B788" s="1" t="s">
        <v>33</v>
      </c>
      <c r="C788" s="11">
        <v>0</v>
      </c>
      <c r="D788" s="11">
        <v>0</v>
      </c>
      <c r="E788" s="2">
        <f t="shared" si="25"/>
        <v>0</v>
      </c>
      <c r="F788" s="11">
        <v>0.246</v>
      </c>
      <c r="G788" s="3" t="e">
        <f t="shared" si="24"/>
        <v>#DIV/0!</v>
      </c>
    </row>
    <row r="789" spans="1:7">
      <c r="A789" s="1">
        <v>12</v>
      </c>
      <c r="B789" s="1" t="s">
        <v>33</v>
      </c>
      <c r="C789" s="11">
        <v>20</v>
      </c>
      <c r="D789" s="11">
        <v>19.82</v>
      </c>
      <c r="E789" s="2">
        <f t="shared" si="25"/>
        <v>0.17999999999999972</v>
      </c>
      <c r="F789" s="11">
        <v>0.42199999999999999</v>
      </c>
      <c r="G789" s="3">
        <f t="shared" si="24"/>
        <v>3.0099999999999981E-2</v>
      </c>
    </row>
    <row r="790" spans="1:7">
      <c r="A790" s="1">
        <v>13</v>
      </c>
      <c r="B790" s="1" t="s">
        <v>33</v>
      </c>
      <c r="C790" s="11">
        <v>0</v>
      </c>
      <c r="D790" s="11">
        <v>0</v>
      </c>
      <c r="E790" s="2">
        <f t="shared" si="25"/>
        <v>0</v>
      </c>
      <c r="F790" s="11">
        <v>0.495</v>
      </c>
      <c r="G790" s="3" t="e">
        <f t="shared" si="24"/>
        <v>#DIV/0!</v>
      </c>
    </row>
    <row r="791" spans="1:7">
      <c r="A791" s="1">
        <v>14</v>
      </c>
      <c r="B791" s="1" t="s">
        <v>33</v>
      </c>
      <c r="C791" s="11">
        <v>26.73</v>
      </c>
      <c r="D791" s="11">
        <v>26.49</v>
      </c>
      <c r="E791" s="2">
        <f t="shared" si="25"/>
        <v>0.24000000000000199</v>
      </c>
      <c r="F791" s="11">
        <v>0.187</v>
      </c>
      <c r="G791" s="3">
        <f t="shared" si="24"/>
        <v>1.5974560419004937E-2</v>
      </c>
    </row>
    <row r="792" spans="1:7">
      <c r="A792" s="1">
        <v>15</v>
      </c>
      <c r="B792" s="1" t="s">
        <v>33</v>
      </c>
      <c r="C792" s="11">
        <v>20</v>
      </c>
      <c r="D792" s="11">
        <v>19.78</v>
      </c>
      <c r="E792" s="2">
        <f t="shared" si="25"/>
        <v>0.21999999999999886</v>
      </c>
      <c r="F792" s="11">
        <v>0.127</v>
      </c>
      <c r="G792" s="3">
        <f t="shared" si="24"/>
        <v>1.7349999999999942E-2</v>
      </c>
    </row>
    <row r="793" spans="1:7">
      <c r="A793" s="1">
        <v>16</v>
      </c>
      <c r="B793" s="1" t="s">
        <v>33</v>
      </c>
      <c r="C793" s="11">
        <v>0</v>
      </c>
      <c r="D793" s="11">
        <v>0</v>
      </c>
      <c r="E793" s="2">
        <f t="shared" si="25"/>
        <v>0</v>
      </c>
      <c r="F793" s="11">
        <v>0.155</v>
      </c>
      <c r="G793" s="3" t="e">
        <f t="shared" si="24"/>
        <v>#DIV/0!</v>
      </c>
    </row>
    <row r="794" spans="1:7">
      <c r="A794" s="1">
        <v>17</v>
      </c>
      <c r="B794" s="1" t="s">
        <v>33</v>
      </c>
      <c r="C794" s="11">
        <v>0</v>
      </c>
      <c r="D794" s="11">
        <v>0</v>
      </c>
      <c r="E794" s="2">
        <f t="shared" si="25"/>
        <v>0</v>
      </c>
      <c r="F794" s="11">
        <v>0.253</v>
      </c>
      <c r="G794" s="3" t="e">
        <f t="shared" si="24"/>
        <v>#DIV/0!</v>
      </c>
    </row>
    <row r="795" spans="1:7">
      <c r="A795" s="1">
        <v>18</v>
      </c>
      <c r="B795" s="1" t="s">
        <v>33</v>
      </c>
      <c r="C795" s="11">
        <v>40</v>
      </c>
      <c r="D795" s="11">
        <v>39.81</v>
      </c>
      <c r="E795" s="2">
        <f t="shared" si="25"/>
        <v>0.18999999999999773</v>
      </c>
      <c r="F795" s="11">
        <v>0.55700000000000005</v>
      </c>
      <c r="G795" s="3">
        <f t="shared" si="24"/>
        <v>1.8674999999999945E-2</v>
      </c>
    </row>
    <row r="796" spans="1:7">
      <c r="A796" s="1">
        <v>19</v>
      </c>
      <c r="B796" s="1" t="s">
        <v>33</v>
      </c>
      <c r="C796" s="11">
        <v>20</v>
      </c>
      <c r="D796" s="11">
        <v>19.7</v>
      </c>
      <c r="E796" s="2">
        <f t="shared" si="25"/>
        <v>0.30000000000000071</v>
      </c>
      <c r="F796" s="11">
        <v>0.36499999999999999</v>
      </c>
      <c r="G796" s="3">
        <f t="shared" si="24"/>
        <v>3.3250000000000036E-2</v>
      </c>
    </row>
    <row r="797" spans="1:7">
      <c r="A797" s="1">
        <v>20</v>
      </c>
      <c r="B797" s="1" t="s">
        <v>33</v>
      </c>
      <c r="C797" s="11">
        <v>20</v>
      </c>
      <c r="D797" s="11">
        <v>19.739999999999998</v>
      </c>
      <c r="E797" s="2">
        <f t="shared" si="25"/>
        <v>0.26000000000000156</v>
      </c>
      <c r="F797" s="11">
        <v>0.20599999999999999</v>
      </c>
      <c r="G797" s="3">
        <f t="shared" si="24"/>
        <v>2.3300000000000078E-2</v>
      </c>
    </row>
    <row r="798" spans="1:7">
      <c r="A798" s="1">
        <v>21</v>
      </c>
      <c r="B798" s="1" t="s">
        <v>33</v>
      </c>
      <c r="C798" s="11">
        <v>0</v>
      </c>
      <c r="D798" s="11">
        <v>0</v>
      </c>
      <c r="E798" s="2">
        <f t="shared" si="25"/>
        <v>0</v>
      </c>
      <c r="F798" s="11">
        <v>0.20200000000000001</v>
      </c>
      <c r="G798" s="3" t="e">
        <f t="shared" si="24"/>
        <v>#DIV/0!</v>
      </c>
    </row>
    <row r="799" spans="1:7">
      <c r="A799" s="1">
        <v>22</v>
      </c>
      <c r="B799" s="1" t="s">
        <v>33</v>
      </c>
      <c r="C799" s="11">
        <v>0</v>
      </c>
      <c r="D799" s="11">
        <v>0</v>
      </c>
      <c r="E799" s="2">
        <f t="shared" si="25"/>
        <v>0</v>
      </c>
      <c r="F799" s="11">
        <v>0.17199999999999999</v>
      </c>
      <c r="G799" s="3" t="e">
        <f t="shared" si="24"/>
        <v>#DIV/0!</v>
      </c>
    </row>
    <row r="800" spans="1:7">
      <c r="A800" s="1">
        <v>23</v>
      </c>
      <c r="B800" s="1" t="s">
        <v>33</v>
      </c>
      <c r="C800" s="11">
        <v>20</v>
      </c>
      <c r="D800" s="11">
        <v>19.809999999999999</v>
      </c>
      <c r="E800" s="2">
        <f t="shared" si="25"/>
        <v>0.19000000000000128</v>
      </c>
      <c r="F800" s="11">
        <v>0.16200000000000001</v>
      </c>
      <c r="G800" s="3">
        <f t="shared" si="24"/>
        <v>1.7600000000000067E-2</v>
      </c>
    </row>
    <row r="801" spans="1:7">
      <c r="A801" s="1">
        <v>24</v>
      </c>
      <c r="B801" s="1" t="s">
        <v>33</v>
      </c>
      <c r="C801" s="11">
        <v>0</v>
      </c>
      <c r="D801" s="11">
        <v>0</v>
      </c>
      <c r="E801" s="2">
        <f t="shared" si="25"/>
        <v>0</v>
      </c>
      <c r="F801" s="11">
        <v>0.503</v>
      </c>
      <c r="G801" s="3" t="e">
        <f t="shared" si="24"/>
        <v>#DIV/0!</v>
      </c>
    </row>
    <row r="802" spans="1:7">
      <c r="A802" s="1">
        <v>25</v>
      </c>
      <c r="B802" s="1" t="s">
        <v>33</v>
      </c>
      <c r="C802" s="11">
        <v>0</v>
      </c>
      <c r="D802" s="11">
        <v>0</v>
      </c>
      <c r="E802" s="2">
        <f t="shared" si="25"/>
        <v>0</v>
      </c>
      <c r="F802" s="11">
        <v>0.14199999999999999</v>
      </c>
      <c r="G802" s="3" t="e">
        <f t="shared" si="24"/>
        <v>#DIV/0!</v>
      </c>
    </row>
    <row r="803" spans="1:7">
      <c r="A803" s="1">
        <v>26</v>
      </c>
      <c r="B803" s="1" t="s">
        <v>33</v>
      </c>
      <c r="C803" s="11">
        <v>0</v>
      </c>
      <c r="D803" s="11">
        <v>0</v>
      </c>
      <c r="E803" s="2">
        <f t="shared" si="25"/>
        <v>0</v>
      </c>
      <c r="F803" s="11">
        <v>0.158</v>
      </c>
      <c r="G803" s="3" t="e">
        <f t="shared" si="24"/>
        <v>#DIV/0!</v>
      </c>
    </row>
    <row r="804" spans="1:7">
      <c r="A804" s="1">
        <v>27</v>
      </c>
      <c r="B804" s="1" t="s">
        <v>33</v>
      </c>
      <c r="C804" s="11">
        <v>20</v>
      </c>
      <c r="D804" s="11">
        <v>19.84</v>
      </c>
      <c r="E804" s="2">
        <f t="shared" si="25"/>
        <v>0.16000000000000014</v>
      </c>
      <c r="F804" s="11">
        <v>0.17499999999999999</v>
      </c>
      <c r="G804" s="3">
        <f t="shared" si="24"/>
        <v>1.6750000000000008E-2</v>
      </c>
    </row>
    <row r="805" spans="1:7">
      <c r="A805" s="1">
        <v>28</v>
      </c>
      <c r="B805" s="1" t="s">
        <v>33</v>
      </c>
      <c r="C805" s="11">
        <v>20</v>
      </c>
      <c r="D805" s="11">
        <v>19.79</v>
      </c>
      <c r="E805" s="2">
        <f t="shared" si="25"/>
        <v>0.21000000000000085</v>
      </c>
      <c r="F805" s="11">
        <v>0.17499999999999999</v>
      </c>
      <c r="G805" s="3">
        <f t="shared" ref="G805:G868" si="26">(E805+F805)/C805</f>
        <v>1.9250000000000041E-2</v>
      </c>
    </row>
    <row r="806" spans="1:7">
      <c r="A806" s="1">
        <v>29</v>
      </c>
      <c r="B806" s="1" t="s">
        <v>33</v>
      </c>
      <c r="C806" s="11">
        <v>0</v>
      </c>
      <c r="D806" s="11">
        <v>0</v>
      </c>
      <c r="E806" s="2">
        <f t="shared" si="25"/>
        <v>0</v>
      </c>
      <c r="F806" s="11">
        <v>0.14499999999999999</v>
      </c>
      <c r="G806" s="3" t="e">
        <f t="shared" si="26"/>
        <v>#DIV/0!</v>
      </c>
    </row>
    <row r="807" spans="1:7">
      <c r="A807" s="1">
        <v>30</v>
      </c>
      <c r="B807" s="1" t="s">
        <v>33</v>
      </c>
      <c r="C807" s="11">
        <v>0</v>
      </c>
      <c r="D807" s="11">
        <v>0</v>
      </c>
      <c r="E807" s="2">
        <f t="shared" si="25"/>
        <v>0</v>
      </c>
      <c r="F807" s="11">
        <v>0.33300000000000002</v>
      </c>
      <c r="G807" s="3" t="e">
        <f t="shared" si="26"/>
        <v>#DIV/0!</v>
      </c>
    </row>
    <row r="808" spans="1:7">
      <c r="A808" s="1">
        <v>31</v>
      </c>
      <c r="B808" s="1" t="s">
        <v>33</v>
      </c>
      <c r="C808" s="11">
        <v>36.11</v>
      </c>
      <c r="D808" s="11">
        <v>35.58</v>
      </c>
      <c r="E808" s="2">
        <f t="shared" si="25"/>
        <v>0.53000000000000114</v>
      </c>
      <c r="F808" s="11">
        <v>0.42699999999999999</v>
      </c>
      <c r="G808" s="3">
        <f t="shared" si="26"/>
        <v>2.6502353918582144E-2</v>
      </c>
    </row>
    <row r="809" spans="1:7">
      <c r="A809" s="1">
        <v>1</v>
      </c>
      <c r="B809" s="1" t="s">
        <v>34</v>
      </c>
      <c r="C809" s="11">
        <v>373</v>
      </c>
      <c r="D809" s="11">
        <v>369.49</v>
      </c>
      <c r="E809" s="2">
        <f t="shared" si="25"/>
        <v>3.5099999999999909</v>
      </c>
      <c r="F809" s="11">
        <v>0.36</v>
      </c>
      <c r="G809" s="3">
        <f t="shared" si="26"/>
        <v>1.0375335120643406E-2</v>
      </c>
    </row>
    <row r="810" spans="1:7">
      <c r="A810" s="1">
        <v>2</v>
      </c>
      <c r="B810" s="1" t="s">
        <v>34</v>
      </c>
      <c r="C810" s="11">
        <v>25</v>
      </c>
      <c r="D810" s="11">
        <v>24.8</v>
      </c>
      <c r="E810" s="2">
        <f t="shared" si="25"/>
        <v>0.19999999999999929</v>
      </c>
      <c r="F810" s="11">
        <v>8.1000000000000003E-2</v>
      </c>
      <c r="G810" s="3">
        <f t="shared" si="26"/>
        <v>1.1239999999999972E-2</v>
      </c>
    </row>
    <row r="811" spans="1:7">
      <c r="A811" s="1">
        <v>3</v>
      </c>
      <c r="B811" s="1" t="s">
        <v>34</v>
      </c>
      <c r="C811" s="11">
        <v>50</v>
      </c>
      <c r="D811" s="11">
        <v>49.66</v>
      </c>
      <c r="E811" s="2">
        <f t="shared" si="25"/>
        <v>0.34000000000000341</v>
      </c>
      <c r="F811" s="11">
        <v>0.09</v>
      </c>
      <c r="G811" s="3">
        <f t="shared" si="26"/>
        <v>8.6000000000000677E-3</v>
      </c>
    </row>
    <row r="812" spans="1:7">
      <c r="A812" s="1">
        <v>4</v>
      </c>
      <c r="B812" s="1" t="s">
        <v>34</v>
      </c>
      <c r="C812" s="11">
        <v>0</v>
      </c>
      <c r="D812" s="11">
        <v>0</v>
      </c>
      <c r="E812" s="2">
        <f t="shared" si="25"/>
        <v>0</v>
      </c>
      <c r="F812" s="11">
        <v>0.06</v>
      </c>
      <c r="G812" s="3" t="e">
        <f t="shared" si="26"/>
        <v>#DIV/0!</v>
      </c>
    </row>
    <row r="813" spans="1:7">
      <c r="A813" s="1">
        <v>5</v>
      </c>
      <c r="B813" s="1" t="s">
        <v>34</v>
      </c>
      <c r="C813" s="11">
        <v>0</v>
      </c>
      <c r="D813" s="11">
        <v>0</v>
      </c>
      <c r="E813" s="2">
        <f t="shared" si="25"/>
        <v>0</v>
      </c>
      <c r="F813" s="11">
        <v>7.5999999999999998E-2</v>
      </c>
      <c r="G813" s="3" t="e">
        <f t="shared" si="26"/>
        <v>#DIV/0!</v>
      </c>
    </row>
    <row r="814" spans="1:7">
      <c r="A814" s="1">
        <v>6</v>
      </c>
      <c r="B814" s="1" t="s">
        <v>34</v>
      </c>
      <c r="C814" s="11">
        <v>0</v>
      </c>
      <c r="D814" s="11">
        <v>0</v>
      </c>
      <c r="E814" s="2">
        <f t="shared" si="25"/>
        <v>0</v>
      </c>
      <c r="F814" s="11">
        <v>8.5999999999999993E-2</v>
      </c>
      <c r="G814" s="3" t="e">
        <f t="shared" si="26"/>
        <v>#DIV/0!</v>
      </c>
    </row>
    <row r="815" spans="1:7">
      <c r="A815" s="1">
        <v>7</v>
      </c>
      <c r="B815" s="1" t="s">
        <v>34</v>
      </c>
      <c r="C815" s="11">
        <v>23</v>
      </c>
      <c r="D815" s="11">
        <v>23.04</v>
      </c>
      <c r="E815" s="2">
        <f t="shared" si="25"/>
        <v>-3.9999999999999147E-2</v>
      </c>
      <c r="F815" s="11">
        <v>7.3999999999999996E-2</v>
      </c>
      <c r="G815" s="3">
        <f t="shared" si="26"/>
        <v>1.4782608695652543E-3</v>
      </c>
    </row>
    <row r="816" spans="1:7">
      <c r="A816" s="1">
        <v>10</v>
      </c>
      <c r="B816" s="1" t="s">
        <v>34</v>
      </c>
      <c r="C816" s="11">
        <v>65</v>
      </c>
      <c r="D816" s="11">
        <v>64.41</v>
      </c>
      <c r="E816" s="2">
        <f t="shared" si="25"/>
        <v>0.59000000000000341</v>
      </c>
      <c r="F816" s="11">
        <v>8.7999999999999995E-2</v>
      </c>
      <c r="G816" s="3">
        <f t="shared" si="26"/>
        <v>1.0430769230769283E-2</v>
      </c>
    </row>
    <row r="817" spans="1:7">
      <c r="A817" s="1">
        <v>8</v>
      </c>
      <c r="B817" s="1" t="s">
        <v>34</v>
      </c>
      <c r="C817" s="11">
        <v>300</v>
      </c>
      <c r="D817" s="11">
        <v>296.97000000000003</v>
      </c>
      <c r="E817" s="2">
        <f t="shared" si="25"/>
        <v>3.0299999999999727</v>
      </c>
      <c r="F817" s="11">
        <v>0.36599999999999999</v>
      </c>
      <c r="G817" s="3">
        <f t="shared" si="26"/>
        <v>1.131999999999991E-2</v>
      </c>
    </row>
    <row r="818" spans="1:7">
      <c r="A818" s="1">
        <v>9</v>
      </c>
      <c r="B818" s="1" t="s">
        <v>34</v>
      </c>
      <c r="C818" s="11">
        <v>25</v>
      </c>
      <c r="D818" s="11">
        <v>24.81</v>
      </c>
      <c r="E818" s="2">
        <f t="shared" si="25"/>
        <v>0.19000000000000128</v>
      </c>
      <c r="F818" s="11">
        <v>6.4000000000000001E-2</v>
      </c>
      <c r="G818" s="3">
        <f t="shared" si="26"/>
        <v>1.0160000000000051E-2</v>
      </c>
    </row>
    <row r="819" spans="1:7">
      <c r="A819" s="1">
        <v>11</v>
      </c>
      <c r="B819" s="1" t="s">
        <v>34</v>
      </c>
      <c r="C819" s="11">
        <v>0</v>
      </c>
      <c r="D819" s="11">
        <v>0</v>
      </c>
      <c r="E819" s="2">
        <f t="shared" si="25"/>
        <v>0</v>
      </c>
      <c r="F819" s="11">
        <v>6.0999999999999999E-2</v>
      </c>
      <c r="G819" s="3" t="e">
        <f t="shared" si="26"/>
        <v>#DIV/0!</v>
      </c>
    </row>
    <row r="820" spans="1:7">
      <c r="A820" s="1">
        <v>12</v>
      </c>
      <c r="B820" s="1" t="s">
        <v>34</v>
      </c>
      <c r="C820" s="11">
        <v>60</v>
      </c>
      <c r="D820" s="11">
        <v>59.43</v>
      </c>
      <c r="E820" s="2">
        <f t="shared" si="25"/>
        <v>0.57000000000000028</v>
      </c>
      <c r="F820" s="11">
        <v>7.1999999999999995E-2</v>
      </c>
      <c r="G820" s="3">
        <f t="shared" si="26"/>
        <v>1.0700000000000005E-2</v>
      </c>
    </row>
    <row r="821" spans="1:7">
      <c r="A821" s="1">
        <v>13</v>
      </c>
      <c r="B821" s="1" t="s">
        <v>34</v>
      </c>
      <c r="C821" s="11">
        <v>0</v>
      </c>
      <c r="D821" s="11">
        <v>0</v>
      </c>
      <c r="E821" s="2">
        <f t="shared" si="25"/>
        <v>0</v>
      </c>
      <c r="F821" s="11">
        <v>9.7000000000000003E-2</v>
      </c>
      <c r="G821" s="3" t="e">
        <f t="shared" si="26"/>
        <v>#DIV/0!</v>
      </c>
    </row>
    <row r="822" spans="1:7">
      <c r="A822" s="1">
        <v>14</v>
      </c>
      <c r="B822" s="1" t="s">
        <v>34</v>
      </c>
      <c r="C822" s="11">
        <v>0</v>
      </c>
      <c r="D822" s="11">
        <v>0</v>
      </c>
      <c r="E822" s="2">
        <f t="shared" si="25"/>
        <v>0</v>
      </c>
      <c r="F822" s="11">
        <v>8.7999999999999995E-2</v>
      </c>
      <c r="G822" s="3" t="e">
        <f t="shared" si="26"/>
        <v>#DIV/0!</v>
      </c>
    </row>
    <row r="823" spans="1:7">
      <c r="A823" s="1">
        <v>15</v>
      </c>
      <c r="B823" s="1" t="s">
        <v>34</v>
      </c>
      <c r="C823" s="11">
        <v>25.51</v>
      </c>
      <c r="D823" s="11">
        <v>25.36</v>
      </c>
      <c r="E823" s="2">
        <f t="shared" si="25"/>
        <v>0.15000000000000213</v>
      </c>
      <c r="F823" s="11">
        <v>5.2999999999999999E-2</v>
      </c>
      <c r="G823" s="3">
        <f t="shared" si="26"/>
        <v>7.9576636613093738E-3</v>
      </c>
    </row>
    <row r="824" spans="1:7">
      <c r="A824" s="1">
        <v>16</v>
      </c>
      <c r="B824" s="1" t="s">
        <v>34</v>
      </c>
      <c r="C824" s="11">
        <v>126.59</v>
      </c>
      <c r="D824" s="11">
        <v>125.38</v>
      </c>
      <c r="E824" s="2">
        <f t="shared" si="25"/>
        <v>1.210000000000008</v>
      </c>
      <c r="F824" s="11">
        <v>0.14899999999999999</v>
      </c>
      <c r="G824" s="3">
        <f t="shared" si="26"/>
        <v>1.0735445137846654E-2</v>
      </c>
    </row>
    <row r="825" spans="1:7">
      <c r="A825" s="1">
        <v>17</v>
      </c>
      <c r="B825" s="1" t="s">
        <v>34</v>
      </c>
      <c r="C825" s="11">
        <v>21.93</v>
      </c>
      <c r="D825" s="11">
        <v>21.63</v>
      </c>
      <c r="E825" s="2">
        <f t="shared" si="25"/>
        <v>0.30000000000000071</v>
      </c>
      <c r="F825" s="11">
        <v>7.0000000000000007E-2</v>
      </c>
      <c r="G825" s="3">
        <f t="shared" si="26"/>
        <v>1.6871865025079834E-2</v>
      </c>
    </row>
    <row r="826" spans="1:7">
      <c r="A826" s="1">
        <v>18</v>
      </c>
      <c r="B826" s="1" t="s">
        <v>34</v>
      </c>
      <c r="C826" s="11">
        <v>20</v>
      </c>
      <c r="D826" s="11">
        <v>19.829999999999998</v>
      </c>
      <c r="E826" s="2">
        <f t="shared" si="25"/>
        <v>0.17000000000000171</v>
      </c>
      <c r="F826" s="11">
        <v>6.2E-2</v>
      </c>
      <c r="G826" s="3">
        <f t="shared" si="26"/>
        <v>1.1600000000000086E-2</v>
      </c>
    </row>
    <row r="827" spans="1:7">
      <c r="A827" s="1">
        <v>19</v>
      </c>
      <c r="B827" s="1" t="s">
        <v>34</v>
      </c>
      <c r="C827" s="11">
        <v>0</v>
      </c>
      <c r="D827" s="11">
        <v>0</v>
      </c>
      <c r="E827" s="2">
        <f t="shared" si="25"/>
        <v>0</v>
      </c>
      <c r="F827" s="11">
        <v>8.2000000000000003E-2</v>
      </c>
      <c r="G827" s="3" t="e">
        <f t="shared" si="26"/>
        <v>#DIV/0!</v>
      </c>
    </row>
    <row r="828" spans="1:7">
      <c r="A828" s="1">
        <v>20</v>
      </c>
      <c r="B828" s="1" t="s">
        <v>34</v>
      </c>
      <c r="C828" s="11">
        <v>0</v>
      </c>
      <c r="D828" s="11">
        <v>0</v>
      </c>
      <c r="E828" s="2">
        <f t="shared" si="25"/>
        <v>0</v>
      </c>
      <c r="F828" s="11">
        <v>5.5E-2</v>
      </c>
      <c r="G828" s="3" t="e">
        <f t="shared" si="26"/>
        <v>#DIV/0!</v>
      </c>
    </row>
    <row r="829" spans="1:7">
      <c r="A829" s="1">
        <v>21</v>
      </c>
      <c r="B829" s="1" t="s">
        <v>34</v>
      </c>
      <c r="C829" s="11">
        <v>0</v>
      </c>
      <c r="D829" s="11">
        <v>0</v>
      </c>
      <c r="E829" s="2">
        <f t="shared" si="25"/>
        <v>0</v>
      </c>
      <c r="F829" s="11">
        <v>7.4999999999999997E-2</v>
      </c>
      <c r="G829" s="3" t="e">
        <f t="shared" si="26"/>
        <v>#DIV/0!</v>
      </c>
    </row>
    <row r="830" spans="1:7">
      <c r="A830" s="1">
        <v>22</v>
      </c>
      <c r="B830" s="1" t="s">
        <v>34</v>
      </c>
      <c r="C830" s="11">
        <v>179.32</v>
      </c>
      <c r="D830" s="11">
        <v>177.48</v>
      </c>
      <c r="E830" s="2">
        <f t="shared" si="25"/>
        <v>1.8400000000000034</v>
      </c>
      <c r="F830" s="11">
        <v>0.152</v>
      </c>
      <c r="G830" s="3">
        <f t="shared" si="26"/>
        <v>1.1108632612090137E-2</v>
      </c>
    </row>
    <row r="831" spans="1:7">
      <c r="A831" s="1">
        <v>23</v>
      </c>
      <c r="B831" s="1" t="s">
        <v>34</v>
      </c>
      <c r="C831" s="11">
        <v>60</v>
      </c>
      <c r="D831" s="11">
        <v>59.47</v>
      </c>
      <c r="E831" s="2">
        <f t="shared" si="25"/>
        <v>0.53000000000000114</v>
      </c>
      <c r="F831" s="11">
        <v>0.107</v>
      </c>
      <c r="G831" s="3">
        <f t="shared" si="26"/>
        <v>1.0616666666666686E-2</v>
      </c>
    </row>
    <row r="832" spans="1:7">
      <c r="A832" s="1">
        <v>24</v>
      </c>
      <c r="B832" s="1" t="s">
        <v>34</v>
      </c>
      <c r="C832" s="11">
        <v>22.35</v>
      </c>
      <c r="D832" s="11">
        <v>22.06</v>
      </c>
      <c r="E832" s="2">
        <f t="shared" si="25"/>
        <v>0.2900000000000027</v>
      </c>
      <c r="F832" s="11">
        <v>9.2999999999999999E-2</v>
      </c>
      <c r="G832" s="3">
        <f t="shared" si="26"/>
        <v>1.7136465324384904E-2</v>
      </c>
    </row>
    <row r="833" spans="1:7">
      <c r="A833" s="1">
        <v>25</v>
      </c>
      <c r="B833" s="1" t="s">
        <v>34</v>
      </c>
      <c r="C833" s="11">
        <v>18.87</v>
      </c>
      <c r="D833" s="11">
        <v>18.57</v>
      </c>
      <c r="E833" s="2">
        <f t="shared" si="25"/>
        <v>0.30000000000000071</v>
      </c>
      <c r="F833" s="11">
        <v>7.6999999999999999E-2</v>
      </c>
      <c r="G833" s="3">
        <f t="shared" si="26"/>
        <v>1.9978802331743546E-2</v>
      </c>
    </row>
    <row r="834" spans="1:7">
      <c r="A834" s="1">
        <v>26</v>
      </c>
      <c r="B834" s="1" t="s">
        <v>34</v>
      </c>
      <c r="C834" s="11">
        <v>30.96</v>
      </c>
      <c r="D834" s="11">
        <v>30.66</v>
      </c>
      <c r="E834" s="2">
        <f t="shared" si="25"/>
        <v>0.30000000000000071</v>
      </c>
      <c r="F834" s="11">
        <v>6.7000000000000004E-2</v>
      </c>
      <c r="G834" s="3">
        <f t="shared" si="26"/>
        <v>1.1854005167958679E-2</v>
      </c>
    </row>
    <row r="835" spans="1:7">
      <c r="A835" s="1">
        <v>27</v>
      </c>
      <c r="B835" s="1" t="s">
        <v>34</v>
      </c>
      <c r="C835" s="11">
        <v>0</v>
      </c>
      <c r="D835" s="11">
        <v>0</v>
      </c>
      <c r="E835" s="2">
        <f t="shared" si="25"/>
        <v>0</v>
      </c>
      <c r="F835" s="11">
        <v>8.2000000000000003E-2</v>
      </c>
      <c r="G835" s="3" t="e">
        <f t="shared" si="26"/>
        <v>#DIV/0!</v>
      </c>
    </row>
    <row r="836" spans="1:7">
      <c r="A836" s="1">
        <v>28</v>
      </c>
      <c r="B836" s="1" t="s">
        <v>34</v>
      </c>
      <c r="C836" s="11">
        <v>0</v>
      </c>
      <c r="D836" s="11">
        <v>0</v>
      </c>
      <c r="E836" s="2">
        <f t="shared" ref="E836:E899" si="27">C836-D836</f>
        <v>0</v>
      </c>
      <c r="F836" s="11">
        <v>0</v>
      </c>
      <c r="G836" s="3" t="e">
        <f t="shared" si="26"/>
        <v>#DIV/0!</v>
      </c>
    </row>
    <row r="837" spans="1:7">
      <c r="A837" s="1">
        <v>29</v>
      </c>
      <c r="B837" s="1" t="s">
        <v>34</v>
      </c>
      <c r="C837" s="11">
        <v>313.94</v>
      </c>
      <c r="D837" s="11">
        <v>310.63</v>
      </c>
      <c r="E837" s="2">
        <f t="shared" si="27"/>
        <v>3.3100000000000023</v>
      </c>
      <c r="F837" s="11">
        <v>0.35099999999999998</v>
      </c>
      <c r="G837" s="3">
        <f t="shared" si="26"/>
        <v>1.1661463974007779E-2</v>
      </c>
    </row>
    <row r="838" spans="1:7">
      <c r="A838" s="1">
        <v>30</v>
      </c>
      <c r="B838" s="1" t="s">
        <v>34</v>
      </c>
      <c r="C838" s="11">
        <v>0</v>
      </c>
      <c r="D838" s="11">
        <v>0</v>
      </c>
      <c r="E838" s="2">
        <f t="shared" si="27"/>
        <v>0</v>
      </c>
      <c r="F838" s="11">
        <v>0.27500000000000002</v>
      </c>
      <c r="G838" s="3" t="e">
        <f t="shared" si="26"/>
        <v>#DIV/0!</v>
      </c>
    </row>
    <row r="839" spans="1:7">
      <c r="A839" s="1">
        <v>31</v>
      </c>
      <c r="B839" s="1" t="s">
        <v>34</v>
      </c>
      <c r="C839" s="11">
        <v>80</v>
      </c>
      <c r="D839" s="11">
        <v>79.3</v>
      </c>
      <c r="E839" s="2">
        <f t="shared" si="27"/>
        <v>0.70000000000000284</v>
      </c>
      <c r="F839" s="11">
        <v>0.10299999999999999</v>
      </c>
      <c r="G839" s="3">
        <f t="shared" si="26"/>
        <v>1.0037500000000036E-2</v>
      </c>
    </row>
    <row r="840" spans="1:7">
      <c r="A840" s="1">
        <v>1</v>
      </c>
      <c r="B840" s="1" t="s">
        <v>35</v>
      </c>
      <c r="C840" s="11">
        <v>40</v>
      </c>
      <c r="D840" s="11">
        <v>39.67</v>
      </c>
      <c r="E840" s="2">
        <f t="shared" si="27"/>
        <v>0.32999999999999829</v>
      </c>
      <c r="F840" s="11">
        <v>0.22800000000000001</v>
      </c>
      <c r="G840" s="3">
        <f t="shared" si="26"/>
        <v>1.3949999999999957E-2</v>
      </c>
    </row>
    <row r="841" spans="1:7">
      <c r="A841" s="1">
        <v>2</v>
      </c>
      <c r="B841" s="1" t="s">
        <v>35</v>
      </c>
      <c r="C841" s="11">
        <v>60</v>
      </c>
      <c r="D841" s="11">
        <v>59.33</v>
      </c>
      <c r="E841" s="2">
        <f t="shared" si="27"/>
        <v>0.67000000000000171</v>
      </c>
      <c r="F841" s="11">
        <v>0.14699999999999999</v>
      </c>
      <c r="G841" s="3">
        <f t="shared" si="26"/>
        <v>1.3616666666666695E-2</v>
      </c>
    </row>
    <row r="842" spans="1:7">
      <c r="A842" s="1">
        <v>3</v>
      </c>
      <c r="B842" s="1" t="s">
        <v>35</v>
      </c>
      <c r="C842" s="11">
        <v>20</v>
      </c>
      <c r="D842" s="11">
        <v>19.78</v>
      </c>
      <c r="E842" s="2">
        <f t="shared" si="27"/>
        <v>0.21999999999999886</v>
      </c>
      <c r="F842" s="11">
        <v>0.106</v>
      </c>
      <c r="G842" s="3">
        <f t="shared" si="26"/>
        <v>1.6299999999999943E-2</v>
      </c>
    </row>
    <row r="843" spans="1:7">
      <c r="A843" s="1">
        <v>4</v>
      </c>
      <c r="B843" s="1" t="s">
        <v>35</v>
      </c>
      <c r="C843" s="11">
        <v>25</v>
      </c>
      <c r="D843" s="11">
        <v>24.78</v>
      </c>
      <c r="E843" s="2">
        <f t="shared" si="27"/>
        <v>0.21999999999999886</v>
      </c>
      <c r="F843" s="11">
        <v>0.20699999999999999</v>
      </c>
      <c r="G843" s="3">
        <f t="shared" si="26"/>
        <v>1.7079999999999953E-2</v>
      </c>
    </row>
    <row r="844" spans="1:7">
      <c r="A844" s="1">
        <v>5</v>
      </c>
      <c r="B844" s="1" t="s">
        <v>35</v>
      </c>
      <c r="C844" s="11">
        <v>40</v>
      </c>
      <c r="D844" s="11">
        <v>39.71</v>
      </c>
      <c r="E844" s="2">
        <f t="shared" si="27"/>
        <v>0.28999999999999915</v>
      </c>
      <c r="F844" s="11">
        <v>0.18</v>
      </c>
      <c r="G844" s="3">
        <f t="shared" si="26"/>
        <v>1.1749999999999979E-2</v>
      </c>
    </row>
    <row r="845" spans="1:7">
      <c r="A845" s="1">
        <v>6</v>
      </c>
      <c r="B845" s="1" t="s">
        <v>35</v>
      </c>
      <c r="C845" s="11">
        <v>20</v>
      </c>
      <c r="D845" s="11">
        <v>19.809999999999999</v>
      </c>
      <c r="E845" s="2">
        <f t="shared" si="27"/>
        <v>0.19000000000000128</v>
      </c>
      <c r="F845" s="11">
        <v>0.23300000000000001</v>
      </c>
      <c r="G845" s="3">
        <f t="shared" si="26"/>
        <v>2.1150000000000065E-2</v>
      </c>
    </row>
    <row r="846" spans="1:7">
      <c r="A846" s="1">
        <v>7</v>
      </c>
      <c r="B846" s="1" t="s">
        <v>35</v>
      </c>
      <c r="C846" s="11">
        <v>45</v>
      </c>
      <c r="D846" s="11">
        <v>44.51</v>
      </c>
      <c r="E846" s="2">
        <f t="shared" si="27"/>
        <v>0.49000000000000199</v>
      </c>
      <c r="F846" s="11">
        <v>0.16900000000000001</v>
      </c>
      <c r="G846" s="3">
        <f t="shared" si="26"/>
        <v>1.4644444444444489E-2</v>
      </c>
    </row>
    <row r="847" spans="1:7">
      <c r="A847" s="1">
        <v>10</v>
      </c>
      <c r="B847" s="1" t="s">
        <v>35</v>
      </c>
      <c r="C847" s="11">
        <v>45</v>
      </c>
      <c r="D847" s="11">
        <v>44.56</v>
      </c>
      <c r="E847" s="2">
        <f t="shared" si="27"/>
        <v>0.43999999999999773</v>
      </c>
      <c r="F847" s="11">
        <v>0.20100000000000001</v>
      </c>
      <c r="G847" s="3">
        <f t="shared" si="26"/>
        <v>1.4244444444444395E-2</v>
      </c>
    </row>
    <row r="848" spans="1:7">
      <c r="A848" s="1">
        <v>8</v>
      </c>
      <c r="B848" s="1" t="s">
        <v>35</v>
      </c>
      <c r="C848" s="11">
        <v>0</v>
      </c>
      <c r="D848" s="11">
        <v>0</v>
      </c>
      <c r="E848" s="2">
        <f t="shared" si="27"/>
        <v>0</v>
      </c>
      <c r="F848" s="11">
        <v>0.19600000000000001</v>
      </c>
      <c r="G848" s="3" t="e">
        <f t="shared" si="26"/>
        <v>#DIV/0!</v>
      </c>
    </row>
    <row r="849" spans="1:7">
      <c r="A849" s="1">
        <v>9</v>
      </c>
      <c r="B849" s="1" t="s">
        <v>35</v>
      </c>
      <c r="C849" s="11">
        <v>25</v>
      </c>
      <c r="D849" s="11">
        <v>24.74</v>
      </c>
      <c r="E849" s="2">
        <f t="shared" si="27"/>
        <v>0.26000000000000156</v>
      </c>
      <c r="F849" s="11">
        <v>0.12</v>
      </c>
      <c r="G849" s="3">
        <f t="shared" si="26"/>
        <v>1.5200000000000062E-2</v>
      </c>
    </row>
    <row r="850" spans="1:7">
      <c r="A850" s="1">
        <v>11</v>
      </c>
      <c r="B850" s="1" t="s">
        <v>35</v>
      </c>
      <c r="C850" s="11">
        <v>20.22</v>
      </c>
      <c r="D850" s="11">
        <v>20</v>
      </c>
      <c r="E850" s="2">
        <f t="shared" si="27"/>
        <v>0.21999999999999886</v>
      </c>
      <c r="F850" s="11">
        <v>0.186</v>
      </c>
      <c r="G850" s="3">
        <f t="shared" si="26"/>
        <v>2.007912957467848E-2</v>
      </c>
    </row>
    <row r="851" spans="1:7">
      <c r="A851" s="1">
        <v>12</v>
      </c>
      <c r="B851" s="1" t="s">
        <v>35</v>
      </c>
      <c r="C851" s="11">
        <v>20</v>
      </c>
      <c r="D851" s="11">
        <v>19.829999999999998</v>
      </c>
      <c r="E851" s="2">
        <f t="shared" si="27"/>
        <v>0.17000000000000171</v>
      </c>
      <c r="F851" s="11">
        <v>0.14399999999999999</v>
      </c>
      <c r="G851" s="3">
        <f t="shared" si="26"/>
        <v>1.5700000000000085E-2</v>
      </c>
    </row>
    <row r="852" spans="1:7">
      <c r="A852" s="1">
        <v>13</v>
      </c>
      <c r="B852" s="1" t="s">
        <v>35</v>
      </c>
      <c r="C852" s="11">
        <v>20</v>
      </c>
      <c r="D852" s="11">
        <v>19.829999999999998</v>
      </c>
      <c r="E852" s="2">
        <f t="shared" si="27"/>
        <v>0.17000000000000171</v>
      </c>
      <c r="F852" s="11">
        <v>0.121</v>
      </c>
      <c r="G852" s="3">
        <f t="shared" si="26"/>
        <v>1.4550000000000085E-2</v>
      </c>
    </row>
    <row r="853" spans="1:7">
      <c r="A853" s="1">
        <v>14</v>
      </c>
      <c r="B853" s="1" t="s">
        <v>35</v>
      </c>
      <c r="C853" s="11">
        <v>0</v>
      </c>
      <c r="D853" s="11">
        <v>0</v>
      </c>
      <c r="E853" s="2">
        <f t="shared" si="27"/>
        <v>0</v>
      </c>
      <c r="F853" s="11">
        <v>0.16900000000000001</v>
      </c>
      <c r="G853" s="3" t="e">
        <f t="shared" si="26"/>
        <v>#DIV/0!</v>
      </c>
    </row>
    <row r="854" spans="1:7">
      <c r="A854" s="1">
        <v>15</v>
      </c>
      <c r="B854" s="1" t="s">
        <v>35</v>
      </c>
      <c r="C854" s="11">
        <v>0</v>
      </c>
      <c r="D854" s="11">
        <v>0</v>
      </c>
      <c r="E854" s="2">
        <f t="shared" si="27"/>
        <v>0</v>
      </c>
      <c r="F854" s="11">
        <v>0.156</v>
      </c>
      <c r="G854" s="3" t="e">
        <f t="shared" si="26"/>
        <v>#DIV/0!</v>
      </c>
    </row>
    <row r="855" spans="1:7">
      <c r="A855" s="1">
        <v>16</v>
      </c>
      <c r="B855" s="1" t="s">
        <v>35</v>
      </c>
      <c r="C855" s="11">
        <v>107.16</v>
      </c>
      <c r="D855" s="11">
        <v>105.79</v>
      </c>
      <c r="E855" s="2">
        <f t="shared" si="27"/>
        <v>1.3699999999999903</v>
      </c>
      <c r="F855" s="11">
        <v>0.112</v>
      </c>
      <c r="G855" s="3">
        <f t="shared" si="26"/>
        <v>1.3829787234042464E-2</v>
      </c>
    </row>
    <row r="856" spans="1:7">
      <c r="A856" s="1">
        <v>17</v>
      </c>
      <c r="B856" s="1" t="s">
        <v>35</v>
      </c>
      <c r="C856" s="11">
        <v>0</v>
      </c>
      <c r="D856" s="11">
        <v>0</v>
      </c>
      <c r="E856" s="2">
        <f t="shared" si="27"/>
        <v>0</v>
      </c>
      <c r="F856" s="11">
        <v>0.125</v>
      </c>
      <c r="G856" s="3" t="e">
        <f t="shared" si="26"/>
        <v>#DIV/0!</v>
      </c>
    </row>
    <row r="857" spans="1:7">
      <c r="A857" s="1">
        <v>18</v>
      </c>
      <c r="B857" s="1" t="s">
        <v>35</v>
      </c>
      <c r="C857" s="11">
        <v>40</v>
      </c>
      <c r="D857" s="11">
        <v>39.380000000000003</v>
      </c>
      <c r="E857" s="2">
        <f t="shared" si="27"/>
        <v>0.61999999999999744</v>
      </c>
      <c r="F857" s="11">
        <v>0.13300000000000001</v>
      </c>
      <c r="G857" s="3">
        <f t="shared" si="26"/>
        <v>1.8824999999999936E-2</v>
      </c>
    </row>
    <row r="858" spans="1:7">
      <c r="A858" s="1">
        <v>19</v>
      </c>
      <c r="B858" s="1" t="s">
        <v>35</v>
      </c>
      <c r="C858" s="11">
        <v>60</v>
      </c>
      <c r="D858" s="11">
        <v>59.31</v>
      </c>
      <c r="E858" s="2">
        <f t="shared" si="27"/>
        <v>0.68999999999999773</v>
      </c>
      <c r="F858" s="11">
        <v>0.105</v>
      </c>
      <c r="G858" s="3">
        <f t="shared" si="26"/>
        <v>1.3249999999999961E-2</v>
      </c>
    </row>
    <row r="859" spans="1:7">
      <c r="A859" s="1">
        <v>20</v>
      </c>
      <c r="B859" s="1" t="s">
        <v>35</v>
      </c>
      <c r="C859" s="11">
        <v>20</v>
      </c>
      <c r="D859" s="11">
        <v>19.78</v>
      </c>
      <c r="E859" s="2">
        <f t="shared" si="27"/>
        <v>0.21999999999999886</v>
      </c>
      <c r="F859" s="11">
        <v>0.17699999999999999</v>
      </c>
      <c r="G859" s="3">
        <f t="shared" si="26"/>
        <v>1.9849999999999944E-2</v>
      </c>
    </row>
    <row r="860" spans="1:7">
      <c r="A860" s="1">
        <v>21</v>
      </c>
      <c r="B860" s="1" t="s">
        <v>35</v>
      </c>
      <c r="C860" s="11">
        <v>20</v>
      </c>
      <c r="D860" s="11">
        <v>19.75</v>
      </c>
      <c r="E860" s="2">
        <f t="shared" si="27"/>
        <v>0.25</v>
      </c>
      <c r="F860" s="11">
        <v>0.19700000000000001</v>
      </c>
      <c r="G860" s="3">
        <f t="shared" si="26"/>
        <v>2.2350000000000002E-2</v>
      </c>
    </row>
    <row r="861" spans="1:7">
      <c r="A861" s="1">
        <v>22</v>
      </c>
      <c r="B861" s="1" t="s">
        <v>35</v>
      </c>
      <c r="C861" s="11">
        <v>40</v>
      </c>
      <c r="D861" s="11">
        <v>39.49</v>
      </c>
      <c r="E861" s="2">
        <f t="shared" si="27"/>
        <v>0.50999999999999801</v>
      </c>
      <c r="F861" s="11">
        <v>0.20399999999999999</v>
      </c>
      <c r="G861" s="3">
        <f t="shared" si="26"/>
        <v>1.7849999999999949E-2</v>
      </c>
    </row>
    <row r="862" spans="1:7">
      <c r="A862" s="1">
        <v>23</v>
      </c>
      <c r="B862" s="1" t="s">
        <v>35</v>
      </c>
      <c r="C862" s="11">
        <v>0</v>
      </c>
      <c r="D862" s="11">
        <v>0</v>
      </c>
      <c r="E862" s="2">
        <f t="shared" si="27"/>
        <v>0</v>
      </c>
      <c r="F862" s="11">
        <v>0.14399999999999999</v>
      </c>
      <c r="G862" s="3" t="e">
        <f t="shared" si="26"/>
        <v>#DIV/0!</v>
      </c>
    </row>
    <row r="863" spans="1:7">
      <c r="A863" s="1">
        <v>24</v>
      </c>
      <c r="B863" s="1" t="s">
        <v>35</v>
      </c>
      <c r="C863" s="11">
        <v>20</v>
      </c>
      <c r="D863" s="11">
        <v>19.59</v>
      </c>
      <c r="E863" s="2">
        <f t="shared" si="27"/>
        <v>0.41000000000000014</v>
      </c>
      <c r="F863" s="11">
        <v>0.20100000000000001</v>
      </c>
      <c r="G863" s="3">
        <f t="shared" si="26"/>
        <v>3.0550000000000011E-2</v>
      </c>
    </row>
    <row r="864" spans="1:7">
      <c r="A864" s="1">
        <v>25</v>
      </c>
      <c r="B864" s="1" t="s">
        <v>35</v>
      </c>
      <c r="C864" s="11">
        <v>40</v>
      </c>
      <c r="D864" s="11">
        <v>39.46</v>
      </c>
      <c r="E864" s="2">
        <f t="shared" si="27"/>
        <v>0.53999999999999915</v>
      </c>
      <c r="F864" s="11">
        <v>0.20699999999999999</v>
      </c>
      <c r="G864" s="3">
        <f t="shared" si="26"/>
        <v>1.8674999999999976E-2</v>
      </c>
    </row>
    <row r="865" spans="1:7">
      <c r="A865" s="1">
        <v>26</v>
      </c>
      <c r="B865" s="1" t="s">
        <v>35</v>
      </c>
      <c r="C865" s="11">
        <v>104.14</v>
      </c>
      <c r="D865" s="11">
        <v>103.05</v>
      </c>
      <c r="E865" s="2">
        <f t="shared" si="27"/>
        <v>1.0900000000000034</v>
      </c>
      <c r="F865" s="11">
        <v>0.20300000000000001</v>
      </c>
      <c r="G865" s="3">
        <f t="shared" si="26"/>
        <v>1.24159784904936E-2</v>
      </c>
    </row>
    <row r="866" spans="1:7">
      <c r="A866" s="1">
        <v>27</v>
      </c>
      <c r="B866" s="1" t="s">
        <v>35</v>
      </c>
      <c r="C866" s="11">
        <v>20</v>
      </c>
      <c r="D866" s="11">
        <v>19.59</v>
      </c>
      <c r="E866" s="2">
        <f t="shared" si="27"/>
        <v>0.41000000000000014</v>
      </c>
      <c r="F866" s="11">
        <v>0.191</v>
      </c>
      <c r="G866" s="3">
        <f t="shared" si="26"/>
        <v>3.0050000000000011E-2</v>
      </c>
    </row>
    <row r="867" spans="1:7">
      <c r="A867" s="1">
        <v>28</v>
      </c>
      <c r="B867" s="1" t="s">
        <v>35</v>
      </c>
      <c r="C867" s="11">
        <v>40</v>
      </c>
      <c r="D867" s="11">
        <v>39.53</v>
      </c>
      <c r="E867" s="2">
        <f t="shared" si="27"/>
        <v>0.46999999999999886</v>
      </c>
      <c r="F867" s="11">
        <v>0.216</v>
      </c>
      <c r="G867" s="3">
        <f t="shared" si="26"/>
        <v>1.7149999999999971E-2</v>
      </c>
    </row>
    <row r="868" spans="1:7">
      <c r="A868" s="1">
        <v>29</v>
      </c>
      <c r="B868" s="1" t="s">
        <v>35</v>
      </c>
      <c r="C868" s="11">
        <v>20</v>
      </c>
      <c r="D868" s="11">
        <v>19.68</v>
      </c>
      <c r="E868" s="2">
        <f t="shared" si="27"/>
        <v>0.32000000000000028</v>
      </c>
      <c r="F868" s="11">
        <v>0.17799999999999999</v>
      </c>
      <c r="G868" s="3">
        <f t="shared" si="26"/>
        <v>2.4900000000000012E-2</v>
      </c>
    </row>
    <row r="869" spans="1:7">
      <c r="A869" s="1">
        <v>30</v>
      </c>
      <c r="B869" s="1" t="s">
        <v>35</v>
      </c>
      <c r="C869" s="11">
        <v>40</v>
      </c>
      <c r="D869" s="11">
        <v>39.659999999999997</v>
      </c>
      <c r="E869" s="2">
        <f t="shared" si="27"/>
        <v>0.34000000000000341</v>
      </c>
      <c r="F869" s="11">
        <v>0.216</v>
      </c>
      <c r="G869" s="3">
        <f t="shared" ref="G869:G932" si="28">(E869+F869)/C869</f>
        <v>1.3900000000000084E-2</v>
      </c>
    </row>
    <row r="870" spans="1:7">
      <c r="A870" s="1">
        <v>31</v>
      </c>
      <c r="B870" s="1" t="s">
        <v>35</v>
      </c>
      <c r="C870" s="11">
        <v>0</v>
      </c>
      <c r="D870" s="11">
        <v>0</v>
      </c>
      <c r="E870" s="2">
        <f t="shared" si="27"/>
        <v>0</v>
      </c>
      <c r="F870" s="11">
        <v>0.18099999999999999</v>
      </c>
      <c r="G870" s="3" t="e">
        <f t="shared" si="28"/>
        <v>#DIV/0!</v>
      </c>
    </row>
    <row r="871" spans="1:7">
      <c r="A871" s="1">
        <v>1</v>
      </c>
      <c r="B871" s="1" t="s">
        <v>36</v>
      </c>
      <c r="C871" s="11">
        <v>12.7</v>
      </c>
      <c r="D871" s="11">
        <v>12.65</v>
      </c>
      <c r="E871" s="2">
        <f t="shared" si="27"/>
        <v>4.9999999999998934E-2</v>
      </c>
      <c r="F871" s="11">
        <v>0.17</v>
      </c>
      <c r="G871" s="3">
        <f t="shared" si="28"/>
        <v>1.7322834645669208E-2</v>
      </c>
    </row>
    <row r="872" spans="1:7">
      <c r="A872" s="1">
        <v>2</v>
      </c>
      <c r="B872" s="1" t="s">
        <v>36</v>
      </c>
      <c r="C872" s="11">
        <v>11.13</v>
      </c>
      <c r="D872" s="11">
        <v>11.06</v>
      </c>
      <c r="E872" s="2">
        <f t="shared" si="27"/>
        <v>7.0000000000000284E-2</v>
      </c>
      <c r="F872" s="11">
        <v>9.5000000000000001E-2</v>
      </c>
      <c r="G872" s="3">
        <f t="shared" si="28"/>
        <v>1.4824797843665792E-2</v>
      </c>
    </row>
    <row r="873" spans="1:7">
      <c r="A873" s="1">
        <v>3</v>
      </c>
      <c r="B873" s="1" t="s">
        <v>36</v>
      </c>
      <c r="C873" s="11">
        <v>7.81</v>
      </c>
      <c r="D873" s="11">
        <v>7.78</v>
      </c>
      <c r="E873" s="2">
        <f t="shared" si="27"/>
        <v>2.9999999999999361E-2</v>
      </c>
      <c r="F873" s="11">
        <v>0.115</v>
      </c>
      <c r="G873" s="3">
        <f t="shared" si="28"/>
        <v>1.8565941101152287E-2</v>
      </c>
    </row>
    <row r="874" spans="1:7">
      <c r="A874" s="1">
        <v>4</v>
      </c>
      <c r="B874" s="1" t="s">
        <v>36</v>
      </c>
      <c r="C874" s="11">
        <v>25.11</v>
      </c>
      <c r="D874" s="11">
        <v>24.94</v>
      </c>
      <c r="E874" s="2">
        <f t="shared" si="27"/>
        <v>0.16999999999999815</v>
      </c>
      <c r="F874" s="11">
        <v>6.5000000000000002E-2</v>
      </c>
      <c r="G874" s="3">
        <f t="shared" si="28"/>
        <v>9.3588211867781032E-3</v>
      </c>
    </row>
    <row r="875" spans="1:7">
      <c r="A875" s="1">
        <v>5</v>
      </c>
      <c r="B875" s="1" t="s">
        <v>36</v>
      </c>
      <c r="C875" s="11">
        <v>20.149999999999999</v>
      </c>
      <c r="D875" s="11">
        <v>20.100000000000001</v>
      </c>
      <c r="E875" s="2">
        <f t="shared" si="27"/>
        <v>4.9999999999997158E-2</v>
      </c>
      <c r="F875" s="11">
        <v>0.16</v>
      </c>
      <c r="G875" s="3">
        <f t="shared" si="28"/>
        <v>1.0421836228287702E-2</v>
      </c>
    </row>
    <row r="876" spans="1:7">
      <c r="A876" s="1">
        <v>6</v>
      </c>
      <c r="B876" s="1" t="s">
        <v>36</v>
      </c>
      <c r="C876" s="11">
        <v>6.15</v>
      </c>
      <c r="D876" s="11">
        <v>6.1</v>
      </c>
      <c r="E876" s="2">
        <f t="shared" si="27"/>
        <v>5.0000000000000711E-2</v>
      </c>
      <c r="F876" s="11">
        <v>0.1</v>
      </c>
      <c r="G876" s="3">
        <f t="shared" si="28"/>
        <v>2.439024390243914E-2</v>
      </c>
    </row>
    <row r="877" spans="1:7">
      <c r="A877" s="1">
        <v>7</v>
      </c>
      <c r="B877" s="1" t="s">
        <v>36</v>
      </c>
      <c r="C877" s="11">
        <v>0</v>
      </c>
      <c r="D877" s="11">
        <v>0</v>
      </c>
      <c r="E877" s="2">
        <f t="shared" si="27"/>
        <v>0</v>
      </c>
      <c r="F877" s="11">
        <v>0.19500000000000001</v>
      </c>
      <c r="G877" s="3" t="e">
        <f t="shared" si="28"/>
        <v>#DIV/0!</v>
      </c>
    </row>
    <row r="878" spans="1:7">
      <c r="A878" s="1">
        <v>10</v>
      </c>
      <c r="B878" s="1" t="s">
        <v>36</v>
      </c>
      <c r="C878" s="11">
        <v>9.7899999999999991</v>
      </c>
      <c r="D878" s="11">
        <v>9.74</v>
      </c>
      <c r="E878" s="2">
        <f t="shared" si="27"/>
        <v>4.9999999999998934E-2</v>
      </c>
      <c r="F878" s="11">
        <v>2.5000000000000001E-2</v>
      </c>
      <c r="G878" s="3">
        <f t="shared" si="28"/>
        <v>7.6608784473951924E-3</v>
      </c>
    </row>
    <row r="879" spans="1:7">
      <c r="A879" s="1">
        <v>8</v>
      </c>
      <c r="B879" s="1" t="s">
        <v>36</v>
      </c>
      <c r="C879" s="11">
        <v>24.355</v>
      </c>
      <c r="D879" s="11">
        <v>24.185000000000002</v>
      </c>
      <c r="E879" s="2">
        <f t="shared" si="27"/>
        <v>0.16999999999999815</v>
      </c>
      <c r="F879" s="11">
        <v>0</v>
      </c>
      <c r="G879" s="3">
        <f t="shared" si="28"/>
        <v>6.9800862245944627E-3</v>
      </c>
    </row>
    <row r="880" spans="1:7">
      <c r="A880" s="1">
        <v>9</v>
      </c>
      <c r="B880" s="1" t="s">
        <v>36</v>
      </c>
      <c r="C880" s="11">
        <v>19.899999999999999</v>
      </c>
      <c r="D880" s="11">
        <v>19.850000000000001</v>
      </c>
      <c r="E880" s="2">
        <f t="shared" si="27"/>
        <v>4.9999999999997158E-2</v>
      </c>
      <c r="F880" s="11">
        <v>0.12</v>
      </c>
      <c r="G880" s="3">
        <f t="shared" si="28"/>
        <v>8.5427135678390539E-3</v>
      </c>
    </row>
    <row r="881" spans="1:7">
      <c r="A881" s="1">
        <v>11</v>
      </c>
      <c r="B881" s="1" t="s">
        <v>36</v>
      </c>
      <c r="C881" s="11">
        <v>26.45</v>
      </c>
      <c r="D881" s="11">
        <v>26.25</v>
      </c>
      <c r="E881" s="2">
        <f t="shared" si="27"/>
        <v>0.19999999999999929</v>
      </c>
      <c r="F881" s="11">
        <v>0.14499999999999999</v>
      </c>
      <c r="G881" s="3">
        <f t="shared" si="28"/>
        <v>1.304347826086954E-2</v>
      </c>
    </row>
    <row r="882" spans="1:7">
      <c r="A882" s="1">
        <v>12</v>
      </c>
      <c r="B882" s="1" t="s">
        <v>36</v>
      </c>
      <c r="C882" s="11">
        <v>0</v>
      </c>
      <c r="D882" s="11">
        <v>0</v>
      </c>
      <c r="E882" s="2">
        <f t="shared" si="27"/>
        <v>0</v>
      </c>
      <c r="F882" s="11">
        <v>5.625</v>
      </c>
      <c r="G882" s="3" t="e">
        <f t="shared" si="28"/>
        <v>#DIV/0!</v>
      </c>
    </row>
    <row r="883" spans="1:7">
      <c r="A883" s="1">
        <v>13</v>
      </c>
      <c r="B883" s="1" t="s">
        <v>36</v>
      </c>
      <c r="C883" s="11">
        <v>307.55</v>
      </c>
      <c r="D883" s="11">
        <v>307.55</v>
      </c>
      <c r="E883" s="2">
        <f t="shared" si="27"/>
        <v>0</v>
      </c>
      <c r="F883" s="11">
        <v>0.28999999999999998</v>
      </c>
      <c r="G883" s="3">
        <f t="shared" si="28"/>
        <v>9.4293610794992679E-4</v>
      </c>
    </row>
    <row r="884" spans="1:7">
      <c r="A884" s="1">
        <v>14</v>
      </c>
      <c r="B884" s="1" t="s">
        <v>36</v>
      </c>
      <c r="C884" s="11">
        <v>0</v>
      </c>
      <c r="D884" s="11">
        <v>0</v>
      </c>
      <c r="E884" s="2">
        <f t="shared" si="27"/>
        <v>0</v>
      </c>
      <c r="F884" s="11">
        <v>0.29499999999999998</v>
      </c>
      <c r="G884" s="3" t="e">
        <f t="shared" si="28"/>
        <v>#DIV/0!</v>
      </c>
    </row>
    <row r="885" spans="1:7">
      <c r="A885" s="1">
        <v>15</v>
      </c>
      <c r="B885" s="1" t="s">
        <v>36</v>
      </c>
      <c r="C885" s="11">
        <v>6.14</v>
      </c>
      <c r="D885" s="11">
        <v>6.12</v>
      </c>
      <c r="E885" s="2">
        <f t="shared" si="27"/>
        <v>1.9999999999999574E-2</v>
      </c>
      <c r="F885" s="11">
        <v>0.14000000000000001</v>
      </c>
      <c r="G885" s="3">
        <f t="shared" si="28"/>
        <v>2.6058631921824039E-2</v>
      </c>
    </row>
    <row r="886" spans="1:7">
      <c r="A886" s="1">
        <v>16</v>
      </c>
      <c r="B886" s="1" t="s">
        <v>36</v>
      </c>
      <c r="C886" s="11">
        <v>15.5</v>
      </c>
      <c r="D886" s="11">
        <v>15.4</v>
      </c>
      <c r="E886" s="2">
        <f t="shared" si="27"/>
        <v>9.9999999999999645E-2</v>
      </c>
      <c r="F886" s="11">
        <v>0.23499999999999999</v>
      </c>
      <c r="G886" s="3">
        <f t="shared" si="28"/>
        <v>2.1612903225806428E-2</v>
      </c>
    </row>
    <row r="887" spans="1:7">
      <c r="A887" s="1">
        <v>17</v>
      </c>
      <c r="B887" s="1" t="s">
        <v>36</v>
      </c>
      <c r="C887" s="11">
        <v>0</v>
      </c>
      <c r="D887" s="11">
        <v>0</v>
      </c>
      <c r="E887" s="2">
        <f t="shared" si="27"/>
        <v>0</v>
      </c>
      <c r="F887" s="11">
        <v>0.41499999999999998</v>
      </c>
      <c r="G887" s="3" t="e">
        <f t="shared" si="28"/>
        <v>#DIV/0!</v>
      </c>
    </row>
    <row r="888" spans="1:7">
      <c r="A888" s="1">
        <v>18</v>
      </c>
      <c r="B888" s="1" t="s">
        <v>36</v>
      </c>
      <c r="C888" s="11">
        <v>0</v>
      </c>
      <c r="D888" s="11">
        <v>0</v>
      </c>
      <c r="E888" s="2">
        <f t="shared" si="27"/>
        <v>0</v>
      </c>
      <c r="F888" s="11">
        <v>0.12999999999999856</v>
      </c>
      <c r="G888" s="3" t="e">
        <f t="shared" si="28"/>
        <v>#DIV/0!</v>
      </c>
    </row>
    <row r="889" spans="1:7">
      <c r="A889" s="1">
        <v>19</v>
      </c>
      <c r="B889" s="1" t="s">
        <v>36</v>
      </c>
      <c r="C889" s="11">
        <v>140</v>
      </c>
      <c r="D889" s="11">
        <v>139.55000000000001</v>
      </c>
      <c r="E889" s="2">
        <f t="shared" si="27"/>
        <v>0.44999999999998863</v>
      </c>
      <c r="F889" s="11">
        <v>0.375</v>
      </c>
      <c r="G889" s="3">
        <f t="shared" si="28"/>
        <v>5.8928571428570617E-3</v>
      </c>
    </row>
    <row r="890" spans="1:7">
      <c r="A890" s="1">
        <v>20</v>
      </c>
      <c r="B890" s="1" t="s">
        <v>36</v>
      </c>
      <c r="C890" s="11">
        <v>0</v>
      </c>
      <c r="D890" s="11">
        <v>0</v>
      </c>
      <c r="E890" s="2">
        <f t="shared" si="27"/>
        <v>0</v>
      </c>
      <c r="F890" s="11">
        <v>0.30499999999999999</v>
      </c>
      <c r="G890" s="3" t="e">
        <f t="shared" si="28"/>
        <v>#DIV/0!</v>
      </c>
    </row>
    <row r="891" spans="1:7">
      <c r="A891" s="1">
        <v>21</v>
      </c>
      <c r="B891" s="1" t="s">
        <v>36</v>
      </c>
      <c r="C891" s="11">
        <v>20</v>
      </c>
      <c r="D891" s="11">
        <v>20</v>
      </c>
      <c r="E891" s="2">
        <f t="shared" si="27"/>
        <v>0</v>
      </c>
      <c r="F891" s="11">
        <v>0.15</v>
      </c>
      <c r="G891" s="3">
        <f t="shared" si="28"/>
        <v>7.4999999999999997E-3</v>
      </c>
    </row>
    <row r="892" spans="1:7">
      <c r="A892" s="1">
        <v>22</v>
      </c>
      <c r="B892" s="1" t="s">
        <v>36</v>
      </c>
      <c r="C892" s="11">
        <v>0</v>
      </c>
      <c r="D892" s="11">
        <v>0</v>
      </c>
      <c r="E892" s="2">
        <f t="shared" si="27"/>
        <v>0</v>
      </c>
      <c r="F892" s="11">
        <v>0.9599999999999973</v>
      </c>
      <c r="G892" s="3" t="e">
        <f t="shared" si="28"/>
        <v>#DIV/0!</v>
      </c>
    </row>
    <row r="893" spans="1:7">
      <c r="A893" s="1">
        <v>23</v>
      </c>
      <c r="B893" s="1" t="s">
        <v>36</v>
      </c>
      <c r="C893" s="11">
        <v>0</v>
      </c>
      <c r="D893" s="11">
        <v>0</v>
      </c>
      <c r="E893" s="2">
        <f t="shared" si="27"/>
        <v>0</v>
      </c>
      <c r="F893" s="11">
        <v>0</v>
      </c>
      <c r="G893" s="3" t="e">
        <f t="shared" si="28"/>
        <v>#DIV/0!</v>
      </c>
    </row>
    <row r="894" spans="1:7">
      <c r="A894" s="1">
        <v>24</v>
      </c>
      <c r="B894" s="1" t="s">
        <v>36</v>
      </c>
      <c r="C894" s="11">
        <v>0</v>
      </c>
      <c r="D894" s="11">
        <v>0</v>
      </c>
      <c r="E894" s="2">
        <f t="shared" si="27"/>
        <v>0</v>
      </c>
      <c r="F894" s="11">
        <v>0.245</v>
      </c>
      <c r="G894" s="3" t="e">
        <f t="shared" si="28"/>
        <v>#DIV/0!</v>
      </c>
    </row>
    <row r="895" spans="1:7">
      <c r="A895" s="1">
        <v>25</v>
      </c>
      <c r="B895" s="1" t="s">
        <v>36</v>
      </c>
      <c r="C895" s="11">
        <v>0</v>
      </c>
      <c r="D895" s="11">
        <v>0</v>
      </c>
      <c r="E895" s="2">
        <f t="shared" si="27"/>
        <v>0</v>
      </c>
      <c r="F895" s="11">
        <v>0.1</v>
      </c>
      <c r="G895" s="28" t="e">
        <f t="shared" si="28"/>
        <v>#DIV/0!</v>
      </c>
    </row>
    <row r="896" spans="1:7">
      <c r="A896" s="1">
        <v>26</v>
      </c>
      <c r="B896" s="1" t="s">
        <v>36</v>
      </c>
      <c r="C896" s="11">
        <v>120</v>
      </c>
      <c r="D896" s="11">
        <v>119.7</v>
      </c>
      <c r="E896" s="2">
        <f t="shared" si="27"/>
        <v>0.29999999999999716</v>
      </c>
      <c r="F896" s="11">
        <v>7.4999999999999997E-2</v>
      </c>
      <c r="G896" s="3">
        <f t="shared" si="28"/>
        <v>3.1249999999999763E-3</v>
      </c>
    </row>
    <row r="897" spans="1:7">
      <c r="A897" s="1">
        <v>27</v>
      </c>
      <c r="B897" s="1" t="s">
        <v>36</v>
      </c>
      <c r="C897" s="11">
        <v>0</v>
      </c>
      <c r="D897" s="11">
        <v>0</v>
      </c>
      <c r="E897" s="2">
        <f t="shared" si="27"/>
        <v>0</v>
      </c>
      <c r="F897" s="11">
        <v>0.34499999999999997</v>
      </c>
      <c r="G897" s="3" t="e">
        <f t="shared" si="28"/>
        <v>#DIV/0!</v>
      </c>
    </row>
    <row r="898" spans="1:7">
      <c r="A898" s="1">
        <v>28</v>
      </c>
      <c r="B898" s="1" t="s">
        <v>36</v>
      </c>
      <c r="C898" s="11">
        <v>20</v>
      </c>
      <c r="D898" s="11">
        <v>20.05</v>
      </c>
      <c r="E898" s="2">
        <f t="shared" si="27"/>
        <v>-5.0000000000000711E-2</v>
      </c>
      <c r="F898" s="11">
        <v>0.05</v>
      </c>
      <c r="G898" s="3">
        <f t="shared" si="28"/>
        <v>-3.5388358909926862E-17</v>
      </c>
    </row>
    <row r="899" spans="1:7">
      <c r="A899" s="1">
        <v>29</v>
      </c>
      <c r="B899" s="1" t="s">
        <v>36</v>
      </c>
      <c r="C899" s="11">
        <v>20</v>
      </c>
      <c r="D899" s="11">
        <v>20.05</v>
      </c>
      <c r="E899" s="2">
        <f t="shared" si="27"/>
        <v>-5.0000000000000711E-2</v>
      </c>
      <c r="F899" s="11">
        <v>0.12</v>
      </c>
      <c r="G899" s="3">
        <f t="shared" si="28"/>
        <v>3.4999999999999641E-3</v>
      </c>
    </row>
    <row r="900" spans="1:7">
      <c r="A900" s="1">
        <v>30</v>
      </c>
      <c r="B900" s="1" t="s">
        <v>36</v>
      </c>
      <c r="C900" s="11">
        <v>0</v>
      </c>
      <c r="D900" s="11">
        <v>0</v>
      </c>
      <c r="E900" s="2">
        <f t="shared" ref="E900:E963" si="29">C900-D900</f>
        <v>0</v>
      </c>
      <c r="F900" s="11">
        <v>0.08</v>
      </c>
      <c r="G900" s="3" t="e">
        <f t="shared" si="28"/>
        <v>#DIV/0!</v>
      </c>
    </row>
    <row r="901" spans="1:7">
      <c r="A901" s="1">
        <v>31</v>
      </c>
      <c r="B901" s="1" t="s">
        <v>36</v>
      </c>
      <c r="C901" s="11">
        <v>59.9</v>
      </c>
      <c r="D901" s="11">
        <v>59.75</v>
      </c>
      <c r="E901" s="2">
        <f t="shared" si="29"/>
        <v>0.14999999999999858</v>
      </c>
      <c r="F901" s="11">
        <v>0.34499999999999997</v>
      </c>
      <c r="G901" s="3">
        <f t="shared" si="28"/>
        <v>8.2637729549248501E-3</v>
      </c>
    </row>
    <row r="902" spans="1:7">
      <c r="A902" s="1">
        <v>1</v>
      </c>
      <c r="B902" s="1" t="s">
        <v>37</v>
      </c>
      <c r="C902" s="11">
        <v>80</v>
      </c>
      <c r="D902" s="11">
        <v>79.680000000000007</v>
      </c>
      <c r="E902" s="2">
        <f t="shared" si="29"/>
        <v>0.31999999999999318</v>
      </c>
      <c r="F902" s="11">
        <v>1.095</v>
      </c>
      <c r="G902" s="3">
        <f t="shared" si="28"/>
        <v>1.7687499999999915E-2</v>
      </c>
    </row>
    <row r="903" spans="1:7">
      <c r="A903" s="1">
        <v>2</v>
      </c>
      <c r="B903" s="1" t="s">
        <v>37</v>
      </c>
      <c r="C903" s="11">
        <v>120</v>
      </c>
      <c r="D903" s="11">
        <v>119.69</v>
      </c>
      <c r="E903" s="2">
        <f t="shared" si="29"/>
        <v>0.31000000000000227</v>
      </c>
      <c r="F903" s="11">
        <v>1.714</v>
      </c>
      <c r="G903" s="3">
        <f t="shared" si="28"/>
        <v>1.6866666666666686E-2</v>
      </c>
    </row>
    <row r="904" spans="1:7">
      <c r="A904" s="1">
        <v>3</v>
      </c>
      <c r="B904" s="1" t="s">
        <v>37</v>
      </c>
      <c r="C904" s="11">
        <v>220</v>
      </c>
      <c r="D904" s="11">
        <v>219.51</v>
      </c>
      <c r="E904" s="2">
        <f t="shared" si="29"/>
        <v>0.49000000000000909</v>
      </c>
      <c r="F904" s="11">
        <v>3.2879999999999998</v>
      </c>
      <c r="G904" s="3">
        <f t="shared" si="28"/>
        <v>1.7172727272727312E-2</v>
      </c>
    </row>
    <row r="905" spans="1:7">
      <c r="A905" s="1">
        <v>4</v>
      </c>
      <c r="B905" s="1" t="s">
        <v>37</v>
      </c>
      <c r="C905" s="11">
        <v>100</v>
      </c>
      <c r="D905" s="11">
        <v>99.77</v>
      </c>
      <c r="E905" s="2">
        <f t="shared" si="29"/>
        <v>0.23000000000000398</v>
      </c>
      <c r="F905" s="11">
        <v>1.3819999999999999</v>
      </c>
      <c r="G905" s="3">
        <f t="shared" si="28"/>
        <v>1.6120000000000037E-2</v>
      </c>
    </row>
    <row r="906" spans="1:7">
      <c r="A906" s="1">
        <v>5</v>
      </c>
      <c r="B906" s="1" t="s">
        <v>37</v>
      </c>
      <c r="C906" s="11">
        <v>60</v>
      </c>
      <c r="D906" s="11">
        <v>59.92</v>
      </c>
      <c r="E906" s="2">
        <f t="shared" si="29"/>
        <v>7.9999999999998295E-2</v>
      </c>
      <c r="F906" s="11">
        <v>0.86799999999999999</v>
      </c>
      <c r="G906" s="3">
        <f t="shared" si="28"/>
        <v>1.579999999999997E-2</v>
      </c>
    </row>
    <row r="907" spans="1:7">
      <c r="A907" s="1">
        <v>6</v>
      </c>
      <c r="B907" s="1" t="s">
        <v>37</v>
      </c>
      <c r="C907" s="11">
        <v>20</v>
      </c>
      <c r="D907" s="11">
        <v>19.97</v>
      </c>
      <c r="E907" s="2">
        <f t="shared" si="29"/>
        <v>3.0000000000001137E-2</v>
      </c>
      <c r="F907" s="11">
        <v>0.28199999999999997</v>
      </c>
      <c r="G907" s="3">
        <f t="shared" si="28"/>
        <v>1.5600000000000055E-2</v>
      </c>
    </row>
    <row r="908" spans="1:7">
      <c r="A908" s="1">
        <v>7</v>
      </c>
      <c r="B908" s="1" t="s">
        <v>37</v>
      </c>
      <c r="C908" s="11">
        <v>40</v>
      </c>
      <c r="D908" s="11">
        <v>39.880000000000003</v>
      </c>
      <c r="E908" s="2">
        <f t="shared" si="29"/>
        <v>0.11999999999999744</v>
      </c>
      <c r="F908" s="11">
        <v>0.54100000000000004</v>
      </c>
      <c r="G908" s="3">
        <f t="shared" si="28"/>
        <v>1.6524999999999936E-2</v>
      </c>
    </row>
    <row r="909" spans="1:7">
      <c r="A909" s="1">
        <v>10</v>
      </c>
      <c r="B909" s="1" t="s">
        <v>37</v>
      </c>
      <c r="C909" s="11">
        <v>140</v>
      </c>
      <c r="D909" s="11">
        <v>139.63</v>
      </c>
      <c r="E909" s="2">
        <f t="shared" si="29"/>
        <v>0.37000000000000455</v>
      </c>
      <c r="F909" s="11">
        <v>1.9610000000000001</v>
      </c>
      <c r="G909" s="3">
        <f t="shared" si="28"/>
        <v>1.6650000000000036E-2</v>
      </c>
    </row>
    <row r="910" spans="1:7">
      <c r="A910" s="1">
        <v>8</v>
      </c>
      <c r="B910" s="1" t="s">
        <v>37</v>
      </c>
      <c r="C910" s="11">
        <v>40</v>
      </c>
      <c r="D910" s="11">
        <v>39.86</v>
      </c>
      <c r="E910" s="2">
        <f t="shared" si="29"/>
        <v>0.14000000000000057</v>
      </c>
      <c r="F910" s="11">
        <v>0.497</v>
      </c>
      <c r="G910" s="3">
        <f t="shared" si="28"/>
        <v>1.5925000000000016E-2</v>
      </c>
    </row>
    <row r="911" spans="1:7">
      <c r="A911" s="1">
        <v>9</v>
      </c>
      <c r="B911" s="1" t="s">
        <v>37</v>
      </c>
      <c r="C911" s="11">
        <v>60</v>
      </c>
      <c r="D911" s="11">
        <v>59.77</v>
      </c>
      <c r="E911" s="2">
        <f t="shared" si="29"/>
        <v>0.22999999999999687</v>
      </c>
      <c r="F911" s="11">
        <v>0.67</v>
      </c>
      <c r="G911" s="3">
        <f t="shared" si="28"/>
        <v>1.4999999999999949E-2</v>
      </c>
    </row>
    <row r="912" spans="1:7">
      <c r="A912" s="1">
        <v>11</v>
      </c>
      <c r="B912" s="1" t="s">
        <v>37</v>
      </c>
      <c r="C912" s="11">
        <v>40</v>
      </c>
      <c r="D912" s="11">
        <v>39.82</v>
      </c>
      <c r="E912" s="2">
        <f t="shared" si="29"/>
        <v>0.17999999999999972</v>
      </c>
      <c r="F912" s="11">
        <v>0.34699999999999998</v>
      </c>
      <c r="G912" s="3">
        <f t="shared" si="28"/>
        <v>1.3174999999999992E-2</v>
      </c>
    </row>
    <row r="913" spans="1:7">
      <c r="A913" s="1">
        <v>12</v>
      </c>
      <c r="B913" s="1" t="s">
        <v>37</v>
      </c>
      <c r="C913" s="11">
        <v>60</v>
      </c>
      <c r="D913" s="11">
        <v>59.83</v>
      </c>
      <c r="E913" s="2">
        <f t="shared" si="29"/>
        <v>0.17000000000000171</v>
      </c>
      <c r="F913" s="11">
        <v>0.65400000000000003</v>
      </c>
      <c r="G913" s="3">
        <f t="shared" si="28"/>
        <v>1.3733333333333363E-2</v>
      </c>
    </row>
    <row r="914" spans="1:7">
      <c r="A914" s="1">
        <v>13</v>
      </c>
      <c r="B914" s="1" t="s">
        <v>37</v>
      </c>
      <c r="C914" s="11">
        <v>0</v>
      </c>
      <c r="D914" s="11">
        <v>0</v>
      </c>
      <c r="E914" s="2">
        <f t="shared" si="29"/>
        <v>0</v>
      </c>
      <c r="F914" s="11">
        <v>0</v>
      </c>
      <c r="G914" s="3" t="e">
        <f t="shared" si="28"/>
        <v>#DIV/0!</v>
      </c>
    </row>
    <row r="915" spans="1:7">
      <c r="A915" s="1">
        <v>14</v>
      </c>
      <c r="B915" s="1" t="s">
        <v>37</v>
      </c>
      <c r="C915" s="11">
        <v>0</v>
      </c>
      <c r="D915" s="11">
        <v>0</v>
      </c>
      <c r="E915" s="2">
        <f t="shared" si="29"/>
        <v>0</v>
      </c>
      <c r="F915" s="11">
        <v>0</v>
      </c>
      <c r="G915" s="3" t="e">
        <f t="shared" si="28"/>
        <v>#DIV/0!</v>
      </c>
    </row>
    <row r="916" spans="1:7">
      <c r="A916" s="1">
        <v>15</v>
      </c>
      <c r="B916" s="1" t="s">
        <v>37</v>
      </c>
      <c r="C916" s="11">
        <v>20</v>
      </c>
      <c r="D916" s="11">
        <v>19.940000000000001</v>
      </c>
      <c r="E916" s="2">
        <f t="shared" si="29"/>
        <v>5.9999999999998721E-2</v>
      </c>
      <c r="F916" s="11">
        <v>0.252</v>
      </c>
      <c r="G916" s="3">
        <f t="shared" si="28"/>
        <v>1.5599999999999937E-2</v>
      </c>
    </row>
    <row r="917" spans="1:7">
      <c r="A917" s="1">
        <v>16</v>
      </c>
      <c r="B917" s="1" t="s">
        <v>37</v>
      </c>
      <c r="C917" s="11">
        <v>20</v>
      </c>
      <c r="D917" s="11">
        <v>19.91</v>
      </c>
      <c r="E917" s="2">
        <f t="shared" si="29"/>
        <v>8.9999999999999858E-2</v>
      </c>
      <c r="F917" s="11">
        <v>0.21199999999999999</v>
      </c>
      <c r="G917" s="3">
        <f t="shared" si="28"/>
        <v>1.5099999999999992E-2</v>
      </c>
    </row>
    <row r="918" spans="1:7">
      <c r="A918" s="1">
        <v>17</v>
      </c>
      <c r="B918" s="1" t="s">
        <v>37</v>
      </c>
      <c r="C918" s="11">
        <v>25.93</v>
      </c>
      <c r="D918" s="11">
        <v>25.86</v>
      </c>
      <c r="E918" s="2">
        <f t="shared" si="29"/>
        <v>7.0000000000000284E-2</v>
      </c>
      <c r="F918" s="11">
        <v>0.34799999999999998</v>
      </c>
      <c r="G918" s="3">
        <f t="shared" si="28"/>
        <v>1.6120323949093723E-2</v>
      </c>
    </row>
    <row r="919" spans="1:7">
      <c r="A919" s="1">
        <v>18</v>
      </c>
      <c r="B919" s="1" t="s">
        <v>37</v>
      </c>
      <c r="C919" s="11">
        <v>20</v>
      </c>
      <c r="D919" s="11">
        <v>19.97</v>
      </c>
      <c r="E919" s="2">
        <f t="shared" si="29"/>
        <v>3.0000000000001137E-2</v>
      </c>
      <c r="F919" s="11">
        <v>0.28000000000000003</v>
      </c>
      <c r="G919" s="3">
        <f t="shared" si="28"/>
        <v>1.5500000000000059E-2</v>
      </c>
    </row>
    <row r="920" spans="1:7">
      <c r="A920" s="1">
        <v>19</v>
      </c>
      <c r="B920" s="1" t="s">
        <v>37</v>
      </c>
      <c r="C920" s="11">
        <v>69.31</v>
      </c>
      <c r="D920" s="11">
        <v>69.14</v>
      </c>
      <c r="E920" s="2">
        <f t="shared" si="29"/>
        <v>0.17000000000000171</v>
      </c>
      <c r="F920" s="11">
        <v>0.84</v>
      </c>
      <c r="G920" s="3">
        <f t="shared" si="28"/>
        <v>1.4572211802048788E-2</v>
      </c>
    </row>
    <row r="921" spans="1:7">
      <c r="A921" s="1">
        <v>20</v>
      </c>
      <c r="B921" s="1" t="s">
        <v>37</v>
      </c>
      <c r="C921" s="11">
        <v>28.48</v>
      </c>
      <c r="D921" s="11">
        <v>28.33</v>
      </c>
      <c r="E921" s="2">
        <f t="shared" si="29"/>
        <v>0.15000000000000213</v>
      </c>
      <c r="F921" s="11">
        <v>0.32800000000000001</v>
      </c>
      <c r="G921" s="3">
        <f t="shared" si="28"/>
        <v>1.6783707865168616E-2</v>
      </c>
    </row>
    <row r="922" spans="1:7">
      <c r="A922" s="1">
        <v>21</v>
      </c>
      <c r="B922" s="1" t="s">
        <v>37</v>
      </c>
      <c r="C922" s="11">
        <v>26.15</v>
      </c>
      <c r="D922" s="11">
        <v>26</v>
      </c>
      <c r="E922" s="2">
        <f t="shared" si="29"/>
        <v>0.14999999999999858</v>
      </c>
      <c r="F922" s="11">
        <v>0.33600000000000002</v>
      </c>
      <c r="G922" s="3">
        <f t="shared" si="28"/>
        <v>1.8585086042064956E-2</v>
      </c>
    </row>
    <row r="923" spans="1:7">
      <c r="A923" s="1">
        <v>22</v>
      </c>
      <c r="B923" s="1" t="s">
        <v>37</v>
      </c>
      <c r="C923" s="11">
        <v>0</v>
      </c>
      <c r="D923" s="11">
        <v>0</v>
      </c>
      <c r="E923" s="2">
        <f t="shared" si="29"/>
        <v>0</v>
      </c>
      <c r="F923" s="11">
        <v>0</v>
      </c>
      <c r="G923" s="3" t="e">
        <f t="shared" si="28"/>
        <v>#DIV/0!</v>
      </c>
    </row>
    <row r="924" spans="1:7">
      <c r="A924" s="1">
        <v>23</v>
      </c>
      <c r="B924" s="1" t="s">
        <v>37</v>
      </c>
      <c r="C924" s="11">
        <v>29.77</v>
      </c>
      <c r="D924" s="11">
        <v>29.6</v>
      </c>
      <c r="E924" s="2">
        <f t="shared" si="29"/>
        <v>0.16999999999999815</v>
      </c>
      <c r="F924" s="11">
        <v>0.30299999999999999</v>
      </c>
      <c r="G924" s="3">
        <f t="shared" si="28"/>
        <v>1.5888478333893119E-2</v>
      </c>
    </row>
    <row r="925" spans="1:7">
      <c r="A925" s="1">
        <v>24</v>
      </c>
      <c r="B925" s="1" t="s">
        <v>37</v>
      </c>
      <c r="C925" s="11">
        <v>26.69</v>
      </c>
      <c r="D925" s="11">
        <v>26.58</v>
      </c>
      <c r="E925" s="2">
        <f t="shared" si="29"/>
        <v>0.11000000000000298</v>
      </c>
      <c r="F925" s="11">
        <v>0.34499999999999997</v>
      </c>
      <c r="G925" s="3">
        <f t="shared" si="28"/>
        <v>1.7047583364556123E-2</v>
      </c>
    </row>
    <row r="926" spans="1:7">
      <c r="A926" s="1">
        <v>25</v>
      </c>
      <c r="B926" s="1" t="s">
        <v>37</v>
      </c>
      <c r="C926" s="11">
        <v>60</v>
      </c>
      <c r="D926" s="11">
        <v>59.78</v>
      </c>
      <c r="E926" s="2">
        <f t="shared" si="29"/>
        <v>0.21999999999999886</v>
      </c>
      <c r="F926" s="11">
        <v>0.97699999999999998</v>
      </c>
      <c r="G926" s="3">
        <f t="shared" si="28"/>
        <v>1.9949999999999978E-2</v>
      </c>
    </row>
    <row r="927" spans="1:7">
      <c r="A927" s="1">
        <v>26</v>
      </c>
      <c r="B927" s="1" t="s">
        <v>37</v>
      </c>
      <c r="C927" s="11">
        <v>110.38</v>
      </c>
      <c r="D927" s="11">
        <v>109.99</v>
      </c>
      <c r="E927" s="2">
        <f t="shared" si="29"/>
        <v>0.39000000000000057</v>
      </c>
      <c r="F927" s="11">
        <v>1.8129999999999999</v>
      </c>
      <c r="G927" s="3">
        <f t="shared" si="28"/>
        <v>1.9958325783656462E-2</v>
      </c>
    </row>
    <row r="928" spans="1:7">
      <c r="A928" s="1">
        <v>27</v>
      </c>
      <c r="B928" s="1" t="s">
        <v>37</v>
      </c>
      <c r="C928" s="11">
        <v>44.56</v>
      </c>
      <c r="D928" s="11">
        <v>44.43</v>
      </c>
      <c r="E928" s="2">
        <f t="shared" si="29"/>
        <v>0.13000000000000256</v>
      </c>
      <c r="F928" s="11">
        <v>0.629</v>
      </c>
      <c r="G928" s="3">
        <f t="shared" si="28"/>
        <v>1.7033213644524293E-2</v>
      </c>
    </row>
    <row r="929" spans="1:7">
      <c r="A929" s="1">
        <v>28</v>
      </c>
      <c r="B929" s="1" t="s">
        <v>37</v>
      </c>
      <c r="C929" s="11">
        <v>44.56</v>
      </c>
      <c r="D929" s="11">
        <v>44.43</v>
      </c>
      <c r="E929" s="2">
        <f t="shared" si="29"/>
        <v>0.13000000000000256</v>
      </c>
      <c r="F929" s="11">
        <v>0.629</v>
      </c>
      <c r="G929" s="3">
        <f t="shared" si="28"/>
        <v>1.7033213644524293E-2</v>
      </c>
    </row>
    <row r="930" spans="1:7">
      <c r="A930" s="1">
        <v>29</v>
      </c>
      <c r="B930" s="1" t="s">
        <v>37</v>
      </c>
      <c r="C930" s="11">
        <v>48.76</v>
      </c>
      <c r="D930" s="11">
        <v>48.6</v>
      </c>
      <c r="E930" s="2">
        <f t="shared" si="29"/>
        <v>0.15999999999999659</v>
      </c>
      <c r="F930" s="11">
        <v>0.76</v>
      </c>
      <c r="G930" s="3">
        <f t="shared" si="28"/>
        <v>1.8867924528301817E-2</v>
      </c>
    </row>
    <row r="931" spans="1:7">
      <c r="A931" s="1">
        <v>30</v>
      </c>
      <c r="B931" s="1" t="s">
        <v>37</v>
      </c>
      <c r="C931" s="11">
        <v>20</v>
      </c>
      <c r="D931" s="11">
        <v>19.899999999999999</v>
      </c>
      <c r="E931" s="2">
        <f t="shared" si="29"/>
        <v>0.10000000000000142</v>
      </c>
      <c r="F931" s="11">
        <v>0.28399999999999997</v>
      </c>
      <c r="G931" s="3">
        <f t="shared" si="28"/>
        <v>1.9200000000000071E-2</v>
      </c>
    </row>
    <row r="932" spans="1:7">
      <c r="A932" s="1">
        <v>31</v>
      </c>
      <c r="B932" s="1" t="s">
        <v>37</v>
      </c>
      <c r="C932" s="11">
        <v>28.54</v>
      </c>
      <c r="D932" s="11">
        <v>28.49</v>
      </c>
      <c r="E932" s="2">
        <f t="shared" si="29"/>
        <v>5.0000000000000711E-2</v>
      </c>
      <c r="F932" s="11">
        <v>0.45800000000000002</v>
      </c>
      <c r="G932" s="3">
        <f t="shared" si="28"/>
        <v>1.7799579537491266E-2</v>
      </c>
    </row>
    <row r="933" spans="1:7">
      <c r="A933" s="1">
        <v>1</v>
      </c>
      <c r="B933" s="1" t="s">
        <v>38</v>
      </c>
      <c r="C933" s="11">
        <v>20</v>
      </c>
      <c r="D933" s="11">
        <v>19.760000000000002</v>
      </c>
      <c r="E933" s="2">
        <f t="shared" si="29"/>
        <v>0.23999999999999844</v>
      </c>
      <c r="F933" s="11">
        <v>0.26600000000000001</v>
      </c>
      <c r="G933" s="3">
        <f t="shared" ref="G933:G1399" si="30">(E933+F933)/C933</f>
        <v>2.5299999999999923E-2</v>
      </c>
    </row>
    <row r="934" spans="1:7">
      <c r="A934" s="1">
        <v>2</v>
      </c>
      <c r="B934" s="1" t="s">
        <v>38</v>
      </c>
      <c r="C934" s="11">
        <v>0</v>
      </c>
      <c r="D934" s="11">
        <v>0</v>
      </c>
      <c r="E934" s="2">
        <f t="shared" si="29"/>
        <v>0</v>
      </c>
      <c r="F934" s="11">
        <v>0.629</v>
      </c>
      <c r="G934" s="3" t="e">
        <f t="shared" si="30"/>
        <v>#DIV/0!</v>
      </c>
    </row>
    <row r="935" spans="1:7">
      <c r="A935" s="1">
        <v>3</v>
      </c>
      <c r="B935" s="1" t="s">
        <v>38</v>
      </c>
      <c r="C935" s="11">
        <v>60</v>
      </c>
      <c r="D935" s="11">
        <v>59.07</v>
      </c>
      <c r="E935" s="2">
        <f t="shared" si="29"/>
        <v>0.92999999999999972</v>
      </c>
      <c r="F935" s="11">
        <v>0.78400000000000003</v>
      </c>
      <c r="G935" s="3">
        <f t="shared" si="30"/>
        <v>2.8566666666666664E-2</v>
      </c>
    </row>
    <row r="936" spans="1:7">
      <c r="A936" s="1">
        <v>4</v>
      </c>
      <c r="B936" s="1" t="s">
        <v>38</v>
      </c>
      <c r="C936" s="11">
        <v>40</v>
      </c>
      <c r="D936" s="11">
        <v>39.36</v>
      </c>
      <c r="E936" s="2">
        <f t="shared" si="29"/>
        <v>0.64000000000000057</v>
      </c>
      <c r="F936" s="11">
        <v>0.748</v>
      </c>
      <c r="G936" s="3">
        <f t="shared" si="30"/>
        <v>3.4700000000000016E-2</v>
      </c>
    </row>
    <row r="937" spans="1:7">
      <c r="A937" s="1">
        <v>5</v>
      </c>
      <c r="B937" s="1" t="s">
        <v>38</v>
      </c>
      <c r="C937" s="11">
        <v>40</v>
      </c>
      <c r="D937" s="11">
        <v>39.18</v>
      </c>
      <c r="E937" s="2">
        <f t="shared" si="29"/>
        <v>0.82000000000000028</v>
      </c>
      <c r="F937" s="11">
        <v>0.45700000000000002</v>
      </c>
      <c r="G937" s="3">
        <f t="shared" si="30"/>
        <v>3.1925000000000009E-2</v>
      </c>
    </row>
    <row r="938" spans="1:7">
      <c r="A938" s="1">
        <v>6</v>
      </c>
      <c r="B938" s="1" t="s">
        <v>38</v>
      </c>
      <c r="C938" s="11">
        <v>20</v>
      </c>
      <c r="D938" s="11">
        <v>19.64</v>
      </c>
      <c r="E938" s="2">
        <f t="shared" si="29"/>
        <v>0.35999999999999943</v>
      </c>
      <c r="F938" s="11">
        <v>1.7000000000000001E-2</v>
      </c>
      <c r="G938" s="3">
        <f t="shared" si="30"/>
        <v>1.8849999999999971E-2</v>
      </c>
    </row>
    <row r="939" spans="1:7">
      <c r="A939" s="1">
        <v>7</v>
      </c>
      <c r="B939" s="1" t="s">
        <v>38</v>
      </c>
      <c r="C939" s="11">
        <v>20</v>
      </c>
      <c r="D939" s="11">
        <v>19.52</v>
      </c>
      <c r="E939" s="2">
        <f t="shared" si="29"/>
        <v>0.48000000000000043</v>
      </c>
      <c r="F939" s="11">
        <v>7.8E-2</v>
      </c>
      <c r="G939" s="3">
        <f t="shared" si="30"/>
        <v>2.7900000000000019E-2</v>
      </c>
    </row>
    <row r="940" spans="1:7">
      <c r="A940" s="1">
        <v>10</v>
      </c>
      <c r="B940" s="1" t="s">
        <v>38</v>
      </c>
      <c r="C940" s="11">
        <v>20</v>
      </c>
      <c r="D940" s="11">
        <v>19.399999999999999</v>
      </c>
      <c r="E940" s="2">
        <f t="shared" si="29"/>
        <v>0.60000000000000142</v>
      </c>
      <c r="F940" s="11">
        <v>6.8000000000000005E-2</v>
      </c>
      <c r="G940" s="3">
        <f t="shared" si="30"/>
        <v>3.3400000000000075E-2</v>
      </c>
    </row>
    <row r="941" spans="1:7">
      <c r="A941" s="1">
        <v>8</v>
      </c>
      <c r="B941" s="1" t="s">
        <v>38</v>
      </c>
      <c r="C941" s="11">
        <v>20</v>
      </c>
      <c r="D941" s="11">
        <v>19.82</v>
      </c>
      <c r="E941" s="2">
        <f t="shared" si="29"/>
        <v>0.17999999999999972</v>
      </c>
      <c r="F941" s="11">
        <v>0.47699999999999998</v>
      </c>
      <c r="G941" s="3">
        <f t="shared" si="30"/>
        <v>3.2849999999999983E-2</v>
      </c>
    </row>
    <row r="942" spans="1:7">
      <c r="A942" s="1">
        <v>9</v>
      </c>
      <c r="B942" s="1" t="s">
        <v>38</v>
      </c>
      <c r="C942" s="11">
        <v>60.93</v>
      </c>
      <c r="D942" s="11">
        <v>59.6</v>
      </c>
      <c r="E942" s="2">
        <f t="shared" si="29"/>
        <v>1.3299999999999983</v>
      </c>
      <c r="F942" s="11">
        <v>0.82499999999999996</v>
      </c>
      <c r="G942" s="3">
        <f t="shared" si="30"/>
        <v>3.5368455604792362E-2</v>
      </c>
    </row>
    <row r="943" spans="1:7">
      <c r="A943" s="1">
        <v>11</v>
      </c>
      <c r="B943" s="1" t="s">
        <v>38</v>
      </c>
      <c r="C943" s="11">
        <v>0</v>
      </c>
      <c r="D943" s="11">
        <v>0</v>
      </c>
      <c r="E943" s="2">
        <f t="shared" si="29"/>
        <v>0</v>
      </c>
      <c r="F943" s="11">
        <v>0.38</v>
      </c>
      <c r="G943" s="3" t="e">
        <f t="shared" si="30"/>
        <v>#DIV/0!</v>
      </c>
    </row>
    <row r="944" spans="1:7">
      <c r="A944" s="1">
        <v>12</v>
      </c>
      <c r="B944" s="1" t="s">
        <v>38</v>
      </c>
      <c r="C944" s="11">
        <v>0</v>
      </c>
      <c r="D944" s="11">
        <v>0</v>
      </c>
      <c r="E944" s="2">
        <f t="shared" si="29"/>
        <v>0</v>
      </c>
      <c r="F944" s="11">
        <v>0.28299999999999997</v>
      </c>
      <c r="G944" s="3" t="e">
        <f t="shared" si="30"/>
        <v>#DIV/0!</v>
      </c>
    </row>
    <row r="945" spans="1:7">
      <c r="A945" s="1">
        <v>13</v>
      </c>
      <c r="B945" s="1" t="s">
        <v>38</v>
      </c>
      <c r="C945" s="11">
        <v>20</v>
      </c>
      <c r="D945" s="11">
        <v>19.87</v>
      </c>
      <c r="E945" s="2">
        <f t="shared" si="29"/>
        <v>0.12999999999999901</v>
      </c>
      <c r="F945" s="11">
        <v>0.36699999999999999</v>
      </c>
      <c r="G945" s="3">
        <f t="shared" si="30"/>
        <v>2.4849999999999949E-2</v>
      </c>
    </row>
    <row r="946" spans="1:7">
      <c r="A946" s="1">
        <v>14</v>
      </c>
      <c r="B946" s="1" t="s">
        <v>38</v>
      </c>
      <c r="C946" s="11">
        <v>121.886</v>
      </c>
      <c r="D946" s="11">
        <v>116.55</v>
      </c>
      <c r="E946" s="2">
        <f t="shared" si="29"/>
        <v>5.3359999999999985</v>
      </c>
      <c r="F946" s="11">
        <v>4.4999999999999998E-2</v>
      </c>
      <c r="G946" s="3">
        <f t="shared" si="30"/>
        <v>4.4147810248921109E-2</v>
      </c>
    </row>
    <row r="947" spans="1:7">
      <c r="A947" s="1">
        <v>15</v>
      </c>
      <c r="B947" s="1" t="s">
        <v>38</v>
      </c>
      <c r="C947" s="11">
        <v>19.600000000000001</v>
      </c>
      <c r="D947" s="11">
        <v>19.38</v>
      </c>
      <c r="E947" s="2">
        <f t="shared" si="29"/>
        <v>0.22000000000000242</v>
      </c>
      <c r="F947" s="11">
        <v>0.28999999999999998</v>
      </c>
      <c r="G947" s="3">
        <f t="shared" si="30"/>
        <v>2.6020408163265431E-2</v>
      </c>
    </row>
    <row r="948" spans="1:7">
      <c r="A948" s="1">
        <v>16</v>
      </c>
      <c r="B948" s="1" t="s">
        <v>38</v>
      </c>
      <c r="C948" s="11">
        <v>27.228000000000002</v>
      </c>
      <c r="D948" s="11">
        <v>26.11</v>
      </c>
      <c r="E948" s="2">
        <f t="shared" si="29"/>
        <v>1.1180000000000021</v>
      </c>
      <c r="F948" s="11">
        <v>8.0000000000000002E-3</v>
      </c>
      <c r="G948" s="3">
        <f t="shared" si="30"/>
        <v>4.1354488027031074E-2</v>
      </c>
    </row>
    <row r="949" spans="1:7">
      <c r="A949" s="1">
        <v>17</v>
      </c>
      <c r="B949" s="1" t="s">
        <v>38</v>
      </c>
      <c r="C949" s="11">
        <v>0</v>
      </c>
      <c r="D949" s="11">
        <v>0</v>
      </c>
      <c r="E949" s="2">
        <f t="shared" si="29"/>
        <v>0</v>
      </c>
      <c r="F949" s="11">
        <v>0.42499999999999999</v>
      </c>
      <c r="G949" s="3" t="e">
        <f t="shared" si="30"/>
        <v>#DIV/0!</v>
      </c>
    </row>
    <row r="950" spans="1:7">
      <c r="A950" s="1">
        <v>18</v>
      </c>
      <c r="B950" s="1" t="s">
        <v>38</v>
      </c>
      <c r="C950" s="11">
        <v>20</v>
      </c>
      <c r="D950" s="11">
        <v>19.350000000000001</v>
      </c>
      <c r="E950" s="2">
        <f t="shared" si="29"/>
        <v>0.64999999999999858</v>
      </c>
      <c r="F950" s="11">
        <v>2.7E-2</v>
      </c>
      <c r="G950" s="3">
        <f t="shared" si="30"/>
        <v>3.3849999999999929E-2</v>
      </c>
    </row>
    <row r="951" spans="1:7">
      <c r="A951" s="1">
        <v>19</v>
      </c>
      <c r="B951" s="1" t="s">
        <v>38</v>
      </c>
      <c r="C951" s="11">
        <v>153.952</v>
      </c>
      <c r="D951" s="11">
        <v>149.05000000000001</v>
      </c>
      <c r="E951" s="2">
        <f t="shared" si="29"/>
        <v>4.9019999999999868</v>
      </c>
      <c r="F951" s="11">
        <v>2.9000000000000001E-2</v>
      </c>
      <c r="G951" s="3">
        <f t="shared" si="30"/>
        <v>3.2029463728954391E-2</v>
      </c>
    </row>
    <row r="952" spans="1:7">
      <c r="A952" s="1">
        <v>20</v>
      </c>
      <c r="B952" s="1" t="s">
        <v>38</v>
      </c>
      <c r="C952" s="11">
        <v>0</v>
      </c>
      <c r="D952" s="11">
        <v>0</v>
      </c>
      <c r="E952" s="2">
        <f t="shared" si="29"/>
        <v>0</v>
      </c>
      <c r="F952" s="11">
        <v>4.2080000000000002</v>
      </c>
      <c r="G952" s="3" t="e">
        <f t="shared" si="30"/>
        <v>#DIV/0!</v>
      </c>
    </row>
    <row r="953" spans="1:7">
      <c r="A953" s="1">
        <v>21</v>
      </c>
      <c r="B953" s="1" t="s">
        <v>38</v>
      </c>
      <c r="C953" s="11">
        <v>0</v>
      </c>
      <c r="D953" s="11">
        <v>0</v>
      </c>
      <c r="E953" s="2">
        <f t="shared" si="29"/>
        <v>0</v>
      </c>
      <c r="F953" s="11">
        <v>0.28299999999999997</v>
      </c>
      <c r="G953" s="3" t="e">
        <f t="shared" si="30"/>
        <v>#DIV/0!</v>
      </c>
    </row>
    <row r="954" spans="1:7">
      <c r="A954" s="1">
        <v>22</v>
      </c>
      <c r="B954" s="1" t="s">
        <v>38</v>
      </c>
      <c r="C954" s="11">
        <v>130.24</v>
      </c>
      <c r="D954" s="11">
        <v>127.27</v>
      </c>
      <c r="E954" s="2">
        <f t="shared" si="29"/>
        <v>2.9700000000000131</v>
      </c>
      <c r="F954" s="11">
        <v>0.41299999999999998</v>
      </c>
      <c r="G954" s="3">
        <f t="shared" si="30"/>
        <v>2.5975122850122948E-2</v>
      </c>
    </row>
    <row r="955" spans="1:7">
      <c r="A955" s="1">
        <v>23</v>
      </c>
      <c r="B955" s="1" t="s">
        <v>38</v>
      </c>
      <c r="C955" s="11">
        <v>0</v>
      </c>
      <c r="D955" s="11">
        <v>0</v>
      </c>
      <c r="E955" s="2">
        <f t="shared" si="29"/>
        <v>0</v>
      </c>
      <c r="F955" s="11">
        <v>0.124</v>
      </c>
      <c r="G955" s="3" t="e">
        <f t="shared" si="30"/>
        <v>#DIV/0!</v>
      </c>
    </row>
    <row r="956" spans="1:7">
      <c r="A956" s="1">
        <v>24</v>
      </c>
      <c r="B956" s="1" t="s">
        <v>38</v>
      </c>
      <c r="C956" s="11">
        <v>0</v>
      </c>
      <c r="D956" s="11">
        <v>0</v>
      </c>
      <c r="E956" s="2">
        <f t="shared" si="29"/>
        <v>0</v>
      </c>
      <c r="F956" s="11">
        <v>0.40699999999999997</v>
      </c>
      <c r="G956" s="3" t="e">
        <f t="shared" si="30"/>
        <v>#DIV/0!</v>
      </c>
    </row>
    <row r="957" spans="1:7">
      <c r="A957" s="1">
        <v>25</v>
      </c>
      <c r="B957" s="1" t="s">
        <v>38</v>
      </c>
      <c r="C957" s="11">
        <v>0</v>
      </c>
      <c r="D957" s="11">
        <v>0</v>
      </c>
      <c r="E957" s="2">
        <f t="shared" si="29"/>
        <v>0</v>
      </c>
      <c r="F957" s="11">
        <v>0.30299999999999999</v>
      </c>
      <c r="G957" s="3" t="e">
        <f t="shared" si="30"/>
        <v>#DIV/0!</v>
      </c>
    </row>
    <row r="958" spans="1:7">
      <c r="A958" s="1">
        <v>26</v>
      </c>
      <c r="B958" s="1" t="s">
        <v>38</v>
      </c>
      <c r="C958" s="11">
        <v>116.35599999999999</v>
      </c>
      <c r="D958" s="11">
        <v>113.97</v>
      </c>
      <c r="E958" s="2">
        <f t="shared" si="29"/>
        <v>2.3859999999999957</v>
      </c>
      <c r="F958" s="11">
        <v>0.98199999999999998</v>
      </c>
      <c r="G958" s="3">
        <f t="shared" si="30"/>
        <v>2.8945649558252226E-2</v>
      </c>
    </row>
    <row r="959" spans="1:7">
      <c r="A959" s="1">
        <v>27</v>
      </c>
      <c r="B959" s="1" t="s">
        <v>38</v>
      </c>
      <c r="C959" s="11">
        <v>80</v>
      </c>
      <c r="D959" s="11">
        <v>78.260000000000005</v>
      </c>
      <c r="E959" s="2">
        <f t="shared" si="29"/>
        <v>1.7399999999999949</v>
      </c>
      <c r="F959" s="11">
        <v>0.127</v>
      </c>
      <c r="G959" s="3">
        <f t="shared" si="30"/>
        <v>2.3337499999999935E-2</v>
      </c>
    </row>
    <row r="960" spans="1:7">
      <c r="A960" s="1">
        <v>28</v>
      </c>
      <c r="B960" s="1" t="s">
        <v>38</v>
      </c>
      <c r="C960" s="11">
        <v>120</v>
      </c>
      <c r="D960" s="11">
        <v>117.9</v>
      </c>
      <c r="E960" s="2">
        <f t="shared" si="29"/>
        <v>2.0999999999999943</v>
      </c>
      <c r="F960" s="11">
        <v>0.17799999999999999</v>
      </c>
      <c r="G960" s="3">
        <f t="shared" si="30"/>
        <v>1.8983333333333286E-2</v>
      </c>
    </row>
    <row r="961" spans="1:7">
      <c r="A961" s="1">
        <v>29</v>
      </c>
      <c r="B961" s="1" t="s">
        <v>38</v>
      </c>
      <c r="C961" s="11">
        <v>0</v>
      </c>
      <c r="D961" s="11">
        <v>0</v>
      </c>
      <c r="E961" s="2">
        <f t="shared" si="29"/>
        <v>0</v>
      </c>
      <c r="F961" s="11">
        <v>0.21299999999999999</v>
      </c>
      <c r="G961" s="3" t="e">
        <f t="shared" si="30"/>
        <v>#DIV/0!</v>
      </c>
    </row>
    <row r="962" spans="1:7">
      <c r="A962" s="1">
        <v>30</v>
      </c>
      <c r="B962" s="1" t="s">
        <v>38</v>
      </c>
      <c r="C962" s="11">
        <v>20</v>
      </c>
      <c r="D962" s="11">
        <v>19.47</v>
      </c>
      <c r="E962" s="2">
        <f t="shared" si="29"/>
        <v>0.53000000000000114</v>
      </c>
      <c r="F962" s="11">
        <v>0.18099999999999999</v>
      </c>
      <c r="G962" s="3">
        <f t="shared" si="30"/>
        <v>3.5550000000000061E-2</v>
      </c>
    </row>
    <row r="963" spans="1:7">
      <c r="A963" s="1">
        <v>31</v>
      </c>
      <c r="B963" s="1" t="s">
        <v>38</v>
      </c>
      <c r="C963" s="11">
        <v>20</v>
      </c>
      <c r="D963" s="11">
        <v>19.63</v>
      </c>
      <c r="E963" s="2">
        <f t="shared" si="29"/>
        <v>0.37000000000000099</v>
      </c>
      <c r="F963" s="11">
        <v>9.2999999999999999E-2</v>
      </c>
      <c r="G963" s="3">
        <f t="shared" si="30"/>
        <v>2.3150000000000049E-2</v>
      </c>
    </row>
    <row r="964" spans="1:7">
      <c r="A964" s="1">
        <v>1</v>
      </c>
      <c r="B964" s="1" t="s">
        <v>39</v>
      </c>
      <c r="C964" s="11">
        <v>0</v>
      </c>
      <c r="D964" s="11">
        <v>0</v>
      </c>
      <c r="E964" s="2">
        <f t="shared" ref="E964:E1027" si="31">C964-D964</f>
        <v>0</v>
      </c>
      <c r="F964" s="11">
        <v>0</v>
      </c>
      <c r="G964" s="3" t="e">
        <f t="shared" si="30"/>
        <v>#DIV/0!</v>
      </c>
    </row>
    <row r="965" spans="1:7">
      <c r="A965" s="1">
        <v>2</v>
      </c>
      <c r="B965" s="1" t="s">
        <v>39</v>
      </c>
      <c r="C965" s="11">
        <v>20</v>
      </c>
      <c r="D965" s="11">
        <v>19.760000000000002</v>
      </c>
      <c r="E965" s="2">
        <f t="shared" si="31"/>
        <v>0.23999999999999844</v>
      </c>
      <c r="F965" s="11">
        <v>0.18099999999999999</v>
      </c>
      <c r="G965" s="3">
        <f t="shared" si="30"/>
        <v>2.1049999999999923E-2</v>
      </c>
    </row>
    <row r="966" spans="1:7">
      <c r="A966" s="1">
        <v>3</v>
      </c>
      <c r="B966" s="1" t="s">
        <v>39</v>
      </c>
      <c r="C966" s="11">
        <v>160</v>
      </c>
      <c r="D966" s="11">
        <v>157.30000000000001</v>
      </c>
      <c r="E966" s="2">
        <f t="shared" si="31"/>
        <v>2.6999999999999886</v>
      </c>
      <c r="F966" s="11">
        <v>0.372</v>
      </c>
      <c r="G966" s="3">
        <f t="shared" si="30"/>
        <v>1.9199999999999929E-2</v>
      </c>
    </row>
    <row r="967" spans="1:7">
      <c r="A967" s="1">
        <v>4</v>
      </c>
      <c r="B967" s="1" t="s">
        <v>39</v>
      </c>
      <c r="C967" s="11">
        <v>40</v>
      </c>
      <c r="D967" s="11">
        <v>39.76</v>
      </c>
      <c r="E967" s="2">
        <f t="shared" si="31"/>
        <v>0.24000000000000199</v>
      </c>
      <c r="F967" s="11">
        <v>0.78700000000000003</v>
      </c>
      <c r="G967" s="3">
        <f t="shared" si="30"/>
        <v>2.5675000000000048E-2</v>
      </c>
    </row>
    <row r="968" spans="1:7">
      <c r="A968" s="1">
        <v>5</v>
      </c>
      <c r="B968" s="1" t="s">
        <v>39</v>
      </c>
      <c r="C968" s="11">
        <v>60</v>
      </c>
      <c r="D968" s="11">
        <v>58.15</v>
      </c>
      <c r="E968" s="2">
        <f t="shared" si="31"/>
        <v>1.8500000000000014</v>
      </c>
      <c r="F968" s="11">
        <v>0.17699999999999999</v>
      </c>
      <c r="G968" s="3">
        <f t="shared" si="30"/>
        <v>3.378333333333336E-2</v>
      </c>
    </row>
    <row r="969" spans="1:7">
      <c r="A969" s="1">
        <v>6</v>
      </c>
      <c r="B969" s="1" t="s">
        <v>39</v>
      </c>
      <c r="C969" s="11">
        <v>0</v>
      </c>
      <c r="D969" s="11">
        <v>0</v>
      </c>
      <c r="E969" s="2">
        <f t="shared" si="31"/>
        <v>0</v>
      </c>
      <c r="F969" s="11">
        <v>0.25</v>
      </c>
      <c r="G969" s="3" t="e">
        <f t="shared" si="30"/>
        <v>#DIV/0!</v>
      </c>
    </row>
    <row r="970" spans="1:7">
      <c r="A970" s="1">
        <v>7</v>
      </c>
      <c r="B970" s="1" t="s">
        <v>39</v>
      </c>
      <c r="C970" s="11">
        <v>60</v>
      </c>
      <c r="D970" s="11">
        <v>59.64</v>
      </c>
      <c r="E970" s="2">
        <f t="shared" si="31"/>
        <v>0.35999999999999943</v>
      </c>
      <c r="F970" s="11">
        <v>0.48599999999999999</v>
      </c>
      <c r="G970" s="3">
        <f t="shared" si="30"/>
        <v>1.4099999999999991E-2</v>
      </c>
    </row>
    <row r="971" spans="1:7">
      <c r="A971" s="1">
        <v>10</v>
      </c>
      <c r="B971" s="1" t="s">
        <v>39</v>
      </c>
      <c r="C971" s="11">
        <v>40</v>
      </c>
      <c r="D971" s="11">
        <v>38.950000000000003</v>
      </c>
      <c r="E971" s="2">
        <f t="shared" si="31"/>
        <v>1.0499999999999972</v>
      </c>
      <c r="F971" s="11">
        <v>0.34100000000000003</v>
      </c>
      <c r="G971" s="3">
        <f t="shared" si="30"/>
        <v>3.4774999999999931E-2</v>
      </c>
    </row>
    <row r="972" spans="1:7">
      <c r="A972" s="1">
        <v>8</v>
      </c>
      <c r="B972" s="1" t="s">
        <v>39</v>
      </c>
      <c r="C972" s="11">
        <v>20</v>
      </c>
      <c r="D972" s="11">
        <v>19.37</v>
      </c>
      <c r="E972" s="2">
        <f t="shared" si="31"/>
        <v>0.62999999999999901</v>
      </c>
      <c r="F972" s="11">
        <v>0.313</v>
      </c>
      <c r="G972" s="3">
        <f t="shared" si="30"/>
        <v>4.7149999999999949E-2</v>
      </c>
    </row>
    <row r="973" spans="1:7">
      <c r="A973" s="1">
        <v>9</v>
      </c>
      <c r="B973" s="1" t="s">
        <v>39</v>
      </c>
      <c r="C973" s="11">
        <v>20</v>
      </c>
      <c r="D973" s="11">
        <v>19.420000000000002</v>
      </c>
      <c r="E973" s="2">
        <f t="shared" si="31"/>
        <v>0.57999999999999829</v>
      </c>
      <c r="F973" s="11">
        <v>0.443</v>
      </c>
      <c r="G973" s="3">
        <f t="shared" si="30"/>
        <v>5.1149999999999918E-2</v>
      </c>
    </row>
    <row r="974" spans="1:7">
      <c r="A974" s="1">
        <v>11</v>
      </c>
      <c r="B974" s="1" t="s">
        <v>39</v>
      </c>
      <c r="C974" s="11">
        <v>40</v>
      </c>
      <c r="D974" s="11">
        <v>39.21</v>
      </c>
      <c r="E974" s="2">
        <f t="shared" si="31"/>
        <v>0.78999999999999915</v>
      </c>
      <c r="F974" s="11">
        <v>0.36199999999999999</v>
      </c>
      <c r="G974" s="3">
        <f t="shared" si="30"/>
        <v>2.8799999999999982E-2</v>
      </c>
    </row>
    <row r="975" spans="1:7">
      <c r="A975" s="1">
        <v>12</v>
      </c>
      <c r="B975" s="1" t="s">
        <v>39</v>
      </c>
      <c r="C975" s="11">
        <v>24.56</v>
      </c>
      <c r="D975" s="11">
        <v>23.65</v>
      </c>
      <c r="E975" s="2">
        <f t="shared" si="31"/>
        <v>0.91000000000000014</v>
      </c>
      <c r="F975" s="11">
        <v>0.42299999999999999</v>
      </c>
      <c r="G975" s="3">
        <f t="shared" si="30"/>
        <v>5.4275244299674279E-2</v>
      </c>
    </row>
    <row r="976" spans="1:7">
      <c r="A976" s="1">
        <v>13</v>
      </c>
      <c r="B976" s="1" t="s">
        <v>39</v>
      </c>
      <c r="C976" s="11">
        <v>20</v>
      </c>
      <c r="D976" s="11">
        <v>19.78</v>
      </c>
      <c r="E976" s="2">
        <f t="shared" si="31"/>
        <v>0.21999999999999886</v>
      </c>
      <c r="F976" s="11">
        <v>0.255</v>
      </c>
      <c r="G976" s="3">
        <f t="shared" si="30"/>
        <v>2.3749999999999945E-2</v>
      </c>
    </row>
    <row r="977" spans="1:7">
      <c r="A977" s="1">
        <v>14</v>
      </c>
      <c r="B977" s="1" t="s">
        <v>39</v>
      </c>
      <c r="C977" s="11">
        <v>0</v>
      </c>
      <c r="D977" s="11">
        <v>0</v>
      </c>
      <c r="E977" s="2">
        <f t="shared" si="31"/>
        <v>0</v>
      </c>
      <c r="F977" s="11">
        <v>0.155</v>
      </c>
      <c r="G977" s="3" t="e">
        <f t="shared" si="30"/>
        <v>#DIV/0!</v>
      </c>
    </row>
    <row r="978" spans="1:7">
      <c r="A978" s="1">
        <v>15</v>
      </c>
      <c r="B978" s="1" t="s">
        <v>39</v>
      </c>
      <c r="C978" s="11">
        <v>26.78</v>
      </c>
      <c r="D978" s="11">
        <v>26.42</v>
      </c>
      <c r="E978" s="2">
        <f t="shared" si="31"/>
        <v>0.35999999999999943</v>
      </c>
      <c r="F978" s="11">
        <v>0.28899999999999998</v>
      </c>
      <c r="G978" s="3">
        <f t="shared" si="30"/>
        <v>2.423450336071693E-2</v>
      </c>
    </row>
    <row r="979" spans="1:7">
      <c r="A979" s="1">
        <v>16</v>
      </c>
      <c r="B979" s="1" t="s">
        <v>39</v>
      </c>
      <c r="C979" s="11">
        <v>60</v>
      </c>
      <c r="D979" s="11">
        <v>59.2</v>
      </c>
      <c r="E979" s="2">
        <f t="shared" si="31"/>
        <v>0.79999999999999716</v>
      </c>
      <c r="F979" s="11">
        <v>0.29499999999999998</v>
      </c>
      <c r="G979" s="3">
        <f t="shared" si="30"/>
        <v>1.824999999999995E-2</v>
      </c>
    </row>
    <row r="980" spans="1:7">
      <c r="A980" s="1">
        <v>17</v>
      </c>
      <c r="B980" s="1" t="s">
        <v>39</v>
      </c>
      <c r="C980" s="11">
        <v>0</v>
      </c>
      <c r="D980" s="11">
        <v>0</v>
      </c>
      <c r="E980" s="2">
        <f t="shared" si="31"/>
        <v>0</v>
      </c>
      <c r="F980" s="11">
        <v>0.40500000000000003</v>
      </c>
      <c r="G980" s="3" t="e">
        <f t="shared" si="30"/>
        <v>#DIV/0!</v>
      </c>
    </row>
    <row r="981" spans="1:7">
      <c r="A981" s="1">
        <v>18</v>
      </c>
      <c r="B981" s="1" t="s">
        <v>39</v>
      </c>
      <c r="C981" s="11">
        <v>0</v>
      </c>
      <c r="D981" s="11">
        <v>0</v>
      </c>
      <c r="E981" s="2">
        <f t="shared" si="31"/>
        <v>0</v>
      </c>
      <c r="F981" s="11">
        <v>0.04</v>
      </c>
      <c r="G981" s="3" t="e">
        <f t="shared" si="30"/>
        <v>#DIV/0!</v>
      </c>
    </row>
    <row r="982" spans="1:7">
      <c r="A982" s="1">
        <v>19</v>
      </c>
      <c r="B982" s="1" t="s">
        <v>39</v>
      </c>
      <c r="C982" s="11">
        <v>20</v>
      </c>
      <c r="D982" s="11">
        <v>19.79</v>
      </c>
      <c r="E982" s="2">
        <f t="shared" si="31"/>
        <v>0.21000000000000085</v>
      </c>
      <c r="F982" s="11">
        <v>0.38200000000000001</v>
      </c>
      <c r="G982" s="3">
        <f t="shared" si="30"/>
        <v>2.9600000000000043E-2</v>
      </c>
    </row>
    <row r="983" spans="1:7">
      <c r="A983" s="1">
        <v>20</v>
      </c>
      <c r="B983" s="1" t="s">
        <v>39</v>
      </c>
      <c r="C983" s="11">
        <v>100</v>
      </c>
      <c r="D983" s="11">
        <v>98.83</v>
      </c>
      <c r="E983" s="2">
        <f t="shared" si="31"/>
        <v>1.1700000000000017</v>
      </c>
      <c r="F983" s="11">
        <v>0.11799999999999999</v>
      </c>
      <c r="G983" s="3">
        <f t="shared" si="30"/>
        <v>1.2880000000000016E-2</v>
      </c>
    </row>
    <row r="984" spans="1:7">
      <c r="A984" s="1">
        <v>21</v>
      </c>
      <c r="B984" s="1" t="s">
        <v>39</v>
      </c>
      <c r="C984" s="11">
        <v>65</v>
      </c>
      <c r="D984" s="11">
        <v>64.540000000000006</v>
      </c>
      <c r="E984" s="2">
        <f t="shared" si="31"/>
        <v>0.45999999999999375</v>
      </c>
      <c r="F984" s="11">
        <v>1.349</v>
      </c>
      <c r="G984" s="3">
        <f t="shared" si="30"/>
        <v>2.7830769230769135E-2</v>
      </c>
    </row>
    <row r="985" spans="1:7">
      <c r="A985" s="1">
        <v>22</v>
      </c>
      <c r="B985" s="1" t="s">
        <v>39</v>
      </c>
      <c r="C985" s="11">
        <v>65</v>
      </c>
      <c r="D985" s="11">
        <v>64.599999999999994</v>
      </c>
      <c r="E985" s="2">
        <f t="shared" si="31"/>
        <v>0.40000000000000568</v>
      </c>
      <c r="F985" s="11">
        <v>1.0629999999999999</v>
      </c>
      <c r="G985" s="3">
        <f t="shared" si="30"/>
        <v>2.2507692307692395E-2</v>
      </c>
    </row>
    <row r="986" spans="1:7">
      <c r="A986" s="1">
        <v>23</v>
      </c>
      <c r="B986" s="1" t="s">
        <v>39</v>
      </c>
      <c r="C986" s="11">
        <v>20</v>
      </c>
      <c r="D986" s="11">
        <v>19.71</v>
      </c>
      <c r="E986" s="2">
        <f t="shared" si="31"/>
        <v>0.28999999999999915</v>
      </c>
      <c r="F986" s="11">
        <v>0.11799999999999999</v>
      </c>
      <c r="G986" s="3">
        <f t="shared" si="30"/>
        <v>2.0399999999999956E-2</v>
      </c>
    </row>
    <row r="987" spans="1:7">
      <c r="A987" s="1">
        <v>24</v>
      </c>
      <c r="B987" s="1" t="s">
        <v>39</v>
      </c>
      <c r="C987" s="11">
        <v>20</v>
      </c>
      <c r="D987" s="11">
        <v>19.8</v>
      </c>
      <c r="E987" s="2">
        <f t="shared" si="31"/>
        <v>0.19999999999999929</v>
      </c>
      <c r="F987" s="11">
        <v>0.125</v>
      </c>
      <c r="G987" s="3">
        <f t="shared" si="30"/>
        <v>1.6249999999999966E-2</v>
      </c>
    </row>
    <row r="988" spans="1:7">
      <c r="A988" s="1">
        <v>25</v>
      </c>
      <c r="B988" s="1" t="s">
        <v>39</v>
      </c>
      <c r="C988" s="11">
        <v>0</v>
      </c>
      <c r="D988" s="11">
        <v>0</v>
      </c>
      <c r="E988" s="2">
        <f t="shared" si="31"/>
        <v>0</v>
      </c>
      <c r="F988" s="11">
        <v>0.24</v>
      </c>
      <c r="G988" s="3" t="e">
        <f t="shared" si="30"/>
        <v>#DIV/0!</v>
      </c>
    </row>
    <row r="989" spans="1:7">
      <c r="A989" s="1">
        <v>26</v>
      </c>
      <c r="B989" s="1" t="s">
        <v>39</v>
      </c>
      <c r="C989" s="11">
        <v>25</v>
      </c>
      <c r="D989" s="11">
        <v>24</v>
      </c>
      <c r="E989" s="2">
        <f t="shared" si="31"/>
        <v>1</v>
      </c>
      <c r="F989" s="11">
        <v>0.25600000000000001</v>
      </c>
      <c r="G989" s="3">
        <f t="shared" si="30"/>
        <v>5.024E-2</v>
      </c>
    </row>
    <row r="990" spans="1:7">
      <c r="A990" s="1">
        <v>27</v>
      </c>
      <c r="B990" s="1" t="s">
        <v>39</v>
      </c>
      <c r="C990" s="11">
        <v>25</v>
      </c>
      <c r="D990" s="11">
        <v>24.48</v>
      </c>
      <c r="E990" s="2">
        <f t="shared" si="31"/>
        <v>0.51999999999999957</v>
      </c>
      <c r="F990" s="11">
        <v>0.35900000000000887</v>
      </c>
      <c r="G990" s="3">
        <f t="shared" si="30"/>
        <v>3.5160000000000337E-2</v>
      </c>
    </row>
    <row r="991" spans="1:7">
      <c r="A991" s="1">
        <v>28</v>
      </c>
      <c r="B991" s="1" t="s">
        <v>39</v>
      </c>
      <c r="C991" s="11">
        <v>40</v>
      </c>
      <c r="D991" s="11">
        <v>39.68</v>
      </c>
      <c r="E991" s="2">
        <f t="shared" si="31"/>
        <v>0.32000000000000028</v>
      </c>
      <c r="F991" s="11">
        <v>0.42899999999999999</v>
      </c>
      <c r="G991" s="3">
        <f t="shared" si="30"/>
        <v>1.8725000000000009E-2</v>
      </c>
    </row>
    <row r="992" spans="1:7">
      <c r="A992" s="1">
        <v>29</v>
      </c>
      <c r="B992" s="1" t="s">
        <v>39</v>
      </c>
      <c r="C992" s="11">
        <v>20</v>
      </c>
      <c r="D992" s="11">
        <v>19.89</v>
      </c>
      <c r="E992" s="2">
        <f t="shared" si="31"/>
        <v>0.10999999999999943</v>
      </c>
      <c r="F992" s="11">
        <v>0.106</v>
      </c>
      <c r="G992" s="3">
        <f t="shared" si="30"/>
        <v>1.0799999999999971E-2</v>
      </c>
    </row>
    <row r="993" spans="1:7">
      <c r="A993" s="1">
        <v>30</v>
      </c>
      <c r="B993" s="1" t="s">
        <v>39</v>
      </c>
      <c r="C993" s="11">
        <v>0</v>
      </c>
      <c r="D993" s="11">
        <v>0</v>
      </c>
      <c r="E993" s="2">
        <f t="shared" si="31"/>
        <v>0</v>
      </c>
      <c r="F993" s="11">
        <v>0.22600000000000001</v>
      </c>
      <c r="G993" s="3" t="e">
        <f t="shared" si="30"/>
        <v>#DIV/0!</v>
      </c>
    </row>
    <row r="994" spans="1:7">
      <c r="A994" s="1">
        <v>31</v>
      </c>
      <c r="B994" s="1" t="s">
        <v>39</v>
      </c>
      <c r="C994" s="11">
        <v>20</v>
      </c>
      <c r="D994" s="11">
        <v>19.96</v>
      </c>
      <c r="E994" s="2">
        <f t="shared" si="31"/>
        <v>3.9999999999999147E-2</v>
      </c>
      <c r="F994" s="11">
        <v>0.25900000000000001</v>
      </c>
      <c r="G994" s="3">
        <f t="shared" si="30"/>
        <v>1.4949999999999958E-2</v>
      </c>
    </row>
    <row r="995" spans="1:7">
      <c r="A995" s="1">
        <v>1</v>
      </c>
      <c r="B995" s="1" t="s">
        <v>66</v>
      </c>
      <c r="C995" s="11">
        <v>3.15</v>
      </c>
      <c r="D995" s="11">
        <v>3.06</v>
      </c>
      <c r="E995" s="2">
        <f t="shared" si="31"/>
        <v>8.9999999999999858E-2</v>
      </c>
      <c r="F995" s="11">
        <v>6.3E-2</v>
      </c>
      <c r="G995" s="3">
        <f t="shared" ref="G995:G1056" si="32">(E995+F995)/C995</f>
        <v>4.8571428571428529E-2</v>
      </c>
    </row>
    <row r="996" spans="1:7">
      <c r="A996" s="1">
        <v>2</v>
      </c>
      <c r="B996" s="1" t="s">
        <v>66</v>
      </c>
      <c r="C996" s="11">
        <v>3.34</v>
      </c>
      <c r="D996" s="11">
        <v>3.23</v>
      </c>
      <c r="E996" s="2">
        <f t="shared" si="31"/>
        <v>0.10999999999999988</v>
      </c>
      <c r="F996" s="11">
        <v>2.1000000000000001E-2</v>
      </c>
      <c r="G996" s="3">
        <f t="shared" si="32"/>
        <v>3.9221556886227506E-2</v>
      </c>
    </row>
    <row r="997" spans="1:7">
      <c r="A997" s="1">
        <v>3</v>
      </c>
      <c r="B997" s="1" t="s">
        <v>66</v>
      </c>
      <c r="C997" s="11">
        <v>20.82</v>
      </c>
      <c r="D997" s="11">
        <v>20.27</v>
      </c>
      <c r="E997" s="2">
        <f t="shared" si="31"/>
        <v>0.55000000000000071</v>
      </c>
      <c r="F997" s="11">
        <v>0.11799999999999999</v>
      </c>
      <c r="G997" s="3">
        <f t="shared" si="32"/>
        <v>3.2084534101825199E-2</v>
      </c>
    </row>
    <row r="998" spans="1:7">
      <c r="A998" s="1">
        <v>4</v>
      </c>
      <c r="B998" s="1" t="s">
        <v>66</v>
      </c>
      <c r="C998" s="11">
        <v>12.69</v>
      </c>
      <c r="D998" s="11">
        <v>12.46</v>
      </c>
      <c r="E998" s="2">
        <f t="shared" si="31"/>
        <v>0.22999999999999865</v>
      </c>
      <c r="F998" s="11">
        <v>0.151</v>
      </c>
      <c r="G998" s="3">
        <f t="shared" si="32"/>
        <v>3.0023640661938432E-2</v>
      </c>
    </row>
    <row r="999" spans="1:7">
      <c r="A999" s="1">
        <v>5</v>
      </c>
      <c r="B999" s="1" t="s">
        <v>66</v>
      </c>
      <c r="C999" s="11">
        <v>7.69</v>
      </c>
      <c r="D999" s="11">
        <v>7.25</v>
      </c>
      <c r="E999" s="2">
        <f t="shared" si="31"/>
        <v>0.44000000000000039</v>
      </c>
      <c r="F999" s="11">
        <v>0.03</v>
      </c>
      <c r="G999" s="3">
        <f t="shared" si="32"/>
        <v>6.1118335500650246E-2</v>
      </c>
    </row>
    <row r="1000" spans="1:7">
      <c r="A1000" s="1">
        <v>6</v>
      </c>
      <c r="B1000" s="1" t="s">
        <v>66</v>
      </c>
      <c r="C1000" s="11">
        <v>7.87</v>
      </c>
      <c r="D1000" s="11">
        <v>7.62</v>
      </c>
      <c r="E1000" s="2">
        <f t="shared" si="31"/>
        <v>0.25</v>
      </c>
      <c r="F1000" s="11">
        <v>2.1000000000000001E-2</v>
      </c>
      <c r="G1000" s="3">
        <f t="shared" si="32"/>
        <v>3.443456162642948E-2</v>
      </c>
    </row>
    <row r="1001" spans="1:7">
      <c r="A1001" s="1">
        <v>7</v>
      </c>
      <c r="B1001" s="1" t="s">
        <v>66</v>
      </c>
      <c r="C1001" s="11">
        <v>5.98</v>
      </c>
      <c r="D1001" s="11">
        <v>5.69</v>
      </c>
      <c r="E1001" s="2">
        <f t="shared" si="31"/>
        <v>0.29000000000000004</v>
      </c>
      <c r="F1001" s="11">
        <v>1.4E-2</v>
      </c>
      <c r="G1001" s="3">
        <f t="shared" si="32"/>
        <v>5.0836120401337795E-2</v>
      </c>
    </row>
    <row r="1002" spans="1:7">
      <c r="A1002" s="1">
        <v>10</v>
      </c>
      <c r="B1002" s="1" t="s">
        <v>66</v>
      </c>
      <c r="C1002" s="11">
        <v>6.12</v>
      </c>
      <c r="D1002" s="11">
        <v>5.79</v>
      </c>
      <c r="E1002" s="2">
        <f t="shared" si="31"/>
        <v>0.33000000000000007</v>
      </c>
      <c r="F1002" s="11">
        <v>1.2999999999999999E-2</v>
      </c>
      <c r="G1002" s="3">
        <f t="shared" si="32"/>
        <v>5.6045751633986937E-2</v>
      </c>
    </row>
    <row r="1003" spans="1:7">
      <c r="A1003" s="1">
        <v>8</v>
      </c>
      <c r="B1003" s="1" t="s">
        <v>66</v>
      </c>
      <c r="C1003" s="11">
        <v>10.64</v>
      </c>
      <c r="D1003" s="11">
        <v>10.44</v>
      </c>
      <c r="E1003" s="2">
        <f t="shared" si="31"/>
        <v>0.20000000000000107</v>
      </c>
      <c r="F1003" s="11">
        <v>2.8000000000000001E-2</v>
      </c>
      <c r="G1003" s="3">
        <f t="shared" si="32"/>
        <v>2.1428571428571526E-2</v>
      </c>
    </row>
    <row r="1004" spans="1:7">
      <c r="A1004" s="1">
        <v>9</v>
      </c>
      <c r="B1004" s="1" t="s">
        <v>66</v>
      </c>
      <c r="C1004" s="11">
        <v>0</v>
      </c>
      <c r="D1004" s="11">
        <v>0</v>
      </c>
      <c r="E1004" s="2">
        <f t="shared" si="31"/>
        <v>0</v>
      </c>
      <c r="F1004" s="11">
        <v>8.0000000000000071E-3</v>
      </c>
      <c r="G1004" s="3" t="e">
        <f t="shared" si="32"/>
        <v>#DIV/0!</v>
      </c>
    </row>
    <row r="1005" spans="1:7">
      <c r="A1005" s="1">
        <v>11</v>
      </c>
      <c r="B1005" s="1" t="s">
        <v>66</v>
      </c>
      <c r="C1005" s="11">
        <v>10.809999999999999</v>
      </c>
      <c r="D1005" s="11">
        <v>10.33</v>
      </c>
      <c r="E1005" s="2">
        <f t="shared" si="31"/>
        <v>0.47999999999999865</v>
      </c>
      <c r="F1005" s="11">
        <v>3.3000000000000362E-2</v>
      </c>
      <c r="G1005" s="3">
        <f t="shared" si="32"/>
        <v>4.7456059204440244E-2</v>
      </c>
    </row>
    <row r="1006" spans="1:7">
      <c r="A1006" s="1">
        <v>12</v>
      </c>
      <c r="B1006" s="1" t="s">
        <v>66</v>
      </c>
      <c r="C1006" s="11">
        <v>9.4499999999999993</v>
      </c>
      <c r="D1006" s="11">
        <v>9.1199999999999992</v>
      </c>
      <c r="E1006" s="2">
        <f t="shared" si="31"/>
        <v>0.33000000000000007</v>
      </c>
      <c r="F1006" s="11">
        <v>3.5000000000000003E-2</v>
      </c>
      <c r="G1006" s="3">
        <f t="shared" si="32"/>
        <v>3.8624338624338637E-2</v>
      </c>
    </row>
    <row r="1007" spans="1:7">
      <c r="A1007" s="1">
        <v>13</v>
      </c>
      <c r="B1007" s="1" t="s">
        <v>66</v>
      </c>
      <c r="C1007" s="11">
        <v>0</v>
      </c>
      <c r="D1007" s="11">
        <v>0</v>
      </c>
      <c r="E1007" s="2">
        <f t="shared" si="31"/>
        <v>0</v>
      </c>
      <c r="F1007" s="11">
        <v>8.9999999999999993E-3</v>
      </c>
      <c r="G1007" s="3" t="e">
        <f t="shared" si="32"/>
        <v>#DIV/0!</v>
      </c>
    </row>
    <row r="1008" spans="1:7">
      <c r="A1008" s="1">
        <v>14</v>
      </c>
      <c r="B1008" s="1" t="s">
        <v>66</v>
      </c>
      <c r="C1008" s="11">
        <v>19.559999999999999</v>
      </c>
      <c r="D1008" s="11">
        <v>19.14</v>
      </c>
      <c r="E1008" s="2">
        <f t="shared" si="31"/>
        <v>0.41999999999999815</v>
      </c>
      <c r="F1008" s="11">
        <v>4.9999999999998934E-3</v>
      </c>
      <c r="G1008" s="3">
        <f t="shared" si="32"/>
        <v>2.1728016359918102E-2</v>
      </c>
    </row>
    <row r="1009" spans="1:7">
      <c r="A1009" s="1">
        <v>15</v>
      </c>
      <c r="B1009" s="1" t="s">
        <v>66</v>
      </c>
      <c r="C1009" s="11">
        <v>13.37</v>
      </c>
      <c r="D1009" s="11">
        <v>13.12</v>
      </c>
      <c r="E1009" s="2">
        <f t="shared" si="31"/>
        <v>0.25</v>
      </c>
      <c r="F1009" s="11">
        <v>0.02</v>
      </c>
      <c r="G1009" s="3">
        <f t="shared" si="32"/>
        <v>2.0194465220643235E-2</v>
      </c>
    </row>
    <row r="1010" spans="1:7">
      <c r="A1010" s="1">
        <v>16</v>
      </c>
      <c r="B1010" s="1" t="s">
        <v>66</v>
      </c>
      <c r="C1010" s="11">
        <v>4.3600000000000003</v>
      </c>
      <c r="D1010" s="11">
        <v>4.1900000000000004</v>
      </c>
      <c r="E1010" s="2">
        <f t="shared" si="31"/>
        <v>0.16999999999999993</v>
      </c>
      <c r="F1010" s="11">
        <v>2.5999999999999999E-2</v>
      </c>
      <c r="G1010" s="3">
        <f t="shared" si="32"/>
        <v>4.4954128440366954E-2</v>
      </c>
    </row>
    <row r="1011" spans="1:7">
      <c r="A1011" s="1">
        <v>17</v>
      </c>
      <c r="B1011" s="1" t="s">
        <v>66</v>
      </c>
      <c r="C1011" s="11">
        <v>5.1100000000000003</v>
      </c>
      <c r="D1011" s="11">
        <v>4.9400000000000004</v>
      </c>
      <c r="E1011" s="2">
        <f t="shared" si="31"/>
        <v>0.16999999999999993</v>
      </c>
      <c r="F1011" s="11">
        <v>3.5999999999999997E-2</v>
      </c>
      <c r="G1011" s="3">
        <f t="shared" si="32"/>
        <v>4.0313111545988239E-2</v>
      </c>
    </row>
    <row r="1012" spans="1:7">
      <c r="A1012" s="1">
        <v>18</v>
      </c>
      <c r="B1012" s="1" t="s">
        <v>66</v>
      </c>
      <c r="C1012" s="11">
        <v>6.81</v>
      </c>
      <c r="D1012" s="11">
        <v>6.64</v>
      </c>
      <c r="E1012" s="2">
        <f t="shared" si="31"/>
        <v>0.16999999999999993</v>
      </c>
      <c r="F1012" s="11">
        <v>7.0000000000000001E-3</v>
      </c>
      <c r="G1012" s="3">
        <f t="shared" si="32"/>
        <v>2.5991189427312766E-2</v>
      </c>
    </row>
    <row r="1013" spans="1:7">
      <c r="A1013" s="1">
        <v>19</v>
      </c>
      <c r="B1013" s="1" t="s">
        <v>66</v>
      </c>
      <c r="C1013" s="11">
        <v>21.3</v>
      </c>
      <c r="D1013" s="11">
        <v>20.73</v>
      </c>
      <c r="E1013" s="2">
        <f t="shared" si="31"/>
        <v>0.57000000000000028</v>
      </c>
      <c r="F1013" s="11">
        <v>1.7000000000000001E-2</v>
      </c>
      <c r="G1013" s="3">
        <f t="shared" si="32"/>
        <v>2.7558685446009402E-2</v>
      </c>
    </row>
    <row r="1014" spans="1:7">
      <c r="A1014" s="1">
        <v>20</v>
      </c>
      <c r="B1014" s="1" t="s">
        <v>66</v>
      </c>
      <c r="C1014" s="11">
        <v>0</v>
      </c>
      <c r="D1014" s="11">
        <v>0</v>
      </c>
      <c r="E1014" s="2">
        <f t="shared" si="31"/>
        <v>0</v>
      </c>
      <c r="F1014" s="11">
        <v>4.0000000000000001E-3</v>
      </c>
      <c r="G1014" s="3" t="e">
        <f t="shared" si="32"/>
        <v>#DIV/0!</v>
      </c>
    </row>
    <row r="1015" spans="1:7">
      <c r="A1015" s="1">
        <v>21</v>
      </c>
      <c r="B1015" s="1" t="s">
        <v>66</v>
      </c>
      <c r="C1015" s="11">
        <v>0</v>
      </c>
      <c r="D1015" s="11">
        <v>0</v>
      </c>
      <c r="E1015" s="2">
        <f t="shared" si="31"/>
        <v>0</v>
      </c>
      <c r="F1015" s="11">
        <v>7.4999999999999997E-2</v>
      </c>
      <c r="G1015" s="3" t="e">
        <f t="shared" si="32"/>
        <v>#DIV/0!</v>
      </c>
    </row>
    <row r="1016" spans="1:7">
      <c r="A1016" s="1">
        <v>22</v>
      </c>
      <c r="B1016" s="1" t="s">
        <v>66</v>
      </c>
      <c r="C1016" s="11">
        <v>4.97</v>
      </c>
      <c r="D1016" s="11">
        <v>4.87</v>
      </c>
      <c r="E1016" s="2">
        <f t="shared" si="31"/>
        <v>9.9999999999999645E-2</v>
      </c>
      <c r="F1016" s="11">
        <v>5.0000000000000001E-3</v>
      </c>
      <c r="G1016" s="3">
        <f t="shared" si="32"/>
        <v>2.1126760563380212E-2</v>
      </c>
    </row>
    <row r="1017" spans="1:7">
      <c r="A1017" s="1">
        <v>23</v>
      </c>
      <c r="B1017" s="1" t="s">
        <v>66</v>
      </c>
      <c r="C1017" s="11">
        <v>13.76</v>
      </c>
      <c r="D1017" s="11">
        <v>13.34</v>
      </c>
      <c r="E1017" s="2">
        <f t="shared" si="31"/>
        <v>0.41999999999999993</v>
      </c>
      <c r="F1017" s="11">
        <v>1.7999999999999999E-2</v>
      </c>
      <c r="G1017" s="3">
        <f t="shared" si="32"/>
        <v>3.1831395348837208E-2</v>
      </c>
    </row>
    <row r="1018" spans="1:7">
      <c r="A1018" s="1">
        <v>24</v>
      </c>
      <c r="B1018" s="1" t="s">
        <v>66</v>
      </c>
      <c r="C1018" s="11">
        <v>10.51</v>
      </c>
      <c r="D1018" s="11">
        <v>10.32</v>
      </c>
      <c r="E1018" s="2">
        <f t="shared" si="31"/>
        <v>0.1899999999999995</v>
      </c>
      <c r="F1018" s="11">
        <v>7.9000000000000001E-2</v>
      </c>
      <c r="G1018" s="3">
        <f t="shared" si="32"/>
        <v>2.5594671741198814E-2</v>
      </c>
    </row>
    <row r="1019" spans="1:7">
      <c r="A1019" s="1">
        <v>25</v>
      </c>
      <c r="B1019" s="1" t="s">
        <v>66</v>
      </c>
      <c r="C1019" s="11">
        <v>12.1</v>
      </c>
      <c r="D1019" s="11">
        <v>11.95</v>
      </c>
      <c r="E1019" s="2">
        <f t="shared" si="31"/>
        <v>0.15000000000000036</v>
      </c>
      <c r="F1019" s="11">
        <v>5.1999999999999998E-2</v>
      </c>
      <c r="G1019" s="3">
        <f t="shared" si="32"/>
        <v>1.6694214876033085E-2</v>
      </c>
    </row>
    <row r="1020" spans="1:7">
      <c r="A1020" s="1">
        <v>26</v>
      </c>
      <c r="B1020" s="1" t="s">
        <v>66</v>
      </c>
      <c r="C1020" s="11">
        <v>15.52</v>
      </c>
      <c r="D1020" s="11">
        <v>15.18</v>
      </c>
      <c r="E1020" s="2">
        <f t="shared" si="31"/>
        <v>0.33999999999999986</v>
      </c>
      <c r="F1020" s="11">
        <v>2.1000000000000001E-2</v>
      </c>
      <c r="G1020" s="3">
        <f t="shared" si="32"/>
        <v>2.3260309278350509E-2</v>
      </c>
    </row>
    <row r="1021" spans="1:7">
      <c r="A1021" s="1">
        <v>27</v>
      </c>
      <c r="B1021" s="1" t="s">
        <v>66</v>
      </c>
      <c r="C1021" s="11">
        <v>8.57</v>
      </c>
      <c r="D1021" s="11">
        <v>8.44</v>
      </c>
      <c r="E1021" s="2">
        <f t="shared" si="31"/>
        <v>0.13000000000000078</v>
      </c>
      <c r="F1021" s="11">
        <v>9.5000000000000001E-2</v>
      </c>
      <c r="G1021" s="3">
        <f t="shared" si="32"/>
        <v>2.6254375729288307E-2</v>
      </c>
    </row>
    <row r="1022" spans="1:7">
      <c r="A1022" s="1">
        <v>28</v>
      </c>
      <c r="B1022" s="1" t="s">
        <v>66</v>
      </c>
      <c r="C1022" s="11">
        <v>5.0199999999999996</v>
      </c>
      <c r="D1022" s="11">
        <v>4.9800000000000004</v>
      </c>
      <c r="E1022" s="2">
        <f t="shared" si="31"/>
        <v>3.9999999999999147E-2</v>
      </c>
      <c r="F1022" s="11">
        <v>0.02</v>
      </c>
      <c r="G1022" s="3">
        <f t="shared" si="32"/>
        <v>1.1952191235059592E-2</v>
      </c>
    </row>
    <row r="1023" spans="1:7">
      <c r="A1023" s="1">
        <v>29</v>
      </c>
      <c r="B1023" s="1" t="s">
        <v>66</v>
      </c>
      <c r="C1023" s="11">
        <v>0</v>
      </c>
      <c r="D1023" s="11">
        <v>0</v>
      </c>
      <c r="E1023" s="2">
        <f t="shared" si="31"/>
        <v>0</v>
      </c>
      <c r="F1023" s="11">
        <v>0.91</v>
      </c>
      <c r="G1023" s="3" t="e">
        <f t="shared" si="32"/>
        <v>#DIV/0!</v>
      </c>
    </row>
    <row r="1024" spans="1:7">
      <c r="A1024" s="1">
        <v>30</v>
      </c>
      <c r="B1024" s="1" t="s">
        <v>66</v>
      </c>
      <c r="C1024" s="11">
        <v>10.88</v>
      </c>
      <c r="D1024" s="11">
        <v>10.62</v>
      </c>
      <c r="E1024" s="2">
        <f t="shared" si="31"/>
        <v>0.26000000000000156</v>
      </c>
      <c r="F1024" s="11">
        <v>0.02</v>
      </c>
      <c r="G1024" s="3">
        <f t="shared" si="32"/>
        <v>2.5735294117647203E-2</v>
      </c>
    </row>
    <row r="1025" spans="1:7">
      <c r="A1025" s="1">
        <v>31</v>
      </c>
      <c r="B1025" s="1" t="s">
        <v>66</v>
      </c>
      <c r="C1025" s="11">
        <v>0</v>
      </c>
      <c r="D1025" s="11">
        <v>0</v>
      </c>
      <c r="E1025" s="2">
        <f t="shared" si="31"/>
        <v>0</v>
      </c>
      <c r="F1025" s="11">
        <v>3.5000000000000003E-2</v>
      </c>
      <c r="G1025" s="3" t="e">
        <f t="shared" si="32"/>
        <v>#DIV/0!</v>
      </c>
    </row>
    <row r="1026" spans="1:7">
      <c r="A1026" s="1">
        <v>1</v>
      </c>
      <c r="B1026" s="1" t="s">
        <v>67</v>
      </c>
      <c r="C1026" s="11">
        <v>60</v>
      </c>
      <c r="D1026" s="11">
        <v>59.81</v>
      </c>
      <c r="E1026" s="2">
        <f t="shared" si="31"/>
        <v>0.18999999999999773</v>
      </c>
      <c r="F1026" s="11">
        <v>0.83</v>
      </c>
      <c r="G1026" s="3">
        <f t="shared" si="32"/>
        <v>1.6999999999999963E-2</v>
      </c>
    </row>
    <row r="1027" spans="1:7">
      <c r="A1027" s="1">
        <v>2</v>
      </c>
      <c r="B1027" s="1" t="s">
        <v>67</v>
      </c>
      <c r="C1027" s="11">
        <v>40</v>
      </c>
      <c r="D1027" s="11">
        <v>39.869999999999997</v>
      </c>
      <c r="E1027" s="2">
        <f t="shared" si="31"/>
        <v>0.13000000000000256</v>
      </c>
      <c r="F1027" s="11">
        <v>0.67</v>
      </c>
      <c r="G1027" s="3">
        <f t="shared" si="32"/>
        <v>2.0000000000000066E-2</v>
      </c>
    </row>
    <row r="1028" spans="1:7">
      <c r="A1028" s="1">
        <v>3</v>
      </c>
      <c r="B1028" s="1" t="s">
        <v>67</v>
      </c>
      <c r="C1028" s="11">
        <v>160</v>
      </c>
      <c r="D1028" s="11">
        <v>157.69</v>
      </c>
      <c r="E1028" s="2">
        <f t="shared" ref="E1028:E1091" si="33">C1028-D1028</f>
        <v>2.3100000000000023</v>
      </c>
      <c r="F1028" s="11">
        <v>0.84499999999999997</v>
      </c>
      <c r="G1028" s="3">
        <f t="shared" si="32"/>
        <v>1.9718750000000014E-2</v>
      </c>
    </row>
    <row r="1029" spans="1:7">
      <c r="A1029" s="1">
        <v>4</v>
      </c>
      <c r="B1029" s="1" t="s">
        <v>67</v>
      </c>
      <c r="C1029" s="11">
        <v>100</v>
      </c>
      <c r="D1029" s="11">
        <v>98.44</v>
      </c>
      <c r="E1029" s="2">
        <f t="shared" si="33"/>
        <v>1.5600000000000023</v>
      </c>
      <c r="F1029" s="11">
        <v>0.42499999999999999</v>
      </c>
      <c r="G1029" s="3">
        <f t="shared" si="32"/>
        <v>1.9850000000000024E-2</v>
      </c>
    </row>
    <row r="1030" spans="1:7">
      <c r="A1030" s="1">
        <v>5</v>
      </c>
      <c r="B1030" s="1" t="s">
        <v>67</v>
      </c>
      <c r="C1030" s="11">
        <v>20</v>
      </c>
      <c r="D1030" s="11">
        <v>19.670000000000002</v>
      </c>
      <c r="E1030" s="2">
        <f t="shared" si="33"/>
        <v>0.32999999999999829</v>
      </c>
      <c r="F1030" s="11">
        <v>3.5000000000000003E-2</v>
      </c>
      <c r="G1030" s="3">
        <f t="shared" si="32"/>
        <v>1.8249999999999916E-2</v>
      </c>
    </row>
    <row r="1031" spans="1:7">
      <c r="A1031" s="1">
        <v>6</v>
      </c>
      <c r="B1031" s="1" t="s">
        <v>67</v>
      </c>
      <c r="C1031" s="11">
        <v>80</v>
      </c>
      <c r="D1031" s="11">
        <v>79.239999999999995</v>
      </c>
      <c r="E1031" s="2">
        <f t="shared" si="33"/>
        <v>0.76000000000000512</v>
      </c>
      <c r="F1031" s="11">
        <v>0.78</v>
      </c>
      <c r="G1031" s="3">
        <f t="shared" si="32"/>
        <v>1.9250000000000066E-2</v>
      </c>
    </row>
    <row r="1032" spans="1:7">
      <c r="A1032" s="1">
        <v>7</v>
      </c>
      <c r="B1032" s="1" t="s">
        <v>67</v>
      </c>
      <c r="C1032" s="11">
        <v>20</v>
      </c>
      <c r="D1032" s="11">
        <v>19.86</v>
      </c>
      <c r="E1032" s="2">
        <f t="shared" si="33"/>
        <v>0.14000000000000057</v>
      </c>
      <c r="F1032" s="11">
        <v>0.25</v>
      </c>
      <c r="G1032" s="3">
        <f t="shared" si="32"/>
        <v>1.9500000000000028E-2</v>
      </c>
    </row>
    <row r="1033" spans="1:7">
      <c r="A1033" s="1">
        <v>10</v>
      </c>
      <c r="B1033" s="1" t="s">
        <v>67</v>
      </c>
      <c r="C1033" s="11">
        <v>20</v>
      </c>
      <c r="D1033" s="11">
        <v>19.899999999999999</v>
      </c>
      <c r="E1033" s="2">
        <f t="shared" si="33"/>
        <v>0.10000000000000142</v>
      </c>
      <c r="F1033" s="11">
        <v>0.26</v>
      </c>
      <c r="G1033" s="3">
        <f t="shared" si="32"/>
        <v>1.8000000000000071E-2</v>
      </c>
    </row>
    <row r="1034" spans="1:7">
      <c r="A1034" s="1">
        <v>8</v>
      </c>
      <c r="B1034" s="1" t="s">
        <v>67</v>
      </c>
      <c r="C1034" s="11">
        <v>40</v>
      </c>
      <c r="D1034" s="11">
        <v>39.049999999999997</v>
      </c>
      <c r="E1034" s="2">
        <f t="shared" si="33"/>
        <v>0.95000000000000284</v>
      </c>
      <c r="F1034" s="11">
        <v>0.19500000000000001</v>
      </c>
      <c r="G1034" s="3">
        <f t="shared" si="32"/>
        <v>2.8625000000000074E-2</v>
      </c>
    </row>
    <row r="1035" spans="1:7">
      <c r="A1035" s="1">
        <v>9</v>
      </c>
      <c r="B1035" s="1" t="s">
        <v>67</v>
      </c>
      <c r="C1035" s="11">
        <v>20</v>
      </c>
      <c r="D1035" s="11">
        <v>19.71</v>
      </c>
      <c r="E1035" s="2">
        <f t="shared" si="33"/>
        <v>0.28999999999999915</v>
      </c>
      <c r="F1035" s="11">
        <v>8.5000000000000006E-2</v>
      </c>
      <c r="G1035" s="3">
        <f t="shared" si="32"/>
        <v>1.8749999999999958E-2</v>
      </c>
    </row>
    <row r="1036" spans="1:7">
      <c r="A1036" s="1">
        <v>11</v>
      </c>
      <c r="B1036" s="1" t="s">
        <v>67</v>
      </c>
      <c r="C1036" s="11">
        <v>40</v>
      </c>
      <c r="D1036" s="11">
        <v>39.25</v>
      </c>
      <c r="E1036" s="2">
        <f t="shared" si="33"/>
        <v>0.75</v>
      </c>
      <c r="F1036" s="11">
        <v>4.4999999999999998E-2</v>
      </c>
      <c r="G1036" s="3">
        <f t="shared" si="32"/>
        <v>1.9875E-2</v>
      </c>
    </row>
    <row r="1037" spans="1:7">
      <c r="A1037" s="1">
        <v>12</v>
      </c>
      <c r="B1037" s="1" t="s">
        <v>67</v>
      </c>
      <c r="C1037" s="11">
        <v>40</v>
      </c>
      <c r="D1037" s="11">
        <v>39.33</v>
      </c>
      <c r="E1037" s="2">
        <f t="shared" si="33"/>
        <v>0.67000000000000171</v>
      </c>
      <c r="F1037" s="11">
        <v>0.1</v>
      </c>
      <c r="G1037" s="3">
        <f t="shared" si="32"/>
        <v>1.9250000000000041E-2</v>
      </c>
    </row>
    <row r="1038" spans="1:7">
      <c r="A1038" s="1">
        <v>13</v>
      </c>
      <c r="B1038" s="1" t="s">
        <v>67</v>
      </c>
      <c r="C1038" s="11">
        <v>27.56</v>
      </c>
      <c r="D1038" s="11">
        <v>27.32</v>
      </c>
      <c r="E1038" s="2">
        <f t="shared" si="33"/>
        <v>0.23999999999999844</v>
      </c>
      <c r="F1038" s="11">
        <v>0.11899999999999999</v>
      </c>
      <c r="G1038" s="3">
        <f t="shared" si="32"/>
        <v>1.3026124818577593E-2</v>
      </c>
    </row>
    <row r="1039" spans="1:7">
      <c r="A1039" s="1">
        <v>14</v>
      </c>
      <c r="B1039" s="1" t="s">
        <v>67</v>
      </c>
      <c r="C1039" s="11">
        <v>24</v>
      </c>
      <c r="D1039" s="11">
        <v>23.56</v>
      </c>
      <c r="E1039" s="2">
        <f t="shared" si="33"/>
        <v>0.44000000000000128</v>
      </c>
      <c r="F1039" s="11">
        <v>1.4999999999999999E-2</v>
      </c>
      <c r="G1039" s="3">
        <f t="shared" si="32"/>
        <v>1.8958333333333386E-2</v>
      </c>
    </row>
    <row r="1040" spans="1:7">
      <c r="A1040" s="1">
        <v>15</v>
      </c>
      <c r="B1040" s="1" t="s">
        <v>67</v>
      </c>
      <c r="C1040" s="11">
        <v>88.37</v>
      </c>
      <c r="D1040" s="11">
        <v>86.95</v>
      </c>
      <c r="E1040" s="2">
        <f t="shared" si="33"/>
        <v>1.4200000000000017</v>
      </c>
      <c r="F1040" s="11">
        <v>0.32500000000000001</v>
      </c>
      <c r="G1040" s="3">
        <f t="shared" si="32"/>
        <v>1.9746520312323206E-2</v>
      </c>
    </row>
    <row r="1041" spans="1:7">
      <c r="A1041" s="1">
        <v>16</v>
      </c>
      <c r="B1041" s="1" t="s">
        <v>67</v>
      </c>
      <c r="C1041" s="11">
        <v>67.34</v>
      </c>
      <c r="D1041" s="11">
        <v>66.78</v>
      </c>
      <c r="E1041" s="2">
        <f t="shared" si="33"/>
        <v>0.56000000000000227</v>
      </c>
      <c r="F1041" s="11">
        <v>0.78500000000000003</v>
      </c>
      <c r="G1041" s="3">
        <f t="shared" si="32"/>
        <v>1.9973269973270008E-2</v>
      </c>
    </row>
    <row r="1042" spans="1:7">
      <c r="A1042" s="1">
        <v>17</v>
      </c>
      <c r="B1042" s="1" t="s">
        <v>67</v>
      </c>
      <c r="C1042" s="11">
        <v>48.18</v>
      </c>
      <c r="D1042" s="11">
        <v>47.44</v>
      </c>
      <c r="E1042" s="2">
        <f t="shared" si="33"/>
        <v>0.74000000000000199</v>
      </c>
      <c r="F1042" s="11">
        <v>0.2</v>
      </c>
      <c r="G1042" s="3">
        <f t="shared" si="32"/>
        <v>1.9510170195101744E-2</v>
      </c>
    </row>
    <row r="1043" spans="1:7">
      <c r="A1043" s="1">
        <v>18</v>
      </c>
      <c r="B1043" s="1" t="s">
        <v>67</v>
      </c>
      <c r="C1043" s="11">
        <v>40</v>
      </c>
      <c r="D1043" s="11">
        <v>39.35</v>
      </c>
      <c r="E1043" s="2">
        <f t="shared" si="33"/>
        <v>0.64999999999999858</v>
      </c>
      <c r="F1043" s="11">
        <v>0.13500000000000001</v>
      </c>
      <c r="G1043" s="3">
        <f t="shared" si="32"/>
        <v>1.9624999999999965E-2</v>
      </c>
    </row>
    <row r="1044" spans="1:7">
      <c r="A1044" s="1">
        <v>19</v>
      </c>
      <c r="B1044" s="1" t="s">
        <v>67</v>
      </c>
      <c r="C1044" s="11">
        <v>20</v>
      </c>
      <c r="D1044" s="11">
        <v>19.649999999999999</v>
      </c>
      <c r="E1044" s="2">
        <f t="shared" si="33"/>
        <v>0.35000000000000142</v>
      </c>
      <c r="F1044" s="11">
        <v>0.04</v>
      </c>
      <c r="G1044" s="3">
        <f t="shared" si="32"/>
        <v>1.9500000000000069E-2</v>
      </c>
    </row>
    <row r="1045" spans="1:7">
      <c r="A1045" s="1">
        <v>20</v>
      </c>
      <c r="B1045" s="1" t="s">
        <v>67</v>
      </c>
      <c r="C1045" s="11">
        <v>42.4</v>
      </c>
      <c r="D1045" s="11">
        <v>41.22</v>
      </c>
      <c r="E1045" s="2">
        <f t="shared" si="33"/>
        <v>1.1799999999999997</v>
      </c>
      <c r="F1045" s="11">
        <v>0</v>
      </c>
      <c r="G1045" s="3">
        <f t="shared" si="32"/>
        <v>2.7830188679245277E-2</v>
      </c>
    </row>
    <row r="1046" spans="1:7">
      <c r="A1046" s="1">
        <v>21</v>
      </c>
      <c r="B1046" s="1" t="s">
        <v>67</v>
      </c>
      <c r="C1046" s="11">
        <v>0</v>
      </c>
      <c r="D1046" s="11">
        <v>0</v>
      </c>
      <c r="E1046" s="2">
        <f t="shared" si="33"/>
        <v>0</v>
      </c>
      <c r="F1046" s="11">
        <v>0.62</v>
      </c>
      <c r="G1046" s="3" t="e">
        <f t="shared" si="32"/>
        <v>#DIV/0!</v>
      </c>
    </row>
    <row r="1047" spans="1:7">
      <c r="A1047" s="1">
        <v>22</v>
      </c>
      <c r="B1047" s="1" t="s">
        <v>67</v>
      </c>
      <c r="C1047" s="11">
        <v>160</v>
      </c>
      <c r="D1047" s="11">
        <v>157.82</v>
      </c>
      <c r="E1047" s="2">
        <f t="shared" si="33"/>
        <v>2.1800000000000068</v>
      </c>
      <c r="F1047" s="11">
        <v>1.0149999999999999</v>
      </c>
      <c r="G1047" s="3">
        <f t="shared" si="32"/>
        <v>1.9968750000000042E-2</v>
      </c>
    </row>
    <row r="1048" spans="1:7">
      <c r="A1048" s="1">
        <v>23</v>
      </c>
      <c r="B1048" s="1" t="s">
        <v>67</v>
      </c>
      <c r="C1048" s="11">
        <v>20</v>
      </c>
      <c r="D1048" s="11">
        <v>19.98</v>
      </c>
      <c r="E1048" s="2">
        <f t="shared" si="33"/>
        <v>1.9999999999999574E-2</v>
      </c>
      <c r="F1048" s="11">
        <v>0.37</v>
      </c>
      <c r="G1048" s="3">
        <f t="shared" si="32"/>
        <v>1.9499999999999979E-2</v>
      </c>
    </row>
    <row r="1049" spans="1:7">
      <c r="A1049" s="1">
        <v>24</v>
      </c>
      <c r="B1049" s="1" t="s">
        <v>67</v>
      </c>
      <c r="C1049" s="11">
        <v>77.44</v>
      </c>
      <c r="D1049" s="11">
        <v>76.53</v>
      </c>
      <c r="E1049" s="2">
        <f t="shared" si="33"/>
        <v>0.90999999999999659</v>
      </c>
      <c r="F1049" s="11">
        <v>0.51</v>
      </c>
      <c r="G1049" s="3">
        <f t="shared" si="32"/>
        <v>1.8336776859504089E-2</v>
      </c>
    </row>
    <row r="1050" spans="1:7">
      <c r="A1050" s="1">
        <v>25</v>
      </c>
      <c r="B1050" s="1" t="s">
        <v>67</v>
      </c>
      <c r="C1050" s="11">
        <v>0</v>
      </c>
      <c r="D1050" s="11">
        <v>0</v>
      </c>
      <c r="E1050" s="2">
        <f t="shared" si="33"/>
        <v>0</v>
      </c>
      <c r="F1050" s="11">
        <v>0.72499999999999998</v>
      </c>
      <c r="G1050" s="3" t="e">
        <f t="shared" si="32"/>
        <v>#DIV/0!</v>
      </c>
    </row>
    <row r="1051" spans="1:7">
      <c r="A1051" s="1">
        <v>26</v>
      </c>
      <c r="B1051" s="1" t="s">
        <v>67</v>
      </c>
      <c r="C1051" s="11">
        <v>20</v>
      </c>
      <c r="D1051" s="11">
        <v>19.690000000000001</v>
      </c>
      <c r="E1051" s="2">
        <f t="shared" si="33"/>
        <v>0.30999999999999872</v>
      </c>
      <c r="F1051" s="11">
        <v>7.4999999999999997E-2</v>
      </c>
      <c r="G1051" s="3">
        <f t="shared" si="32"/>
        <v>1.9249999999999937E-2</v>
      </c>
    </row>
    <row r="1052" spans="1:7">
      <c r="A1052" s="1">
        <v>27</v>
      </c>
      <c r="B1052" s="1" t="s">
        <v>67</v>
      </c>
      <c r="C1052" s="11">
        <v>20</v>
      </c>
      <c r="D1052" s="11">
        <v>19.829999999999998</v>
      </c>
      <c r="E1052" s="2">
        <f t="shared" si="33"/>
        <v>0.17000000000000171</v>
      </c>
      <c r="F1052" s="11">
        <v>0.20499999999999999</v>
      </c>
      <c r="G1052" s="3">
        <f t="shared" si="32"/>
        <v>1.8750000000000083E-2</v>
      </c>
    </row>
    <row r="1053" spans="1:7">
      <c r="A1053" s="1">
        <v>28</v>
      </c>
      <c r="B1053" s="1" t="s">
        <v>67</v>
      </c>
      <c r="C1053" s="11">
        <v>20</v>
      </c>
      <c r="D1053" s="11">
        <v>20</v>
      </c>
      <c r="E1053" s="2">
        <f t="shared" si="33"/>
        <v>0</v>
      </c>
      <c r="F1053" s="11">
        <v>0.37</v>
      </c>
      <c r="G1053" s="3">
        <f t="shared" si="32"/>
        <v>1.8499999999999999E-2</v>
      </c>
    </row>
    <row r="1054" spans="1:7">
      <c r="A1054" s="1">
        <v>29</v>
      </c>
      <c r="B1054" s="1" t="s">
        <v>67</v>
      </c>
      <c r="C1054" s="11">
        <v>64.03</v>
      </c>
      <c r="D1054" s="11">
        <v>63.54</v>
      </c>
      <c r="E1054" s="2">
        <f t="shared" si="33"/>
        <v>0.49000000000000199</v>
      </c>
      <c r="F1054" s="11">
        <v>0.73499999999999999</v>
      </c>
      <c r="G1054" s="3">
        <f t="shared" si="32"/>
        <v>1.9131657035764513E-2</v>
      </c>
    </row>
    <row r="1055" spans="1:7">
      <c r="A1055" s="1">
        <v>30</v>
      </c>
      <c r="B1055" s="1" t="s">
        <v>67</v>
      </c>
      <c r="C1055" s="11">
        <v>40</v>
      </c>
      <c r="D1055" s="11">
        <v>39.880000000000003</v>
      </c>
      <c r="E1055" s="2">
        <f t="shared" si="33"/>
        <v>0.11999999999999744</v>
      </c>
      <c r="F1055" s="11">
        <v>0.61</v>
      </c>
      <c r="G1055" s="3">
        <f t="shared" si="32"/>
        <v>1.8249999999999936E-2</v>
      </c>
    </row>
    <row r="1056" spans="1:7">
      <c r="A1056" s="1">
        <v>31</v>
      </c>
      <c r="B1056" s="1" t="s">
        <v>67</v>
      </c>
      <c r="C1056" s="11">
        <v>40</v>
      </c>
      <c r="D1056" s="11">
        <v>39.590000000000003</v>
      </c>
      <c r="E1056" s="2">
        <f t="shared" si="33"/>
        <v>0.40999999999999659</v>
      </c>
      <c r="F1056" s="11">
        <v>0.38500000000000001</v>
      </c>
      <c r="G1056" s="3">
        <f t="shared" si="32"/>
        <v>1.9874999999999914E-2</v>
      </c>
    </row>
    <row r="1057" spans="1:7">
      <c r="A1057" s="1">
        <v>1</v>
      </c>
      <c r="B1057" s="1" t="s">
        <v>117</v>
      </c>
      <c r="C1057" s="11">
        <v>25.25</v>
      </c>
      <c r="D1057" s="11">
        <v>24.91</v>
      </c>
      <c r="E1057" s="2">
        <f t="shared" si="33"/>
        <v>0.33999999999999986</v>
      </c>
      <c r="F1057" s="11">
        <v>3.5000000000000003E-2</v>
      </c>
      <c r="G1057" s="3">
        <f t="shared" ref="G1057:G1120" si="34">(E1057+F1057)/C1057</f>
        <v>1.4851485148514847E-2</v>
      </c>
    </row>
    <row r="1058" spans="1:7">
      <c r="A1058" s="1">
        <v>2</v>
      </c>
      <c r="B1058" s="1" t="s">
        <v>117</v>
      </c>
      <c r="C1058" s="11">
        <v>80</v>
      </c>
      <c r="D1058" s="11">
        <v>79.08</v>
      </c>
      <c r="E1058" s="2">
        <f t="shared" si="33"/>
        <v>0.92000000000000171</v>
      </c>
      <c r="F1058" s="11">
        <v>0.129</v>
      </c>
      <c r="G1058" s="3">
        <f t="shared" si="34"/>
        <v>1.3112500000000022E-2</v>
      </c>
    </row>
    <row r="1059" spans="1:7">
      <c r="A1059" s="1">
        <v>3</v>
      </c>
      <c r="B1059" s="1" t="s">
        <v>117</v>
      </c>
      <c r="C1059" s="11">
        <v>40</v>
      </c>
      <c r="D1059" s="11">
        <v>38.74</v>
      </c>
      <c r="E1059" s="2">
        <f t="shared" si="33"/>
        <v>1.259999999999998</v>
      </c>
      <c r="F1059" s="11">
        <v>0.109</v>
      </c>
      <c r="G1059" s="3">
        <f t="shared" si="34"/>
        <v>3.422499999999995E-2</v>
      </c>
    </row>
    <row r="1060" spans="1:7">
      <c r="A1060" s="1">
        <v>4</v>
      </c>
      <c r="B1060" s="1" t="s">
        <v>117</v>
      </c>
      <c r="C1060" s="11">
        <v>40</v>
      </c>
      <c r="D1060" s="11">
        <v>39.6</v>
      </c>
      <c r="E1060" s="2">
        <f t="shared" si="33"/>
        <v>0.39999999999999858</v>
      </c>
      <c r="F1060" s="11">
        <v>0.13</v>
      </c>
      <c r="G1060" s="3">
        <f t="shared" si="34"/>
        <v>1.3249999999999965E-2</v>
      </c>
    </row>
    <row r="1061" spans="1:7">
      <c r="A1061" s="1">
        <v>5</v>
      </c>
      <c r="B1061" s="1" t="s">
        <v>117</v>
      </c>
      <c r="C1061" s="11">
        <v>0</v>
      </c>
      <c r="D1061" s="11">
        <v>0</v>
      </c>
      <c r="E1061" s="2">
        <f t="shared" si="33"/>
        <v>0</v>
      </c>
      <c r="F1061" s="11">
        <v>0.106</v>
      </c>
      <c r="G1061" s="3" t="e">
        <f t="shared" si="34"/>
        <v>#DIV/0!</v>
      </c>
    </row>
    <row r="1062" spans="1:7">
      <c r="A1062" s="1">
        <v>6</v>
      </c>
      <c r="B1062" s="1" t="s">
        <v>117</v>
      </c>
      <c r="C1062" s="11">
        <v>0</v>
      </c>
      <c r="D1062" s="11">
        <v>0</v>
      </c>
      <c r="E1062" s="2">
        <f t="shared" si="33"/>
        <v>0</v>
      </c>
      <c r="F1062" s="11">
        <v>0</v>
      </c>
      <c r="G1062" s="3" t="e">
        <f t="shared" si="34"/>
        <v>#DIV/0!</v>
      </c>
    </row>
    <row r="1063" spans="1:7">
      <c r="A1063" s="1">
        <v>7</v>
      </c>
      <c r="B1063" s="1" t="s">
        <v>117</v>
      </c>
      <c r="C1063" s="11">
        <v>20</v>
      </c>
      <c r="D1063" s="11">
        <v>19.88</v>
      </c>
      <c r="E1063" s="2">
        <f t="shared" si="33"/>
        <v>0.12000000000000099</v>
      </c>
      <c r="F1063" s="11">
        <v>0.09</v>
      </c>
      <c r="G1063" s="3">
        <f t="shared" si="34"/>
        <v>1.0500000000000049E-2</v>
      </c>
    </row>
    <row r="1064" spans="1:7">
      <c r="A1064" s="1">
        <v>10</v>
      </c>
      <c r="B1064" s="1" t="s">
        <v>117</v>
      </c>
      <c r="C1064" s="11">
        <v>0</v>
      </c>
      <c r="D1064" s="11">
        <v>0</v>
      </c>
      <c r="E1064" s="2">
        <f t="shared" si="33"/>
        <v>0</v>
      </c>
      <c r="F1064" s="11">
        <v>0.13200000000000001</v>
      </c>
      <c r="G1064" s="3" t="e">
        <f t="shared" si="34"/>
        <v>#DIV/0!</v>
      </c>
    </row>
    <row r="1065" spans="1:7">
      <c r="A1065" s="1">
        <v>8</v>
      </c>
      <c r="B1065" s="1" t="s">
        <v>117</v>
      </c>
      <c r="C1065" s="11">
        <v>20</v>
      </c>
      <c r="D1065" s="11">
        <v>19.57</v>
      </c>
      <c r="E1065" s="2">
        <f t="shared" si="33"/>
        <v>0.42999999999999972</v>
      </c>
      <c r="F1065" s="11">
        <v>8.3000000000000004E-2</v>
      </c>
      <c r="G1065" s="3">
        <f t="shared" si="34"/>
        <v>2.5649999999999985E-2</v>
      </c>
    </row>
    <row r="1066" spans="1:7">
      <c r="A1066" s="1">
        <v>9</v>
      </c>
      <c r="B1066" s="1" t="s">
        <v>117</v>
      </c>
      <c r="C1066" s="11">
        <v>0</v>
      </c>
      <c r="D1066" s="11">
        <v>0</v>
      </c>
      <c r="E1066" s="2">
        <f t="shared" si="33"/>
        <v>0</v>
      </c>
      <c r="F1066" s="11">
        <v>4.4999999999999998E-2</v>
      </c>
      <c r="G1066" s="3" t="e">
        <f t="shared" si="34"/>
        <v>#DIV/0!</v>
      </c>
    </row>
    <row r="1067" spans="1:7">
      <c r="A1067" s="1">
        <v>11</v>
      </c>
      <c r="B1067" s="1" t="s">
        <v>117</v>
      </c>
      <c r="C1067" s="11">
        <v>0</v>
      </c>
      <c r="D1067" s="11">
        <v>0</v>
      </c>
      <c r="E1067" s="2">
        <f t="shared" si="33"/>
        <v>0</v>
      </c>
      <c r="F1067" s="11">
        <v>6.4000000000000001E-2</v>
      </c>
      <c r="G1067" s="3" t="e">
        <f t="shared" si="34"/>
        <v>#DIV/0!</v>
      </c>
    </row>
    <row r="1068" spans="1:7">
      <c r="A1068" s="1">
        <v>12</v>
      </c>
      <c r="B1068" s="1" t="s">
        <v>117</v>
      </c>
      <c r="C1068" s="11">
        <v>19.670000000000002</v>
      </c>
      <c r="D1068" s="11">
        <v>19.57</v>
      </c>
      <c r="E1068" s="2">
        <f t="shared" si="33"/>
        <v>0.10000000000000142</v>
      </c>
      <c r="F1068" s="11">
        <v>4.3999999999999997E-2</v>
      </c>
      <c r="G1068" s="3">
        <f t="shared" si="34"/>
        <v>7.3207930859177121E-3</v>
      </c>
    </row>
    <row r="1069" spans="1:7">
      <c r="A1069" s="1">
        <v>13</v>
      </c>
      <c r="B1069" s="1" t="s">
        <v>117</v>
      </c>
      <c r="C1069" s="11">
        <v>0</v>
      </c>
      <c r="D1069" s="11">
        <v>0</v>
      </c>
      <c r="E1069" s="2">
        <f t="shared" si="33"/>
        <v>0</v>
      </c>
      <c r="F1069" s="11">
        <v>8.4000000000000005E-2</v>
      </c>
      <c r="G1069" s="3" t="e">
        <f t="shared" si="34"/>
        <v>#DIV/0!</v>
      </c>
    </row>
    <row r="1070" spans="1:7">
      <c r="A1070" s="1">
        <v>14</v>
      </c>
      <c r="B1070" s="1" t="s">
        <v>117</v>
      </c>
      <c r="C1070" s="11">
        <v>0</v>
      </c>
      <c r="D1070" s="11">
        <v>0</v>
      </c>
      <c r="E1070" s="2">
        <f t="shared" si="33"/>
        <v>0</v>
      </c>
      <c r="F1070" s="11">
        <v>0.24399999999999999</v>
      </c>
      <c r="G1070" s="3" t="e">
        <f t="shared" si="34"/>
        <v>#DIV/0!</v>
      </c>
    </row>
    <row r="1071" spans="1:7">
      <c r="A1071" s="1">
        <v>15</v>
      </c>
      <c r="B1071" s="1" t="s">
        <v>117</v>
      </c>
      <c r="C1071" s="11">
        <v>0</v>
      </c>
      <c r="D1071" s="11">
        <v>0</v>
      </c>
      <c r="E1071" s="2">
        <f t="shared" si="33"/>
        <v>0</v>
      </c>
      <c r="F1071" s="11">
        <v>0.223</v>
      </c>
      <c r="G1071" s="3" t="e">
        <f t="shared" si="34"/>
        <v>#DIV/0!</v>
      </c>
    </row>
    <row r="1072" spans="1:7">
      <c r="A1072" s="1">
        <v>16</v>
      </c>
      <c r="B1072" s="1" t="s">
        <v>117</v>
      </c>
      <c r="C1072" s="11">
        <v>0</v>
      </c>
      <c r="D1072" s="11">
        <v>0</v>
      </c>
      <c r="E1072" s="2">
        <f t="shared" si="33"/>
        <v>0</v>
      </c>
      <c r="F1072" s="11">
        <v>0.152</v>
      </c>
      <c r="G1072" s="3" t="e">
        <f t="shared" si="34"/>
        <v>#DIV/0!</v>
      </c>
    </row>
    <row r="1073" spans="1:7">
      <c r="A1073" s="1">
        <v>17</v>
      </c>
      <c r="B1073" s="1" t="s">
        <v>117</v>
      </c>
      <c r="C1073" s="11">
        <v>20</v>
      </c>
      <c r="D1073" s="11">
        <v>19.57</v>
      </c>
      <c r="E1073" s="2">
        <f t="shared" si="33"/>
        <v>0.42999999999999972</v>
      </c>
      <c r="F1073" s="11">
        <v>7.0000000000000007E-2</v>
      </c>
      <c r="G1073" s="3">
        <f t="shared" si="34"/>
        <v>2.4999999999999988E-2</v>
      </c>
    </row>
    <row r="1074" spans="1:7">
      <c r="A1074" s="1">
        <v>18</v>
      </c>
      <c r="B1074" s="1" t="s">
        <v>117</v>
      </c>
      <c r="C1074" s="11">
        <v>40</v>
      </c>
      <c r="D1074" s="11">
        <v>39.120000000000005</v>
      </c>
      <c r="E1074" s="2">
        <f t="shared" si="33"/>
        <v>0.87999999999999545</v>
      </c>
      <c r="F1074" s="11">
        <v>8.4000000000000005E-2</v>
      </c>
      <c r="G1074" s="3">
        <f t="shared" si="34"/>
        <v>2.4099999999999885E-2</v>
      </c>
    </row>
    <row r="1075" spans="1:7">
      <c r="A1075" s="1">
        <v>19</v>
      </c>
      <c r="B1075" s="1" t="s">
        <v>117</v>
      </c>
      <c r="C1075" s="11">
        <v>0</v>
      </c>
      <c r="D1075" s="11">
        <v>0</v>
      </c>
      <c r="E1075" s="2">
        <f t="shared" si="33"/>
        <v>0</v>
      </c>
      <c r="F1075" s="11">
        <v>7.8E-2</v>
      </c>
      <c r="G1075" s="3" t="e">
        <f t="shared" si="34"/>
        <v>#DIV/0!</v>
      </c>
    </row>
    <row r="1076" spans="1:7">
      <c r="A1076" s="1">
        <v>20</v>
      </c>
      <c r="B1076" s="1" t="s">
        <v>117</v>
      </c>
      <c r="C1076" s="11">
        <v>0</v>
      </c>
      <c r="D1076" s="11">
        <v>0</v>
      </c>
      <c r="E1076" s="2">
        <f t="shared" si="33"/>
        <v>0</v>
      </c>
      <c r="F1076" s="11">
        <v>0.08</v>
      </c>
      <c r="G1076" s="3" t="e">
        <f t="shared" si="34"/>
        <v>#DIV/0!</v>
      </c>
    </row>
    <row r="1077" spans="1:7">
      <c r="A1077" s="1">
        <v>21</v>
      </c>
      <c r="B1077" s="1" t="s">
        <v>117</v>
      </c>
      <c r="C1077" s="11">
        <v>0</v>
      </c>
      <c r="D1077" s="11">
        <v>0</v>
      </c>
      <c r="E1077" s="2">
        <f t="shared" si="33"/>
        <v>0</v>
      </c>
      <c r="F1077" s="11">
        <v>5.2999999999999999E-2</v>
      </c>
      <c r="G1077" s="3" t="e">
        <f t="shared" si="34"/>
        <v>#DIV/0!</v>
      </c>
    </row>
    <row r="1078" spans="1:7">
      <c r="A1078" s="1">
        <v>22</v>
      </c>
      <c r="B1078" s="1" t="s">
        <v>117</v>
      </c>
      <c r="C1078" s="11">
        <v>0</v>
      </c>
      <c r="D1078" s="11">
        <v>0</v>
      </c>
      <c r="E1078" s="2">
        <f t="shared" si="33"/>
        <v>0</v>
      </c>
      <c r="F1078" s="11">
        <v>0.06</v>
      </c>
      <c r="G1078" s="3" t="e">
        <f t="shared" si="34"/>
        <v>#DIV/0!</v>
      </c>
    </row>
    <row r="1079" spans="1:7">
      <c r="A1079" s="1">
        <v>23</v>
      </c>
      <c r="B1079" s="1" t="s">
        <v>117</v>
      </c>
      <c r="C1079" s="11">
        <v>20</v>
      </c>
      <c r="D1079" s="11">
        <v>19.62</v>
      </c>
      <c r="E1079" s="2">
        <f t="shared" si="33"/>
        <v>0.37999999999999901</v>
      </c>
      <c r="F1079" s="11">
        <v>0.13700000000000001</v>
      </c>
      <c r="G1079" s="3">
        <f t="shared" si="34"/>
        <v>2.5849999999999949E-2</v>
      </c>
    </row>
    <row r="1080" spans="1:7">
      <c r="A1080" s="1">
        <v>24</v>
      </c>
      <c r="B1080" s="1" t="s">
        <v>117</v>
      </c>
      <c r="C1080" s="11">
        <v>27.91</v>
      </c>
      <c r="D1080" s="11">
        <v>27.71</v>
      </c>
      <c r="E1080" s="2">
        <f t="shared" si="33"/>
        <v>0.19999999999999929</v>
      </c>
      <c r="F1080" s="11">
        <v>0.188</v>
      </c>
      <c r="G1080" s="3">
        <f t="shared" si="34"/>
        <v>1.3901827302042253E-2</v>
      </c>
    </row>
    <row r="1081" spans="1:7">
      <c r="A1081" s="1">
        <v>25</v>
      </c>
      <c r="B1081" s="1" t="s">
        <v>117</v>
      </c>
      <c r="C1081" s="11">
        <v>0</v>
      </c>
      <c r="D1081" s="11">
        <v>0</v>
      </c>
      <c r="E1081" s="2">
        <f t="shared" si="33"/>
        <v>0</v>
      </c>
      <c r="F1081" s="11">
        <v>0.11899999999999999</v>
      </c>
      <c r="G1081" s="3" t="e">
        <f t="shared" si="34"/>
        <v>#DIV/0!</v>
      </c>
    </row>
    <row r="1082" spans="1:7">
      <c r="A1082" s="1">
        <v>26</v>
      </c>
      <c r="B1082" s="1" t="s">
        <v>117</v>
      </c>
      <c r="C1082" s="11">
        <v>20</v>
      </c>
      <c r="D1082" s="11">
        <v>19.88</v>
      </c>
      <c r="E1082" s="2">
        <f t="shared" si="33"/>
        <v>0.12000000000000099</v>
      </c>
      <c r="F1082" s="11">
        <v>0.09</v>
      </c>
      <c r="G1082" s="3">
        <f t="shared" si="34"/>
        <v>1.0500000000000049E-2</v>
      </c>
    </row>
    <row r="1083" spans="1:7">
      <c r="A1083" s="1">
        <v>27</v>
      </c>
      <c r="B1083" s="1" t="s">
        <v>117</v>
      </c>
      <c r="C1083" s="11">
        <v>23.2</v>
      </c>
      <c r="D1083" s="11">
        <v>23.03</v>
      </c>
      <c r="E1083" s="2">
        <f t="shared" si="33"/>
        <v>0.16999999999999815</v>
      </c>
      <c r="F1083" s="11">
        <v>9.5000000000000001E-2</v>
      </c>
      <c r="G1083" s="3">
        <f t="shared" si="34"/>
        <v>1.1422413793103367E-2</v>
      </c>
    </row>
    <row r="1084" spans="1:7">
      <c r="A1084" s="1">
        <v>28</v>
      </c>
      <c r="B1084" s="1" t="s">
        <v>117</v>
      </c>
      <c r="C1084" s="11">
        <v>0</v>
      </c>
      <c r="D1084" s="11">
        <v>0</v>
      </c>
      <c r="E1084" s="2">
        <f t="shared" si="33"/>
        <v>0</v>
      </c>
      <c r="F1084" s="11">
        <v>6.8000000000000005E-2</v>
      </c>
      <c r="G1084" s="3" t="e">
        <f t="shared" si="34"/>
        <v>#DIV/0!</v>
      </c>
    </row>
    <row r="1085" spans="1:7">
      <c r="A1085" s="1">
        <v>29</v>
      </c>
      <c r="B1085" s="1" t="s">
        <v>117</v>
      </c>
      <c r="C1085" s="11">
        <v>0</v>
      </c>
      <c r="D1085" s="11">
        <v>0</v>
      </c>
      <c r="E1085" s="2">
        <f t="shared" si="33"/>
        <v>0</v>
      </c>
      <c r="F1085" s="11">
        <v>0.11799999999999999</v>
      </c>
      <c r="G1085" s="3" t="e">
        <f t="shared" si="34"/>
        <v>#DIV/0!</v>
      </c>
    </row>
    <row r="1086" spans="1:7">
      <c r="A1086" s="1">
        <v>30</v>
      </c>
      <c r="B1086" s="1" t="s">
        <v>117</v>
      </c>
      <c r="C1086" s="11">
        <v>24.49</v>
      </c>
      <c r="D1086" s="11">
        <v>24.2</v>
      </c>
      <c r="E1086" s="2">
        <f t="shared" si="33"/>
        <v>0.28999999999999915</v>
      </c>
      <c r="F1086" s="11">
        <v>7.8E-2</v>
      </c>
      <c r="G1086" s="3">
        <f t="shared" si="34"/>
        <v>1.5026541445487922E-2</v>
      </c>
    </row>
    <row r="1087" spans="1:7">
      <c r="A1087" s="1">
        <v>31</v>
      </c>
      <c r="B1087" s="1" t="s">
        <v>117</v>
      </c>
      <c r="C1087" s="11">
        <v>43.93</v>
      </c>
      <c r="D1087" s="11">
        <v>43.38</v>
      </c>
      <c r="E1087" s="2">
        <f t="shared" si="33"/>
        <v>0.54999999999999716</v>
      </c>
      <c r="F1087" s="11">
        <v>0.112</v>
      </c>
      <c r="G1087" s="3">
        <f t="shared" si="34"/>
        <v>1.5069428636467042E-2</v>
      </c>
    </row>
    <row r="1088" spans="1:7">
      <c r="A1088" s="1">
        <v>1</v>
      </c>
      <c r="B1088" s="1" t="s">
        <v>121</v>
      </c>
      <c r="C1088" s="11">
        <v>20</v>
      </c>
      <c r="D1088" s="11">
        <v>19.95</v>
      </c>
      <c r="E1088" s="2">
        <f t="shared" si="33"/>
        <v>5.0000000000000711E-2</v>
      </c>
      <c r="F1088" s="11">
        <v>0.21</v>
      </c>
      <c r="G1088" s="3">
        <f t="shared" si="34"/>
        <v>1.3000000000000034E-2</v>
      </c>
    </row>
    <row r="1089" spans="1:7">
      <c r="A1089" s="1">
        <v>2</v>
      </c>
      <c r="B1089" s="1" t="s">
        <v>121</v>
      </c>
      <c r="C1089" s="11">
        <v>40</v>
      </c>
      <c r="D1089" s="11">
        <v>39.67</v>
      </c>
      <c r="E1089" s="2">
        <f t="shared" si="33"/>
        <v>0.32999999999999829</v>
      </c>
      <c r="F1089" s="11">
        <v>0.21</v>
      </c>
      <c r="G1089" s="3">
        <f t="shared" si="34"/>
        <v>1.3499999999999956E-2</v>
      </c>
    </row>
    <row r="1090" spans="1:7">
      <c r="A1090" s="1">
        <v>3</v>
      </c>
      <c r="B1090" s="1" t="s">
        <v>121</v>
      </c>
      <c r="C1090" s="11">
        <v>0</v>
      </c>
      <c r="D1090" s="11">
        <v>0</v>
      </c>
      <c r="E1090" s="2">
        <f t="shared" si="33"/>
        <v>0</v>
      </c>
      <c r="F1090" s="11">
        <v>0.49</v>
      </c>
      <c r="G1090" s="3" t="e">
        <f t="shared" si="34"/>
        <v>#DIV/0!</v>
      </c>
    </row>
    <row r="1091" spans="1:7">
      <c r="A1091" s="1">
        <v>4</v>
      </c>
      <c r="B1091" s="1" t="s">
        <v>121</v>
      </c>
      <c r="C1091" s="11">
        <v>20</v>
      </c>
      <c r="D1091" s="11">
        <v>19.559999999999999</v>
      </c>
      <c r="E1091" s="2">
        <f t="shared" si="33"/>
        <v>0.44000000000000128</v>
      </c>
      <c r="F1091" s="11">
        <v>6.0999999999999999E-2</v>
      </c>
      <c r="G1091" s="3">
        <f t="shared" si="34"/>
        <v>2.5050000000000062E-2</v>
      </c>
    </row>
    <row r="1092" spans="1:7">
      <c r="A1092" s="1">
        <v>5</v>
      </c>
      <c r="B1092" s="1" t="s">
        <v>121</v>
      </c>
      <c r="C1092" s="11">
        <v>40</v>
      </c>
      <c r="D1092" s="11">
        <v>39.840000000000003</v>
      </c>
      <c r="E1092" s="2">
        <f t="shared" ref="E1092:E1155" si="35">C1092-D1092</f>
        <v>0.15999999999999659</v>
      </c>
      <c r="F1092" s="11">
        <v>0.32500000000000001</v>
      </c>
      <c r="G1092" s="3">
        <f t="shared" si="34"/>
        <v>1.2124999999999915E-2</v>
      </c>
    </row>
    <row r="1093" spans="1:7">
      <c r="A1093" s="1">
        <v>6</v>
      </c>
      <c r="B1093" s="1" t="s">
        <v>121</v>
      </c>
      <c r="C1093" s="11">
        <v>0</v>
      </c>
      <c r="D1093" s="11">
        <v>0</v>
      </c>
      <c r="E1093" s="2">
        <f t="shared" si="35"/>
        <v>0</v>
      </c>
      <c r="F1093" s="11">
        <v>0.35799999999999998</v>
      </c>
      <c r="G1093" s="3" t="e">
        <f t="shared" si="34"/>
        <v>#DIV/0!</v>
      </c>
    </row>
    <row r="1094" spans="1:7">
      <c r="A1094" s="1">
        <v>7</v>
      </c>
      <c r="B1094" s="1" t="s">
        <v>121</v>
      </c>
      <c r="C1094" s="11">
        <v>20</v>
      </c>
      <c r="D1094" s="11">
        <v>19.8</v>
      </c>
      <c r="E1094" s="2">
        <f t="shared" si="35"/>
        <v>0.19999999999999929</v>
      </c>
      <c r="F1094" s="11">
        <v>0.17299999999999999</v>
      </c>
      <c r="G1094" s="3">
        <f t="shared" si="34"/>
        <v>1.8649999999999965E-2</v>
      </c>
    </row>
    <row r="1095" spans="1:7">
      <c r="A1095" s="1">
        <v>10</v>
      </c>
      <c r="B1095" s="1" t="s">
        <v>121</v>
      </c>
      <c r="C1095" s="11">
        <v>20</v>
      </c>
      <c r="D1095" s="11">
        <v>19.97</v>
      </c>
      <c r="E1095" s="2">
        <f t="shared" si="35"/>
        <v>3.0000000000001137E-2</v>
      </c>
      <c r="F1095" s="11">
        <v>0.28599999999998715</v>
      </c>
      <c r="G1095" s="3">
        <f t="shared" si="34"/>
        <v>1.5799999999999415E-2</v>
      </c>
    </row>
    <row r="1096" spans="1:7">
      <c r="A1096" s="1">
        <v>8</v>
      </c>
      <c r="B1096" s="1" t="s">
        <v>121</v>
      </c>
      <c r="C1096" s="11">
        <v>0</v>
      </c>
      <c r="D1096" s="11">
        <v>0</v>
      </c>
      <c r="E1096" s="2">
        <f t="shared" si="35"/>
        <v>0</v>
      </c>
      <c r="F1096" s="11">
        <v>0.56999999999999995</v>
      </c>
      <c r="G1096" s="3" t="e">
        <f t="shared" si="34"/>
        <v>#DIV/0!</v>
      </c>
    </row>
    <row r="1097" spans="1:7">
      <c r="A1097" s="1">
        <v>9</v>
      </c>
      <c r="B1097" s="1" t="s">
        <v>121</v>
      </c>
      <c r="C1097" s="11">
        <v>60</v>
      </c>
      <c r="D1097" s="11">
        <v>59.75</v>
      </c>
      <c r="E1097" s="2">
        <f t="shared" si="35"/>
        <v>0.25</v>
      </c>
      <c r="F1097" s="11">
        <v>0.55900000000000005</v>
      </c>
      <c r="G1097" s="3">
        <f t="shared" si="34"/>
        <v>1.3483333333333335E-2</v>
      </c>
    </row>
    <row r="1098" spans="1:7">
      <c r="A1098" s="1">
        <v>11</v>
      </c>
      <c r="B1098" s="1" t="s">
        <v>121</v>
      </c>
      <c r="C1098" s="11">
        <v>19.23</v>
      </c>
      <c r="D1098" s="11">
        <v>19.11</v>
      </c>
      <c r="E1098" s="2">
        <f t="shared" si="35"/>
        <v>0.12000000000000099</v>
      </c>
      <c r="F1098" s="11">
        <v>0.2</v>
      </c>
      <c r="G1098" s="3">
        <f t="shared" si="34"/>
        <v>1.6640665626625115E-2</v>
      </c>
    </row>
    <row r="1099" spans="1:7">
      <c r="A1099" s="1">
        <v>12</v>
      </c>
      <c r="B1099" s="1" t="s">
        <v>121</v>
      </c>
      <c r="C1099" s="11">
        <v>0</v>
      </c>
      <c r="D1099" s="11">
        <v>0</v>
      </c>
      <c r="E1099" s="2">
        <f t="shared" si="35"/>
        <v>0</v>
      </c>
      <c r="F1099" s="11">
        <v>0.74</v>
      </c>
      <c r="G1099" s="3" t="e">
        <f t="shared" si="34"/>
        <v>#DIV/0!</v>
      </c>
    </row>
    <row r="1100" spans="1:7">
      <c r="A1100" s="1">
        <v>13</v>
      </c>
      <c r="B1100" s="1" t="s">
        <v>121</v>
      </c>
      <c r="C1100" s="11">
        <v>20</v>
      </c>
      <c r="D1100" s="11">
        <v>19.91</v>
      </c>
      <c r="E1100" s="2">
        <f t="shared" si="35"/>
        <v>8.9999999999999858E-2</v>
      </c>
      <c r="F1100" s="11">
        <v>0.17399999999999999</v>
      </c>
      <c r="G1100" s="3">
        <f t="shared" si="34"/>
        <v>1.3199999999999993E-2</v>
      </c>
    </row>
    <row r="1101" spans="1:7">
      <c r="A1101" s="1">
        <v>14</v>
      </c>
      <c r="B1101" s="1" t="s">
        <v>121</v>
      </c>
      <c r="C1101" s="11">
        <v>0</v>
      </c>
      <c r="D1101" s="11">
        <v>0</v>
      </c>
      <c r="E1101" s="2">
        <f t="shared" si="35"/>
        <v>0</v>
      </c>
      <c r="F1101" s="11">
        <v>0.23599999999999999</v>
      </c>
      <c r="G1101" s="3" t="e">
        <f t="shared" si="34"/>
        <v>#DIV/0!</v>
      </c>
    </row>
    <row r="1102" spans="1:7">
      <c r="A1102" s="1">
        <v>15</v>
      </c>
      <c r="B1102" s="1" t="s">
        <v>121</v>
      </c>
      <c r="C1102" s="11">
        <v>103.84</v>
      </c>
      <c r="D1102" s="11">
        <v>103.94</v>
      </c>
      <c r="E1102" s="2">
        <f t="shared" si="35"/>
        <v>-9.9999999999994316E-2</v>
      </c>
      <c r="F1102" s="11">
        <v>1.2</v>
      </c>
      <c r="G1102" s="3">
        <f t="shared" si="34"/>
        <v>1.0593220338983104E-2</v>
      </c>
    </row>
    <row r="1103" spans="1:7">
      <c r="A1103" s="1">
        <v>16</v>
      </c>
      <c r="B1103" s="1" t="s">
        <v>121</v>
      </c>
      <c r="C1103" s="11">
        <v>0</v>
      </c>
      <c r="D1103" s="11">
        <v>0</v>
      </c>
      <c r="E1103" s="2">
        <f t="shared" si="35"/>
        <v>0</v>
      </c>
      <c r="F1103" s="11">
        <v>0.20499999999999999</v>
      </c>
      <c r="G1103" s="3" t="e">
        <f t="shared" si="34"/>
        <v>#DIV/0!</v>
      </c>
    </row>
    <row r="1104" spans="1:7">
      <c r="A1104" s="1">
        <v>17</v>
      </c>
      <c r="B1104" s="1" t="s">
        <v>121</v>
      </c>
      <c r="C1104" s="11">
        <v>22.92</v>
      </c>
      <c r="D1104" s="11">
        <v>22.76</v>
      </c>
      <c r="E1104" s="2">
        <f t="shared" si="35"/>
        <v>0.16000000000000014</v>
      </c>
      <c r="F1104" s="11">
        <v>0.11899999999999999</v>
      </c>
      <c r="G1104" s="3">
        <f t="shared" si="34"/>
        <v>1.2172774869109953E-2</v>
      </c>
    </row>
    <row r="1105" spans="1:7">
      <c r="A1105" s="1">
        <v>18</v>
      </c>
      <c r="B1105" s="1" t="s">
        <v>121</v>
      </c>
      <c r="C1105" s="11">
        <v>0</v>
      </c>
      <c r="D1105" s="11">
        <v>0</v>
      </c>
      <c r="E1105" s="2">
        <f t="shared" si="35"/>
        <v>0</v>
      </c>
      <c r="F1105" s="11">
        <v>0.13800000000000001</v>
      </c>
      <c r="G1105" s="3" t="e">
        <f t="shared" si="34"/>
        <v>#DIV/0!</v>
      </c>
    </row>
    <row r="1106" spans="1:7">
      <c r="A1106" s="1">
        <v>19</v>
      </c>
      <c r="B1106" s="1" t="s">
        <v>121</v>
      </c>
      <c r="C1106" s="11">
        <v>0</v>
      </c>
      <c r="D1106" s="11">
        <v>0</v>
      </c>
      <c r="E1106" s="2">
        <f t="shared" si="35"/>
        <v>0</v>
      </c>
      <c r="F1106" s="11">
        <v>0.17499999999999999</v>
      </c>
      <c r="G1106" s="3" t="e">
        <f t="shared" si="34"/>
        <v>#DIV/0!</v>
      </c>
    </row>
    <row r="1107" spans="1:7">
      <c r="A1107" s="1">
        <v>20</v>
      </c>
      <c r="B1107" s="1" t="s">
        <v>121</v>
      </c>
      <c r="C1107" s="11">
        <v>20</v>
      </c>
      <c r="D1107" s="11">
        <v>19.97</v>
      </c>
      <c r="E1107" s="2">
        <f t="shared" si="35"/>
        <v>3.0000000000001137E-2</v>
      </c>
      <c r="F1107" s="11">
        <v>0.20499999999999999</v>
      </c>
      <c r="G1107" s="3">
        <f t="shared" si="34"/>
        <v>1.1750000000000056E-2</v>
      </c>
    </row>
    <row r="1108" spans="1:7">
      <c r="A1108" s="1">
        <v>21</v>
      </c>
      <c r="B1108" s="1" t="s">
        <v>121</v>
      </c>
      <c r="C1108" s="11">
        <v>0</v>
      </c>
      <c r="D1108" s="11">
        <v>0</v>
      </c>
      <c r="E1108" s="2">
        <f t="shared" si="35"/>
        <v>0</v>
      </c>
      <c r="F1108" s="11">
        <v>0.30499999999999999</v>
      </c>
      <c r="G1108" s="3" t="e">
        <f t="shared" si="34"/>
        <v>#DIV/0!</v>
      </c>
    </row>
    <row r="1109" spans="1:7">
      <c r="A1109" s="1">
        <v>22</v>
      </c>
      <c r="B1109" s="1" t="s">
        <v>121</v>
      </c>
      <c r="C1109" s="11">
        <v>0</v>
      </c>
      <c r="D1109" s="11">
        <v>0</v>
      </c>
      <c r="E1109" s="2">
        <f t="shared" si="35"/>
        <v>0</v>
      </c>
      <c r="F1109" s="11">
        <v>0.14000000000000001</v>
      </c>
      <c r="G1109" s="3" t="e">
        <f t="shared" si="34"/>
        <v>#DIV/0!</v>
      </c>
    </row>
    <row r="1110" spans="1:7">
      <c r="A1110" s="1">
        <v>23</v>
      </c>
      <c r="B1110" s="1" t="s">
        <v>121</v>
      </c>
      <c r="C1110" s="11">
        <v>20</v>
      </c>
      <c r="D1110" s="11">
        <v>19.829999999999998</v>
      </c>
      <c r="E1110" s="2">
        <f t="shared" si="35"/>
        <v>0.17000000000000171</v>
      </c>
      <c r="F1110" s="11">
        <v>0.11</v>
      </c>
      <c r="G1110" s="3">
        <f t="shared" si="34"/>
        <v>1.4000000000000085E-2</v>
      </c>
    </row>
    <row r="1111" spans="1:7">
      <c r="A1111" s="1">
        <v>24</v>
      </c>
      <c r="B1111" s="1" t="s">
        <v>121</v>
      </c>
      <c r="C1111" s="11">
        <v>20</v>
      </c>
      <c r="D1111" s="11">
        <v>19.809999999999999</v>
      </c>
      <c r="E1111" s="2">
        <f t="shared" si="35"/>
        <v>0.19000000000000128</v>
      </c>
      <c r="F1111" s="11">
        <v>0.3</v>
      </c>
      <c r="G1111" s="3">
        <f t="shared" si="34"/>
        <v>2.4500000000000063E-2</v>
      </c>
    </row>
    <row r="1112" spans="1:7">
      <c r="A1112" s="1">
        <v>25</v>
      </c>
      <c r="B1112" s="1" t="s">
        <v>121</v>
      </c>
      <c r="C1112" s="11">
        <v>40</v>
      </c>
      <c r="D1112" s="11">
        <v>39.68</v>
      </c>
      <c r="E1112" s="2">
        <f t="shared" si="35"/>
        <v>0.32000000000000028</v>
      </c>
      <c r="F1112" s="11">
        <v>0.11</v>
      </c>
      <c r="G1112" s="3">
        <f t="shared" si="34"/>
        <v>1.0750000000000006E-2</v>
      </c>
    </row>
    <row r="1113" spans="1:7">
      <c r="A1113" s="1">
        <v>26</v>
      </c>
      <c r="B1113" s="1" t="s">
        <v>121</v>
      </c>
      <c r="C1113" s="11">
        <v>0</v>
      </c>
      <c r="D1113" s="11">
        <v>0</v>
      </c>
      <c r="E1113" s="2">
        <f t="shared" si="35"/>
        <v>0</v>
      </c>
      <c r="F1113" s="11">
        <v>0.26</v>
      </c>
      <c r="G1113" s="3" t="e">
        <f t="shared" si="34"/>
        <v>#DIV/0!</v>
      </c>
    </row>
    <row r="1114" spans="1:7">
      <c r="A1114" s="1">
        <v>27</v>
      </c>
      <c r="B1114" s="1" t="s">
        <v>121</v>
      </c>
      <c r="C1114" s="11">
        <v>20</v>
      </c>
      <c r="D1114" s="11">
        <v>19.95</v>
      </c>
      <c r="E1114" s="2">
        <f t="shared" si="35"/>
        <v>5.0000000000000711E-2</v>
      </c>
      <c r="F1114" s="11">
        <v>0.27</v>
      </c>
      <c r="G1114" s="3">
        <f t="shared" si="34"/>
        <v>1.6000000000000035E-2</v>
      </c>
    </row>
    <row r="1115" spans="1:7">
      <c r="A1115" s="1">
        <v>28</v>
      </c>
      <c r="B1115" s="1" t="s">
        <v>121</v>
      </c>
      <c r="C1115" s="11">
        <v>20</v>
      </c>
      <c r="D1115" s="11">
        <v>19.82</v>
      </c>
      <c r="E1115" s="2">
        <f t="shared" si="35"/>
        <v>0.17999999999999972</v>
      </c>
      <c r="F1115" s="11">
        <v>0.15</v>
      </c>
      <c r="G1115" s="3">
        <f t="shared" si="34"/>
        <v>1.6499999999999987E-2</v>
      </c>
    </row>
    <row r="1116" spans="1:7">
      <c r="A1116" s="1">
        <v>29</v>
      </c>
      <c r="B1116" s="1" t="s">
        <v>121</v>
      </c>
      <c r="C1116" s="11">
        <v>20</v>
      </c>
      <c r="D1116" s="11">
        <v>19.91</v>
      </c>
      <c r="E1116" s="2">
        <f t="shared" si="35"/>
        <v>8.9999999999999858E-2</v>
      </c>
      <c r="F1116" s="11">
        <v>0.155</v>
      </c>
      <c r="G1116" s="3">
        <f t="shared" si="34"/>
        <v>1.2249999999999994E-2</v>
      </c>
    </row>
    <row r="1117" spans="1:7">
      <c r="A1117" s="1">
        <v>30</v>
      </c>
      <c r="B1117" s="1" t="s">
        <v>121</v>
      </c>
      <c r="C1117" s="11">
        <v>20</v>
      </c>
      <c r="D1117" s="11">
        <v>20</v>
      </c>
      <c r="E1117" s="2">
        <f t="shared" si="35"/>
        <v>0</v>
      </c>
      <c r="F1117" s="11">
        <v>0.23300000000000001</v>
      </c>
      <c r="G1117" s="3">
        <f t="shared" si="34"/>
        <v>1.1650000000000001E-2</v>
      </c>
    </row>
    <row r="1118" spans="1:7">
      <c r="A1118" s="1">
        <v>31</v>
      </c>
      <c r="B1118" s="1" t="s">
        <v>121</v>
      </c>
      <c r="C1118" s="11">
        <v>20</v>
      </c>
      <c r="D1118" s="11">
        <v>19.78</v>
      </c>
      <c r="E1118" s="2">
        <f t="shared" si="35"/>
        <v>0.21999999999999886</v>
      </c>
      <c r="F1118" s="11">
        <v>0.155</v>
      </c>
      <c r="G1118" s="3">
        <f t="shared" si="34"/>
        <v>1.8749999999999944E-2</v>
      </c>
    </row>
    <row r="1119" spans="1:7">
      <c r="A1119" s="1">
        <v>1</v>
      </c>
      <c r="B1119" s="1" t="s">
        <v>122</v>
      </c>
      <c r="C1119" s="11">
        <v>0</v>
      </c>
      <c r="D1119" s="11">
        <v>0</v>
      </c>
      <c r="E1119" s="2">
        <f t="shared" si="35"/>
        <v>0</v>
      </c>
      <c r="F1119" s="11">
        <v>0</v>
      </c>
      <c r="G1119" s="3" t="e">
        <f t="shared" si="34"/>
        <v>#DIV/0!</v>
      </c>
    </row>
    <row r="1120" spans="1:7">
      <c r="A1120" s="1">
        <v>2</v>
      </c>
      <c r="B1120" s="1" t="s">
        <v>122</v>
      </c>
      <c r="C1120" s="11">
        <v>20</v>
      </c>
      <c r="D1120" s="11">
        <v>19.88</v>
      </c>
      <c r="E1120" s="2">
        <f t="shared" si="35"/>
        <v>0.12000000000000099</v>
      </c>
      <c r="F1120" s="11">
        <v>0.12</v>
      </c>
      <c r="G1120" s="3">
        <f t="shared" si="34"/>
        <v>1.2000000000000049E-2</v>
      </c>
    </row>
    <row r="1121" spans="1:7">
      <c r="A1121" s="1">
        <v>3</v>
      </c>
      <c r="B1121" s="1" t="s">
        <v>122</v>
      </c>
      <c r="C1121" s="11">
        <v>0</v>
      </c>
      <c r="D1121" s="11">
        <v>0</v>
      </c>
      <c r="E1121" s="2">
        <f t="shared" si="35"/>
        <v>0</v>
      </c>
      <c r="F1121" s="11">
        <v>0</v>
      </c>
      <c r="G1121" s="3" t="e">
        <f t="shared" ref="G1121:G1184" si="36">(E1121+F1121)/C1121</f>
        <v>#DIV/0!</v>
      </c>
    </row>
    <row r="1122" spans="1:7">
      <c r="A1122" s="1">
        <v>4</v>
      </c>
      <c r="B1122" s="1" t="s">
        <v>122</v>
      </c>
      <c r="C1122" s="11">
        <v>20</v>
      </c>
      <c r="D1122" s="11">
        <v>19.88</v>
      </c>
      <c r="E1122" s="2">
        <f t="shared" si="35"/>
        <v>0.12000000000000099</v>
      </c>
      <c r="F1122" s="11">
        <v>0.12</v>
      </c>
      <c r="G1122" s="3">
        <f t="shared" si="36"/>
        <v>1.2000000000000049E-2</v>
      </c>
    </row>
    <row r="1123" spans="1:7">
      <c r="A1123" s="1">
        <v>5</v>
      </c>
      <c r="B1123" s="1" t="s">
        <v>122</v>
      </c>
      <c r="C1123" s="11">
        <v>20</v>
      </c>
      <c r="D1123" s="11">
        <v>19.829999999999998</v>
      </c>
      <c r="E1123" s="2">
        <f t="shared" si="35"/>
        <v>0.17000000000000171</v>
      </c>
      <c r="F1123" s="11">
        <v>0.21</v>
      </c>
      <c r="G1123" s="3">
        <f t="shared" si="36"/>
        <v>1.9000000000000083E-2</v>
      </c>
    </row>
    <row r="1124" spans="1:7">
      <c r="A1124" s="1">
        <v>6</v>
      </c>
      <c r="B1124" s="1" t="s">
        <v>122</v>
      </c>
      <c r="C1124" s="11">
        <v>0</v>
      </c>
      <c r="D1124" s="11">
        <v>0</v>
      </c>
      <c r="E1124" s="2">
        <f t="shared" si="35"/>
        <v>0</v>
      </c>
      <c r="F1124" s="11">
        <v>0.79</v>
      </c>
      <c r="G1124" s="3" t="e">
        <f t="shared" si="36"/>
        <v>#DIV/0!</v>
      </c>
    </row>
    <row r="1125" spans="1:7">
      <c r="A1125" s="1">
        <v>7</v>
      </c>
      <c r="B1125" s="1" t="s">
        <v>122</v>
      </c>
      <c r="C1125" s="11">
        <v>20</v>
      </c>
      <c r="D1125" s="11">
        <v>19.87</v>
      </c>
      <c r="E1125" s="2">
        <f t="shared" si="35"/>
        <v>0.12999999999999901</v>
      </c>
      <c r="F1125" s="11">
        <v>0</v>
      </c>
      <c r="G1125" s="3">
        <f t="shared" si="36"/>
        <v>6.4999999999999503E-3</v>
      </c>
    </row>
    <row r="1126" spans="1:7">
      <c r="A1126" s="1">
        <v>8</v>
      </c>
      <c r="B1126" s="1" t="s">
        <v>122</v>
      </c>
      <c r="C1126" s="11">
        <v>23.2</v>
      </c>
      <c r="D1126" s="11">
        <v>23.09</v>
      </c>
      <c r="E1126" s="2">
        <f t="shared" si="35"/>
        <v>0.10999999999999943</v>
      </c>
      <c r="F1126" s="11">
        <v>0.114</v>
      </c>
      <c r="G1126" s="3">
        <f t="shared" si="36"/>
        <v>9.655172413793078E-3</v>
      </c>
    </row>
    <row r="1127" spans="1:7">
      <c r="A1127" s="1">
        <v>9</v>
      </c>
      <c r="B1127" s="1" t="s">
        <v>122</v>
      </c>
      <c r="C1127" s="11">
        <v>0</v>
      </c>
      <c r="D1127" s="11">
        <v>0</v>
      </c>
      <c r="E1127" s="2">
        <f t="shared" si="35"/>
        <v>0</v>
      </c>
      <c r="F1127" s="11">
        <v>0</v>
      </c>
      <c r="G1127" s="3" t="e">
        <f t="shared" si="36"/>
        <v>#DIV/0!</v>
      </c>
    </row>
    <row r="1128" spans="1:7">
      <c r="A1128" s="1">
        <v>10</v>
      </c>
      <c r="B1128" s="1" t="s">
        <v>122</v>
      </c>
      <c r="C1128" s="11">
        <v>28.99</v>
      </c>
      <c r="D1128" s="11">
        <v>28.81</v>
      </c>
      <c r="E1128" s="2">
        <f t="shared" si="35"/>
        <v>0.17999999999999972</v>
      </c>
      <c r="F1128" s="11">
        <v>0</v>
      </c>
      <c r="G1128" s="3">
        <f t="shared" si="36"/>
        <v>6.2090375991721188E-3</v>
      </c>
    </row>
    <row r="1129" spans="1:7">
      <c r="A1129" s="1">
        <v>11</v>
      </c>
      <c r="B1129" s="1" t="s">
        <v>122</v>
      </c>
      <c r="C1129" s="11">
        <v>18</v>
      </c>
      <c r="D1129" s="11">
        <v>17.809999999999999</v>
      </c>
      <c r="E1129" s="2">
        <f t="shared" si="35"/>
        <v>0.19000000000000128</v>
      </c>
      <c r="F1129" s="11">
        <v>0</v>
      </c>
      <c r="G1129" s="3">
        <f t="shared" si="36"/>
        <v>1.0555555555555627E-2</v>
      </c>
    </row>
    <row r="1130" spans="1:7">
      <c r="A1130" s="1">
        <v>12</v>
      </c>
      <c r="B1130" s="1" t="s">
        <v>122</v>
      </c>
      <c r="C1130" s="11">
        <v>0</v>
      </c>
      <c r="D1130" s="11">
        <v>0</v>
      </c>
      <c r="E1130" s="2">
        <f t="shared" si="35"/>
        <v>0</v>
      </c>
      <c r="F1130" s="11">
        <v>0</v>
      </c>
      <c r="G1130" s="3" t="e">
        <f t="shared" si="36"/>
        <v>#DIV/0!</v>
      </c>
    </row>
    <row r="1131" spans="1:7">
      <c r="A1131" s="1">
        <v>13</v>
      </c>
      <c r="B1131" s="1" t="s">
        <v>122</v>
      </c>
      <c r="C1131" s="11">
        <v>20</v>
      </c>
      <c r="D1131" s="11">
        <v>19.86</v>
      </c>
      <c r="E1131" s="2">
        <f t="shared" si="35"/>
        <v>0.14000000000000057</v>
      </c>
      <c r="F1131" s="11">
        <v>0.14000000000000001</v>
      </c>
      <c r="G1131" s="3">
        <f t="shared" si="36"/>
        <v>1.400000000000003E-2</v>
      </c>
    </row>
    <row r="1132" spans="1:7">
      <c r="A1132" s="1">
        <v>14</v>
      </c>
      <c r="B1132" s="1" t="s">
        <v>122</v>
      </c>
      <c r="C1132" s="11">
        <v>20.79</v>
      </c>
      <c r="D1132" s="11">
        <v>20.53</v>
      </c>
      <c r="E1132" s="2">
        <f t="shared" si="35"/>
        <v>0.25999999999999801</v>
      </c>
      <c r="F1132" s="11">
        <v>0.26</v>
      </c>
      <c r="G1132" s="3">
        <f t="shared" si="36"/>
        <v>2.5012025012024919E-2</v>
      </c>
    </row>
    <row r="1133" spans="1:7">
      <c r="A1133" s="1">
        <v>15</v>
      </c>
      <c r="B1133" s="1" t="s">
        <v>122</v>
      </c>
      <c r="C1133" s="11">
        <v>0</v>
      </c>
      <c r="D1133" s="11">
        <v>0</v>
      </c>
      <c r="E1133" s="2">
        <f t="shared" si="35"/>
        <v>0</v>
      </c>
      <c r="F1133" s="11">
        <v>0</v>
      </c>
      <c r="G1133" s="3" t="e">
        <f t="shared" si="36"/>
        <v>#DIV/0!</v>
      </c>
    </row>
    <row r="1134" spans="1:7">
      <c r="A1134" s="1">
        <v>16</v>
      </c>
      <c r="B1134" s="1" t="s">
        <v>122</v>
      </c>
      <c r="C1134" s="11">
        <v>24.97</v>
      </c>
      <c r="D1134" s="11">
        <v>24.61</v>
      </c>
      <c r="E1134" s="2">
        <f t="shared" si="35"/>
        <v>0.35999999999999943</v>
      </c>
      <c r="F1134" s="11">
        <v>0.28499999999999998</v>
      </c>
      <c r="G1134" s="3">
        <f t="shared" si="36"/>
        <v>2.5830997196635938E-2</v>
      </c>
    </row>
    <row r="1135" spans="1:7">
      <c r="A1135" s="1">
        <v>17</v>
      </c>
      <c r="B1135" s="1" t="s">
        <v>122</v>
      </c>
      <c r="C1135" s="11">
        <v>0</v>
      </c>
      <c r="D1135" s="11">
        <v>0</v>
      </c>
      <c r="E1135" s="2">
        <f t="shared" si="35"/>
        <v>0</v>
      </c>
      <c r="F1135" s="11">
        <v>0.28499999999999998</v>
      </c>
      <c r="G1135" s="3" t="e">
        <f t="shared" si="36"/>
        <v>#DIV/0!</v>
      </c>
    </row>
    <row r="1136" spans="1:7">
      <c r="A1136" s="1">
        <v>18</v>
      </c>
      <c r="B1136" s="1" t="s">
        <v>122</v>
      </c>
      <c r="C1136" s="11">
        <v>0</v>
      </c>
      <c r="D1136" s="11">
        <v>0</v>
      </c>
      <c r="E1136" s="2">
        <f t="shared" si="35"/>
        <v>0</v>
      </c>
      <c r="F1136" s="11">
        <v>0</v>
      </c>
      <c r="G1136" s="3" t="e">
        <f t="shared" si="36"/>
        <v>#DIV/0!</v>
      </c>
    </row>
    <row r="1137" spans="1:7">
      <c r="A1137" s="1">
        <v>19</v>
      </c>
      <c r="B1137" s="1" t="s">
        <v>122</v>
      </c>
      <c r="C1137" s="11">
        <v>20</v>
      </c>
      <c r="D1137" s="11">
        <v>19.88</v>
      </c>
      <c r="E1137" s="2">
        <f t="shared" si="35"/>
        <v>0.12000000000000099</v>
      </c>
      <c r="F1137" s="11">
        <v>0.12</v>
      </c>
      <c r="G1137" s="3">
        <f t="shared" si="36"/>
        <v>1.2000000000000049E-2</v>
      </c>
    </row>
    <row r="1138" spans="1:7">
      <c r="A1138" s="1">
        <v>20</v>
      </c>
      <c r="B1138" s="1" t="s">
        <v>122</v>
      </c>
      <c r="C1138" s="11">
        <v>0</v>
      </c>
      <c r="D1138" s="11">
        <v>0</v>
      </c>
      <c r="E1138" s="2">
        <f t="shared" si="35"/>
        <v>0</v>
      </c>
      <c r="F1138" s="11">
        <v>0</v>
      </c>
      <c r="G1138" s="3" t="e">
        <f t="shared" si="36"/>
        <v>#DIV/0!</v>
      </c>
    </row>
    <row r="1139" spans="1:7">
      <c r="A1139" s="1">
        <v>21</v>
      </c>
      <c r="B1139" s="1" t="s">
        <v>122</v>
      </c>
      <c r="C1139" s="11">
        <v>0</v>
      </c>
      <c r="D1139" s="11">
        <v>0</v>
      </c>
      <c r="E1139" s="2">
        <f t="shared" si="35"/>
        <v>0</v>
      </c>
      <c r="F1139" s="11">
        <v>0</v>
      </c>
      <c r="G1139" s="3" t="e">
        <f t="shared" si="36"/>
        <v>#DIV/0!</v>
      </c>
    </row>
    <row r="1140" spans="1:7">
      <c r="A1140" s="1">
        <v>22</v>
      </c>
      <c r="B1140" s="1" t="s">
        <v>122</v>
      </c>
      <c r="C1140" s="11">
        <v>20</v>
      </c>
      <c r="D1140" s="11">
        <v>19.8</v>
      </c>
      <c r="E1140" s="2">
        <f t="shared" si="35"/>
        <v>0.19999999999999929</v>
      </c>
      <c r="F1140" s="11">
        <v>0</v>
      </c>
      <c r="G1140" s="3">
        <f t="shared" si="36"/>
        <v>9.9999999999999638E-3</v>
      </c>
    </row>
    <row r="1141" spans="1:7">
      <c r="A1141" s="1">
        <v>23</v>
      </c>
      <c r="B1141" s="1" t="s">
        <v>122</v>
      </c>
      <c r="C1141" s="11">
        <v>0</v>
      </c>
      <c r="D1141" s="11">
        <v>0</v>
      </c>
      <c r="E1141" s="2">
        <f t="shared" si="35"/>
        <v>0</v>
      </c>
      <c r="F1141" s="11">
        <v>0</v>
      </c>
      <c r="G1141" s="3" t="e">
        <f t="shared" si="36"/>
        <v>#DIV/0!</v>
      </c>
    </row>
    <row r="1142" spans="1:7">
      <c r="A1142" s="1">
        <v>24</v>
      </c>
      <c r="B1142" s="1" t="s">
        <v>122</v>
      </c>
      <c r="C1142" s="11">
        <v>0</v>
      </c>
      <c r="D1142" s="11">
        <v>0</v>
      </c>
      <c r="E1142" s="2">
        <f t="shared" si="35"/>
        <v>0</v>
      </c>
      <c r="F1142" s="11">
        <v>0</v>
      </c>
      <c r="G1142" s="3" t="e">
        <f t="shared" si="36"/>
        <v>#DIV/0!</v>
      </c>
    </row>
    <row r="1143" spans="1:7">
      <c r="A1143" s="1">
        <v>25</v>
      </c>
      <c r="B1143" s="1" t="s">
        <v>122</v>
      </c>
      <c r="C1143" s="11">
        <v>0</v>
      </c>
      <c r="D1143" s="11">
        <v>0</v>
      </c>
      <c r="E1143" s="2">
        <f t="shared" si="35"/>
        <v>0</v>
      </c>
      <c r="F1143" s="11">
        <v>0</v>
      </c>
      <c r="G1143" s="3" t="e">
        <f t="shared" si="36"/>
        <v>#DIV/0!</v>
      </c>
    </row>
    <row r="1144" spans="1:7">
      <c r="A1144" s="1">
        <v>26</v>
      </c>
      <c r="B1144" s="1" t="s">
        <v>122</v>
      </c>
      <c r="C1144" s="11">
        <v>30.46</v>
      </c>
      <c r="D1144" s="11">
        <v>30.25</v>
      </c>
      <c r="E1144" s="2">
        <f t="shared" si="35"/>
        <v>0.21000000000000085</v>
      </c>
      <c r="F1144" s="11">
        <v>0.27800000000000002</v>
      </c>
      <c r="G1144" s="3">
        <f t="shared" si="36"/>
        <v>1.6021011162179938E-2</v>
      </c>
    </row>
    <row r="1145" spans="1:7">
      <c r="A1145" s="1">
        <v>27</v>
      </c>
      <c r="B1145" s="1" t="s">
        <v>122</v>
      </c>
      <c r="C1145" s="11">
        <v>0</v>
      </c>
      <c r="D1145" s="11">
        <v>0</v>
      </c>
      <c r="E1145" s="2">
        <f t="shared" si="35"/>
        <v>0</v>
      </c>
      <c r="F1145" s="11">
        <v>0.375</v>
      </c>
      <c r="G1145" s="3" t="e">
        <f t="shared" si="36"/>
        <v>#DIV/0!</v>
      </c>
    </row>
    <row r="1146" spans="1:7">
      <c r="A1146" s="1">
        <v>28</v>
      </c>
      <c r="B1146" s="1" t="s">
        <v>122</v>
      </c>
      <c r="C1146" s="11">
        <v>20</v>
      </c>
      <c r="D1146" s="11">
        <v>19.86</v>
      </c>
      <c r="E1146" s="2">
        <f t="shared" si="35"/>
        <v>0.14000000000000057</v>
      </c>
      <c r="F1146" s="11">
        <v>0.36</v>
      </c>
      <c r="G1146" s="3">
        <f t="shared" si="36"/>
        <v>2.5000000000000029E-2</v>
      </c>
    </row>
    <row r="1147" spans="1:7">
      <c r="A1147" s="1">
        <v>29</v>
      </c>
      <c r="B1147" s="1" t="s">
        <v>122</v>
      </c>
      <c r="C1147" s="11">
        <v>0</v>
      </c>
      <c r="D1147" s="11">
        <v>0</v>
      </c>
      <c r="E1147" s="2">
        <f t="shared" si="35"/>
        <v>0</v>
      </c>
      <c r="F1147" s="11">
        <v>0</v>
      </c>
      <c r="G1147" s="3" t="e">
        <f t="shared" si="36"/>
        <v>#DIV/0!</v>
      </c>
    </row>
    <row r="1148" spans="1:7">
      <c r="A1148" s="1">
        <v>30</v>
      </c>
      <c r="B1148" s="1" t="s">
        <v>122</v>
      </c>
      <c r="C1148" s="11">
        <v>0</v>
      </c>
      <c r="D1148" s="11">
        <v>0</v>
      </c>
      <c r="E1148" s="2">
        <f t="shared" si="35"/>
        <v>0</v>
      </c>
      <c r="F1148" s="11">
        <v>0</v>
      </c>
      <c r="G1148" s="3" t="e">
        <f t="shared" si="36"/>
        <v>#DIV/0!</v>
      </c>
    </row>
    <row r="1149" spans="1:7">
      <c r="A1149" s="1">
        <v>31</v>
      </c>
      <c r="B1149" s="1" t="s">
        <v>122</v>
      </c>
      <c r="C1149" s="11">
        <v>0</v>
      </c>
      <c r="D1149" s="11">
        <v>0</v>
      </c>
      <c r="E1149" s="2">
        <f t="shared" si="35"/>
        <v>0</v>
      </c>
      <c r="F1149" s="11">
        <v>0.13</v>
      </c>
      <c r="G1149" s="3" t="e">
        <f t="shared" si="36"/>
        <v>#DIV/0!</v>
      </c>
    </row>
    <row r="1150" spans="1:7">
      <c r="A1150" s="1">
        <v>1</v>
      </c>
      <c r="B1150" s="1" t="s">
        <v>123</v>
      </c>
      <c r="C1150" s="11">
        <v>20</v>
      </c>
      <c r="D1150" s="11">
        <v>19.96</v>
      </c>
      <c r="E1150" s="2">
        <f t="shared" si="35"/>
        <v>3.9999999999999147E-2</v>
      </c>
      <c r="F1150" s="11">
        <v>0.115</v>
      </c>
      <c r="G1150" s="3">
        <f t="shared" si="36"/>
        <v>7.7499999999999566E-3</v>
      </c>
    </row>
    <row r="1151" spans="1:7">
      <c r="A1151" s="1">
        <v>2</v>
      </c>
      <c r="B1151" s="1" t="s">
        <v>123</v>
      </c>
      <c r="C1151" s="11">
        <v>0</v>
      </c>
      <c r="D1151" s="11">
        <v>0</v>
      </c>
      <c r="E1151" s="2">
        <f t="shared" si="35"/>
        <v>0</v>
      </c>
      <c r="F1151" s="11">
        <v>0.1</v>
      </c>
      <c r="G1151" s="3" t="e">
        <f t="shared" si="36"/>
        <v>#DIV/0!</v>
      </c>
    </row>
    <row r="1152" spans="1:7">
      <c r="A1152" s="1">
        <v>3</v>
      </c>
      <c r="B1152" s="1" t="s">
        <v>123</v>
      </c>
      <c r="C1152" s="11">
        <v>0</v>
      </c>
      <c r="D1152" s="11">
        <v>0</v>
      </c>
      <c r="E1152" s="2">
        <f t="shared" si="35"/>
        <v>0</v>
      </c>
      <c r="F1152" s="11">
        <v>0.105</v>
      </c>
      <c r="G1152" s="3" t="e">
        <f t="shared" si="36"/>
        <v>#DIV/0!</v>
      </c>
    </row>
    <row r="1153" spans="1:7">
      <c r="A1153" s="1">
        <v>4</v>
      </c>
      <c r="B1153" s="1" t="s">
        <v>123</v>
      </c>
      <c r="C1153" s="11">
        <v>20</v>
      </c>
      <c r="D1153" s="11">
        <v>19.7</v>
      </c>
      <c r="E1153" s="2">
        <f t="shared" si="35"/>
        <v>0.30000000000000071</v>
      </c>
      <c r="F1153" s="11">
        <v>0</v>
      </c>
      <c r="G1153" s="3">
        <f t="shared" si="36"/>
        <v>1.5000000000000036E-2</v>
      </c>
    </row>
    <row r="1154" spans="1:7">
      <c r="A1154" s="1">
        <v>5</v>
      </c>
      <c r="B1154" s="1" t="s">
        <v>123</v>
      </c>
      <c r="C1154" s="11">
        <v>0</v>
      </c>
      <c r="D1154" s="11">
        <v>0</v>
      </c>
      <c r="E1154" s="2">
        <f t="shared" si="35"/>
        <v>0</v>
      </c>
      <c r="F1154" s="11">
        <v>-0.26000000000000156</v>
      </c>
      <c r="G1154" s="3" t="e">
        <f t="shared" si="36"/>
        <v>#DIV/0!</v>
      </c>
    </row>
    <row r="1155" spans="1:7">
      <c r="A1155" s="1">
        <v>6</v>
      </c>
      <c r="B1155" s="1" t="s">
        <v>123</v>
      </c>
      <c r="C1155" s="11">
        <v>20</v>
      </c>
      <c r="D1155" s="11">
        <v>19.600000000000001</v>
      </c>
      <c r="E1155" s="2">
        <f t="shared" si="35"/>
        <v>0.39999999999999858</v>
      </c>
      <c r="F1155" s="11">
        <v>0.14499999999999999</v>
      </c>
      <c r="G1155" s="3">
        <f t="shared" si="36"/>
        <v>2.7249999999999931E-2</v>
      </c>
    </row>
    <row r="1156" spans="1:7">
      <c r="A1156" s="1">
        <v>7</v>
      </c>
      <c r="B1156" s="1" t="s">
        <v>123</v>
      </c>
      <c r="C1156" s="11">
        <v>0</v>
      </c>
      <c r="D1156" s="11">
        <v>0</v>
      </c>
      <c r="E1156" s="2">
        <f t="shared" ref="E1156:E1405" si="37">C1156-D1156</f>
        <v>0</v>
      </c>
      <c r="F1156" s="11">
        <v>0.155</v>
      </c>
      <c r="G1156" s="3" t="e">
        <f t="shared" si="36"/>
        <v>#DIV/0!</v>
      </c>
    </row>
    <row r="1157" spans="1:7">
      <c r="A1157" s="1">
        <v>10</v>
      </c>
      <c r="B1157" s="1" t="s">
        <v>123</v>
      </c>
      <c r="C1157" s="11">
        <v>20</v>
      </c>
      <c r="D1157" s="11">
        <v>19.64</v>
      </c>
      <c r="E1157" s="2">
        <f t="shared" si="37"/>
        <v>0.35999999999999943</v>
      </c>
      <c r="F1157" s="11">
        <v>0.11500000000000199</v>
      </c>
      <c r="G1157" s="3">
        <f t="shared" si="36"/>
        <v>2.375000000000007E-2</v>
      </c>
    </row>
    <row r="1158" spans="1:7">
      <c r="A1158" s="1">
        <v>8</v>
      </c>
      <c r="B1158" s="1" t="s">
        <v>123</v>
      </c>
      <c r="C1158" s="11">
        <v>20</v>
      </c>
      <c r="D1158" s="11">
        <v>19.61</v>
      </c>
      <c r="E1158" s="2">
        <f t="shared" si="37"/>
        <v>0.39000000000000057</v>
      </c>
      <c r="F1158" s="11">
        <v>0.13500000000000001</v>
      </c>
      <c r="G1158" s="3">
        <f t="shared" si="36"/>
        <v>2.625000000000003E-2</v>
      </c>
    </row>
    <row r="1159" spans="1:7">
      <c r="A1159" s="1">
        <v>9</v>
      </c>
      <c r="B1159" s="1" t="s">
        <v>123</v>
      </c>
      <c r="C1159" s="11">
        <v>0</v>
      </c>
      <c r="D1159" s="11">
        <v>0</v>
      </c>
      <c r="E1159" s="2">
        <f t="shared" si="37"/>
        <v>0</v>
      </c>
      <c r="F1159" s="11">
        <v>0.16499999999999915</v>
      </c>
      <c r="G1159" s="3" t="e">
        <f t="shared" si="36"/>
        <v>#DIV/0!</v>
      </c>
    </row>
    <row r="1160" spans="1:7">
      <c r="A1160" s="1">
        <v>11</v>
      </c>
      <c r="B1160" s="1" t="s">
        <v>123</v>
      </c>
      <c r="C1160" s="11">
        <v>0</v>
      </c>
      <c r="D1160" s="11">
        <v>0</v>
      </c>
      <c r="E1160" s="2">
        <f t="shared" si="37"/>
        <v>0</v>
      </c>
      <c r="F1160" s="11">
        <v>0.13500000000000001</v>
      </c>
      <c r="G1160" s="3" t="e">
        <f t="shared" si="36"/>
        <v>#DIV/0!</v>
      </c>
    </row>
    <row r="1161" spans="1:7">
      <c r="A1161" s="1">
        <v>12</v>
      </c>
      <c r="B1161" s="1" t="s">
        <v>123</v>
      </c>
      <c r="C1161" s="11">
        <v>20</v>
      </c>
      <c r="D1161" s="11">
        <v>19.670000000000002</v>
      </c>
      <c r="E1161" s="2">
        <f t="shared" si="37"/>
        <v>0.32999999999999829</v>
      </c>
      <c r="F1161" s="11">
        <v>0.16</v>
      </c>
      <c r="G1161" s="3">
        <f t="shared" si="36"/>
        <v>2.4499999999999918E-2</v>
      </c>
    </row>
    <row r="1162" spans="1:7">
      <c r="A1162" s="1">
        <v>13</v>
      </c>
      <c r="B1162" s="1" t="s">
        <v>123</v>
      </c>
      <c r="C1162" s="11">
        <v>0</v>
      </c>
      <c r="D1162" s="11">
        <v>0</v>
      </c>
      <c r="E1162" s="2">
        <f t="shared" si="37"/>
        <v>0</v>
      </c>
      <c r="F1162" s="11">
        <v>0.185</v>
      </c>
      <c r="G1162" s="3" t="e">
        <f t="shared" si="36"/>
        <v>#DIV/0!</v>
      </c>
    </row>
    <row r="1163" spans="1:7">
      <c r="A1163" s="1">
        <v>14</v>
      </c>
      <c r="B1163" s="1" t="s">
        <v>123</v>
      </c>
      <c r="C1163" s="11">
        <v>0</v>
      </c>
      <c r="D1163" s="11">
        <v>0</v>
      </c>
      <c r="E1163" s="2">
        <f t="shared" si="37"/>
        <v>0</v>
      </c>
      <c r="F1163" s="11">
        <v>0.155</v>
      </c>
      <c r="G1163" s="3" t="e">
        <f t="shared" si="36"/>
        <v>#DIV/0!</v>
      </c>
    </row>
    <row r="1164" spans="1:7">
      <c r="A1164" s="1">
        <v>15</v>
      </c>
      <c r="B1164" s="1" t="s">
        <v>123</v>
      </c>
      <c r="C1164" s="11">
        <v>0</v>
      </c>
      <c r="D1164" s="11">
        <v>0</v>
      </c>
      <c r="E1164" s="2">
        <f t="shared" si="37"/>
        <v>0</v>
      </c>
      <c r="F1164" s="11">
        <v>0.13500000000000001</v>
      </c>
      <c r="G1164" s="3" t="e">
        <f t="shared" si="36"/>
        <v>#DIV/0!</v>
      </c>
    </row>
    <row r="1165" spans="1:7">
      <c r="A1165" s="1">
        <v>16</v>
      </c>
      <c r="B1165" s="1" t="s">
        <v>123</v>
      </c>
      <c r="C1165" s="11">
        <v>20</v>
      </c>
      <c r="D1165" s="11">
        <v>19.7</v>
      </c>
      <c r="E1165" s="2">
        <f t="shared" si="37"/>
        <v>0.30000000000000071</v>
      </c>
      <c r="F1165" s="11">
        <v>0.15</v>
      </c>
      <c r="G1165" s="3">
        <f t="shared" si="36"/>
        <v>2.2500000000000037E-2</v>
      </c>
    </row>
    <row r="1166" spans="1:7">
      <c r="A1166" s="1">
        <v>17</v>
      </c>
      <c r="B1166" s="1" t="s">
        <v>123</v>
      </c>
      <c r="C1166" s="11">
        <v>0</v>
      </c>
      <c r="D1166" s="11">
        <v>0</v>
      </c>
      <c r="E1166" s="2">
        <f t="shared" si="37"/>
        <v>0</v>
      </c>
      <c r="F1166" s="11">
        <v>0.185</v>
      </c>
      <c r="G1166" s="3" t="e">
        <f t="shared" si="36"/>
        <v>#DIV/0!</v>
      </c>
    </row>
    <row r="1167" spans="1:7">
      <c r="A1167" s="1">
        <v>18</v>
      </c>
      <c r="B1167" s="1" t="s">
        <v>123</v>
      </c>
      <c r="C1167" s="11">
        <v>20</v>
      </c>
      <c r="D1167" s="11">
        <v>19.64</v>
      </c>
      <c r="E1167" s="2">
        <f t="shared" si="37"/>
        <v>0.35999999999999943</v>
      </c>
      <c r="F1167" s="11">
        <v>0.12</v>
      </c>
      <c r="G1167" s="3">
        <f t="shared" si="36"/>
        <v>2.3999999999999973E-2</v>
      </c>
    </row>
    <row r="1168" spans="1:7">
      <c r="A1168" s="1">
        <v>19</v>
      </c>
      <c r="B1168" s="1" t="s">
        <v>123</v>
      </c>
      <c r="C1168" s="11">
        <v>0</v>
      </c>
      <c r="D1168" s="11">
        <v>0</v>
      </c>
      <c r="E1168" s="2">
        <f t="shared" si="37"/>
        <v>0</v>
      </c>
      <c r="F1168" s="11">
        <v>0.155</v>
      </c>
      <c r="G1168" s="3" t="e">
        <f t="shared" si="36"/>
        <v>#DIV/0!</v>
      </c>
    </row>
    <row r="1169" spans="1:7">
      <c r="A1169" s="1">
        <v>20</v>
      </c>
      <c r="B1169" s="1" t="s">
        <v>123</v>
      </c>
      <c r="C1169" s="11">
        <v>20</v>
      </c>
      <c r="D1169" s="11">
        <v>19.86</v>
      </c>
      <c r="E1169" s="2">
        <f t="shared" si="37"/>
        <v>0.14000000000000057</v>
      </c>
      <c r="F1169" s="11">
        <v>0.18</v>
      </c>
      <c r="G1169" s="3">
        <f t="shared" si="36"/>
        <v>1.6000000000000028E-2</v>
      </c>
    </row>
    <row r="1170" spans="1:7">
      <c r="A1170" s="1">
        <v>21</v>
      </c>
      <c r="B1170" s="1" t="s">
        <v>123</v>
      </c>
      <c r="C1170" s="11">
        <v>0</v>
      </c>
      <c r="D1170" s="11">
        <v>0</v>
      </c>
      <c r="E1170" s="2">
        <f t="shared" si="37"/>
        <v>0</v>
      </c>
      <c r="F1170" s="11">
        <v>0.155</v>
      </c>
      <c r="G1170" s="3" t="e">
        <f t="shared" si="36"/>
        <v>#DIV/0!</v>
      </c>
    </row>
    <row r="1171" spans="1:7">
      <c r="A1171" s="1">
        <v>22</v>
      </c>
      <c r="B1171" s="1" t="s">
        <v>123</v>
      </c>
      <c r="C1171" s="11">
        <v>20</v>
      </c>
      <c r="D1171" s="11">
        <v>19.62</v>
      </c>
      <c r="E1171" s="2">
        <f t="shared" si="37"/>
        <v>0.37999999999999901</v>
      </c>
      <c r="F1171" s="11">
        <v>0.1</v>
      </c>
      <c r="G1171" s="3">
        <f t="shared" si="36"/>
        <v>2.3999999999999948E-2</v>
      </c>
    </row>
    <row r="1172" spans="1:7">
      <c r="A1172" s="1">
        <v>23</v>
      </c>
      <c r="B1172" s="1" t="s">
        <v>123</v>
      </c>
      <c r="C1172" s="11">
        <v>20</v>
      </c>
      <c r="D1172" s="11">
        <v>19.68</v>
      </c>
      <c r="E1172" s="2">
        <f t="shared" si="37"/>
        <v>0.32000000000000028</v>
      </c>
      <c r="F1172" s="11">
        <v>0.15</v>
      </c>
      <c r="G1172" s="3">
        <f t="shared" si="36"/>
        <v>2.3500000000000014E-2</v>
      </c>
    </row>
    <row r="1173" spans="1:7">
      <c r="A1173" s="1">
        <v>24</v>
      </c>
      <c r="B1173" s="1" t="s">
        <v>123</v>
      </c>
      <c r="C1173" s="11">
        <v>24.02</v>
      </c>
      <c r="D1173" s="11">
        <v>23.67</v>
      </c>
      <c r="E1173" s="2">
        <f t="shared" si="37"/>
        <v>0.34999999999999787</v>
      </c>
      <c r="F1173" s="11">
        <v>0.15</v>
      </c>
      <c r="G1173" s="3">
        <f t="shared" si="36"/>
        <v>2.081598667776844E-2</v>
      </c>
    </row>
    <row r="1174" spans="1:7">
      <c r="A1174" s="1">
        <v>25</v>
      </c>
      <c r="B1174" s="1" t="s">
        <v>123</v>
      </c>
      <c r="C1174" s="11">
        <v>0</v>
      </c>
      <c r="D1174" s="11">
        <v>0</v>
      </c>
      <c r="E1174" s="2">
        <f t="shared" si="37"/>
        <v>0</v>
      </c>
      <c r="F1174" s="11">
        <v>0.13500000000000001</v>
      </c>
      <c r="G1174" s="3" t="e">
        <f t="shared" si="36"/>
        <v>#DIV/0!</v>
      </c>
    </row>
    <row r="1175" spans="1:7">
      <c r="A1175" s="1">
        <v>26</v>
      </c>
      <c r="B1175" s="1" t="s">
        <v>123</v>
      </c>
      <c r="C1175" s="11">
        <v>0</v>
      </c>
      <c r="D1175" s="11">
        <v>0</v>
      </c>
      <c r="E1175" s="2">
        <f t="shared" si="37"/>
        <v>0</v>
      </c>
      <c r="F1175" s="11">
        <v>0.16500000000000001</v>
      </c>
      <c r="G1175" s="3" t="e">
        <f t="shared" si="36"/>
        <v>#DIV/0!</v>
      </c>
    </row>
    <row r="1176" spans="1:7">
      <c r="A1176" s="1">
        <v>27</v>
      </c>
      <c r="B1176" s="1" t="s">
        <v>123</v>
      </c>
      <c r="C1176" s="11">
        <v>0</v>
      </c>
      <c r="D1176" s="11">
        <v>0</v>
      </c>
      <c r="E1176" s="2">
        <f t="shared" si="37"/>
        <v>0</v>
      </c>
      <c r="F1176" s="11">
        <v>0.16</v>
      </c>
      <c r="G1176" s="3" t="e">
        <f t="shared" si="36"/>
        <v>#DIV/0!</v>
      </c>
    </row>
    <row r="1177" spans="1:7">
      <c r="A1177" s="1">
        <v>28</v>
      </c>
      <c r="B1177" s="1" t="s">
        <v>123</v>
      </c>
      <c r="C1177" s="11">
        <v>40</v>
      </c>
      <c r="D1177" s="11">
        <v>39.54</v>
      </c>
      <c r="E1177" s="2">
        <f t="shared" si="37"/>
        <v>0.46000000000000085</v>
      </c>
      <c r="F1177" s="11">
        <v>0.13500000000000001</v>
      </c>
      <c r="G1177" s="3">
        <f t="shared" si="36"/>
        <v>1.4875000000000022E-2</v>
      </c>
    </row>
    <row r="1178" spans="1:7">
      <c r="A1178" s="1">
        <v>29</v>
      </c>
      <c r="B1178" s="1" t="s">
        <v>123</v>
      </c>
      <c r="C1178" s="11">
        <v>0</v>
      </c>
      <c r="D1178" s="11">
        <v>0</v>
      </c>
      <c r="E1178" s="2">
        <f t="shared" si="37"/>
        <v>0</v>
      </c>
      <c r="F1178" s="11">
        <v>0.155</v>
      </c>
      <c r="G1178" s="3" t="e">
        <f t="shared" si="36"/>
        <v>#DIV/0!</v>
      </c>
    </row>
    <row r="1179" spans="1:7">
      <c r="A1179" s="1">
        <v>30</v>
      </c>
      <c r="B1179" s="1" t="s">
        <v>123</v>
      </c>
      <c r="C1179" s="11">
        <v>20</v>
      </c>
      <c r="D1179" s="11">
        <v>19.68</v>
      </c>
      <c r="E1179" s="2">
        <f t="shared" si="37"/>
        <v>0.32000000000000028</v>
      </c>
      <c r="F1179" s="11">
        <v>0.12</v>
      </c>
      <c r="G1179" s="3">
        <f t="shared" si="36"/>
        <v>2.2000000000000013E-2</v>
      </c>
    </row>
    <row r="1180" spans="1:7">
      <c r="A1180" s="1">
        <v>31</v>
      </c>
      <c r="B1180" s="1" t="s">
        <v>123</v>
      </c>
      <c r="C1180" s="11">
        <v>20</v>
      </c>
      <c r="D1180" s="11">
        <v>19.73</v>
      </c>
      <c r="E1180" s="2">
        <f t="shared" si="37"/>
        <v>0.26999999999999957</v>
      </c>
      <c r="F1180" s="11">
        <v>0.14499999999999999</v>
      </c>
      <c r="G1180" s="3">
        <f t="shared" si="36"/>
        <v>2.074999999999998E-2</v>
      </c>
    </row>
    <row r="1181" spans="1:7">
      <c r="A1181" s="1">
        <v>1</v>
      </c>
      <c r="B1181" s="1" t="s">
        <v>124</v>
      </c>
      <c r="C1181" s="11">
        <v>20</v>
      </c>
      <c r="D1181" s="11">
        <v>19.809999999999999</v>
      </c>
      <c r="E1181" s="2">
        <f t="shared" si="37"/>
        <v>0.19000000000000128</v>
      </c>
      <c r="F1181" s="11">
        <v>0.185</v>
      </c>
      <c r="G1181" s="3">
        <f t="shared" si="36"/>
        <v>1.8750000000000065E-2</v>
      </c>
    </row>
    <row r="1182" spans="1:7">
      <c r="A1182" s="1">
        <v>2</v>
      </c>
      <c r="B1182" s="1" t="s">
        <v>124</v>
      </c>
      <c r="C1182" s="11">
        <v>0</v>
      </c>
      <c r="D1182" s="11">
        <v>0</v>
      </c>
      <c r="E1182" s="2">
        <f t="shared" si="37"/>
        <v>0</v>
      </c>
      <c r="F1182" s="11">
        <v>0.1390000000000029</v>
      </c>
      <c r="G1182" s="3" t="e">
        <f t="shared" si="36"/>
        <v>#DIV/0!</v>
      </c>
    </row>
    <row r="1183" spans="1:7">
      <c r="A1183" s="1">
        <v>3</v>
      </c>
      <c r="B1183" s="1" t="s">
        <v>124</v>
      </c>
      <c r="C1183" s="11">
        <v>20</v>
      </c>
      <c r="D1183" s="11">
        <v>19.93</v>
      </c>
      <c r="E1183" s="2">
        <f t="shared" si="37"/>
        <v>7.0000000000000284E-2</v>
      </c>
      <c r="F1183" s="11">
        <v>0.32800000000000001</v>
      </c>
      <c r="G1183" s="3">
        <f t="shared" si="36"/>
        <v>1.9900000000000015E-2</v>
      </c>
    </row>
    <row r="1184" spans="1:7">
      <c r="A1184" s="1">
        <v>4</v>
      </c>
      <c r="B1184" s="1" t="s">
        <v>124</v>
      </c>
      <c r="C1184" s="11">
        <v>20</v>
      </c>
      <c r="D1184" s="11">
        <v>19.5</v>
      </c>
      <c r="E1184" s="2">
        <f t="shared" si="37"/>
        <v>0.5</v>
      </c>
      <c r="F1184" s="11">
        <v>0.35199999999999998</v>
      </c>
      <c r="G1184" s="3">
        <f t="shared" si="36"/>
        <v>4.2599999999999999E-2</v>
      </c>
    </row>
    <row r="1185" spans="1:7">
      <c r="A1185" s="1">
        <v>5</v>
      </c>
      <c r="B1185" s="1" t="s">
        <v>124</v>
      </c>
      <c r="C1185" s="11">
        <v>40</v>
      </c>
      <c r="D1185" s="11">
        <v>39.479999999999997</v>
      </c>
      <c r="E1185" s="2">
        <f t="shared" si="37"/>
        <v>0.52000000000000313</v>
      </c>
      <c r="F1185" s="11">
        <v>0.46500000000000002</v>
      </c>
      <c r="G1185" s="3">
        <f t="shared" ref="G1185:G1279" si="38">(E1185+F1185)/C1185</f>
        <v>2.4625000000000081E-2</v>
      </c>
    </row>
    <row r="1186" spans="1:7">
      <c r="A1186" s="1">
        <v>6</v>
      </c>
      <c r="B1186" s="1" t="s">
        <v>124</v>
      </c>
      <c r="C1186" s="11">
        <v>0</v>
      </c>
      <c r="D1186" s="11">
        <v>0</v>
      </c>
      <c r="E1186" s="2">
        <f t="shared" si="37"/>
        <v>0</v>
      </c>
      <c r="F1186" s="11">
        <v>0.19700000000000001</v>
      </c>
      <c r="G1186" s="3" t="e">
        <f t="shared" si="38"/>
        <v>#DIV/0!</v>
      </c>
    </row>
    <row r="1187" spans="1:7">
      <c r="A1187" s="1">
        <v>7</v>
      </c>
      <c r="B1187" s="1" t="s">
        <v>124</v>
      </c>
      <c r="C1187" s="11">
        <v>20</v>
      </c>
      <c r="D1187" s="11">
        <v>19.5</v>
      </c>
      <c r="E1187" s="2">
        <f t="shared" si="37"/>
        <v>0.5</v>
      </c>
      <c r="F1187" s="11">
        <v>0.39199999999999591</v>
      </c>
      <c r="G1187" s="3">
        <f t="shared" si="38"/>
        <v>4.4599999999999793E-2</v>
      </c>
    </row>
    <row r="1188" spans="1:7">
      <c r="A1188" s="1">
        <v>10</v>
      </c>
      <c r="B1188" s="1" t="s">
        <v>124</v>
      </c>
      <c r="C1188" s="11">
        <v>20</v>
      </c>
      <c r="D1188" s="11">
        <v>19.57</v>
      </c>
      <c r="E1188" s="2">
        <f t="shared" si="37"/>
        <v>0.42999999999999972</v>
      </c>
      <c r="F1188" s="11">
        <v>0.20399999999999999</v>
      </c>
      <c r="G1188" s="3">
        <f t="shared" si="38"/>
        <v>3.1699999999999985E-2</v>
      </c>
    </row>
    <row r="1189" spans="1:7">
      <c r="A1189" s="1">
        <v>8</v>
      </c>
      <c r="B1189" s="1" t="s">
        <v>124</v>
      </c>
      <c r="C1189" s="11">
        <v>0</v>
      </c>
      <c r="D1189" s="11">
        <v>0</v>
      </c>
      <c r="E1189" s="2">
        <f t="shared" si="37"/>
        <v>0</v>
      </c>
      <c r="F1189" s="11">
        <v>0</v>
      </c>
      <c r="G1189" s="3" t="e">
        <f t="shared" si="38"/>
        <v>#DIV/0!</v>
      </c>
    </row>
    <row r="1190" spans="1:7">
      <c r="A1190" s="1">
        <v>9</v>
      </c>
      <c r="B1190" s="1" t="s">
        <v>124</v>
      </c>
      <c r="C1190" s="11">
        <v>20</v>
      </c>
      <c r="D1190" s="11">
        <v>19.739999999999998</v>
      </c>
      <c r="E1190" s="2">
        <f t="shared" si="37"/>
        <v>0.26000000000000156</v>
      </c>
      <c r="F1190" s="11">
        <v>0.104</v>
      </c>
      <c r="G1190" s="3">
        <f t="shared" si="38"/>
        <v>1.8200000000000077E-2</v>
      </c>
    </row>
    <row r="1191" spans="1:7">
      <c r="A1191" s="1">
        <v>11</v>
      </c>
      <c r="B1191" s="1" t="s">
        <v>124</v>
      </c>
      <c r="C1191" s="11">
        <v>20</v>
      </c>
      <c r="D1191" s="11">
        <v>19.34</v>
      </c>
      <c r="E1191" s="2">
        <f t="shared" si="37"/>
        <v>0.66000000000000014</v>
      </c>
      <c r="F1191" s="11">
        <v>9.5000000000002416E-2</v>
      </c>
      <c r="G1191" s="3">
        <f t="shared" si="38"/>
        <v>3.7750000000000131E-2</v>
      </c>
    </row>
    <row r="1192" spans="1:7">
      <c r="A1192" s="1">
        <v>12</v>
      </c>
      <c r="B1192" s="1" t="s">
        <v>124</v>
      </c>
      <c r="C1192" s="11">
        <v>40</v>
      </c>
      <c r="D1192" s="11">
        <v>39.659999999999997</v>
      </c>
      <c r="E1192" s="2">
        <f t="shared" si="37"/>
        <v>0.34000000000000341</v>
      </c>
      <c r="F1192" s="11">
        <v>0.375</v>
      </c>
      <c r="G1192" s="3">
        <f t="shared" si="38"/>
        <v>1.7875000000000085E-2</v>
      </c>
    </row>
    <row r="1193" spans="1:7">
      <c r="A1193" s="1">
        <v>13</v>
      </c>
      <c r="B1193" s="1" t="s">
        <v>124</v>
      </c>
      <c r="C1193" s="11">
        <v>20</v>
      </c>
      <c r="D1193" s="11">
        <v>19.760000000000002</v>
      </c>
      <c r="E1193" s="2">
        <f t="shared" si="37"/>
        <v>0.23999999999999844</v>
      </c>
      <c r="F1193" s="11">
        <v>0.19500000000000001</v>
      </c>
      <c r="G1193" s="3">
        <f t="shared" si="38"/>
        <v>2.1749999999999922E-2</v>
      </c>
    </row>
    <row r="1194" spans="1:7">
      <c r="A1194" s="1">
        <v>14</v>
      </c>
      <c r="B1194" s="1" t="s">
        <v>124</v>
      </c>
      <c r="C1194" s="11">
        <v>0</v>
      </c>
      <c r="D1194" s="11">
        <v>0</v>
      </c>
      <c r="E1194" s="2">
        <f t="shared" si="37"/>
        <v>0</v>
      </c>
      <c r="F1194" s="11">
        <v>0.19400000000000001</v>
      </c>
      <c r="G1194" s="3" t="e">
        <f t="shared" si="38"/>
        <v>#DIV/0!</v>
      </c>
    </row>
    <row r="1195" spans="1:7">
      <c r="A1195" s="1">
        <v>15</v>
      </c>
      <c r="B1195" s="1" t="s">
        <v>124</v>
      </c>
      <c r="C1195" s="11">
        <v>0</v>
      </c>
      <c r="D1195" s="11">
        <v>0</v>
      </c>
      <c r="E1195" s="2">
        <f t="shared" si="37"/>
        <v>0</v>
      </c>
      <c r="F1195" s="11">
        <v>0.51200000000000001</v>
      </c>
      <c r="G1195" s="3" t="e">
        <f t="shared" si="38"/>
        <v>#DIV/0!</v>
      </c>
    </row>
    <row r="1196" spans="1:7">
      <c r="A1196" s="1">
        <v>16</v>
      </c>
      <c r="B1196" s="1" t="s">
        <v>124</v>
      </c>
      <c r="C1196" s="11">
        <v>20</v>
      </c>
      <c r="D1196" s="11">
        <v>19.809999999999999</v>
      </c>
      <c r="E1196" s="2">
        <f t="shared" si="37"/>
        <v>0.19000000000000128</v>
      </c>
      <c r="F1196" s="11">
        <v>0.185</v>
      </c>
      <c r="G1196" s="3">
        <f t="shared" si="38"/>
        <v>1.8750000000000065E-2</v>
      </c>
    </row>
    <row r="1197" spans="1:7">
      <c r="A1197" s="1">
        <v>17</v>
      </c>
      <c r="B1197" s="1" t="s">
        <v>124</v>
      </c>
      <c r="C1197" s="11">
        <v>0</v>
      </c>
      <c r="D1197" s="11">
        <v>0</v>
      </c>
      <c r="E1197" s="2">
        <f t="shared" si="37"/>
        <v>0</v>
      </c>
      <c r="F1197" s="11">
        <v>0.20599999999999999</v>
      </c>
      <c r="G1197" s="3" t="e">
        <f t="shared" si="38"/>
        <v>#DIV/0!</v>
      </c>
    </row>
    <row r="1198" spans="1:7">
      <c r="A1198" s="1">
        <v>18</v>
      </c>
      <c r="B1198" s="1" t="s">
        <v>124</v>
      </c>
      <c r="C1198" s="11">
        <v>0</v>
      </c>
      <c r="D1198" s="11">
        <v>0</v>
      </c>
      <c r="E1198" s="2">
        <f t="shared" si="37"/>
        <v>0</v>
      </c>
      <c r="F1198" s="11">
        <v>0.13000000000000078</v>
      </c>
      <c r="G1198" s="3" t="e">
        <f t="shared" si="38"/>
        <v>#DIV/0!</v>
      </c>
    </row>
    <row r="1199" spans="1:7">
      <c r="A1199" s="1">
        <v>19</v>
      </c>
      <c r="B1199" s="1" t="s">
        <v>124</v>
      </c>
      <c r="C1199" s="11">
        <v>0</v>
      </c>
      <c r="D1199" s="11">
        <v>0</v>
      </c>
      <c r="E1199" s="2">
        <f t="shared" si="37"/>
        <v>0</v>
      </c>
      <c r="F1199" s="11">
        <v>0.123</v>
      </c>
      <c r="G1199" s="3" t="e">
        <f t="shared" si="38"/>
        <v>#DIV/0!</v>
      </c>
    </row>
    <row r="1200" spans="1:7">
      <c r="A1200" s="1">
        <v>20</v>
      </c>
      <c r="B1200" s="1" t="s">
        <v>124</v>
      </c>
      <c r="C1200" s="11">
        <v>6.64</v>
      </c>
      <c r="D1200" s="11">
        <v>6.59</v>
      </c>
      <c r="E1200" s="2">
        <f t="shared" si="37"/>
        <v>4.9999999999999822E-2</v>
      </c>
      <c r="F1200" s="11">
        <v>8.2000000000000003E-2</v>
      </c>
      <c r="G1200" s="3">
        <f t="shared" si="38"/>
        <v>1.9879518072289132E-2</v>
      </c>
    </row>
    <row r="1201" spans="1:7">
      <c r="A1201" s="1">
        <v>21</v>
      </c>
      <c r="B1201" s="1" t="s">
        <v>124</v>
      </c>
      <c r="C1201" s="11">
        <v>12.9</v>
      </c>
      <c r="D1201" s="11">
        <v>12.81</v>
      </c>
      <c r="E1201" s="2">
        <f t="shared" si="37"/>
        <v>8.9999999999999858E-2</v>
      </c>
      <c r="F1201" s="11">
        <v>0.16600000000000001</v>
      </c>
      <c r="G1201" s="3">
        <f t="shared" si="38"/>
        <v>1.9844961240310068E-2</v>
      </c>
    </row>
    <row r="1202" spans="1:7">
      <c r="A1202" s="1">
        <v>22</v>
      </c>
      <c r="B1202" s="1" t="s">
        <v>124</v>
      </c>
      <c r="C1202" s="11">
        <v>30.16</v>
      </c>
      <c r="D1202" s="11">
        <v>29.98</v>
      </c>
      <c r="E1202" s="2">
        <f t="shared" si="37"/>
        <v>0.17999999999999972</v>
      </c>
      <c r="F1202" s="11">
        <v>0.193</v>
      </c>
      <c r="G1202" s="3">
        <f t="shared" si="38"/>
        <v>1.2367374005305031E-2</v>
      </c>
    </row>
    <row r="1203" spans="1:7">
      <c r="A1203" s="1">
        <v>23</v>
      </c>
      <c r="B1203" s="1" t="s">
        <v>124</v>
      </c>
      <c r="C1203" s="11">
        <v>3.58</v>
      </c>
      <c r="D1203" s="11">
        <v>3.56</v>
      </c>
      <c r="E1203" s="2">
        <f t="shared" si="37"/>
        <v>2.0000000000000018E-2</v>
      </c>
      <c r="F1203" s="11">
        <v>4.1000000000000002E-2</v>
      </c>
      <c r="G1203" s="3">
        <f t="shared" si="38"/>
        <v>1.7039106145251403E-2</v>
      </c>
    </row>
    <row r="1204" spans="1:7">
      <c r="A1204" s="1">
        <v>24</v>
      </c>
      <c r="B1204" s="1" t="s">
        <v>124</v>
      </c>
      <c r="C1204" s="11">
        <v>9.2799999999999994</v>
      </c>
      <c r="D1204" s="11">
        <v>9.23</v>
      </c>
      <c r="E1204" s="2">
        <f t="shared" si="37"/>
        <v>4.9999999999998934E-2</v>
      </c>
      <c r="F1204" s="11">
        <v>0.115</v>
      </c>
      <c r="G1204" s="3">
        <f t="shared" si="38"/>
        <v>1.778017241379299E-2</v>
      </c>
    </row>
    <row r="1205" spans="1:7">
      <c r="A1205" s="1">
        <v>25</v>
      </c>
      <c r="B1205" s="1" t="s">
        <v>124</v>
      </c>
      <c r="C1205" s="11">
        <v>8.44</v>
      </c>
      <c r="D1205" s="11">
        <v>8.4</v>
      </c>
      <c r="E1205" s="2">
        <f t="shared" si="37"/>
        <v>3.9999999999999147E-2</v>
      </c>
      <c r="F1205" s="11">
        <v>0.34100000000000003</v>
      </c>
      <c r="G1205" s="3">
        <f t="shared" si="38"/>
        <v>4.5142180094786634E-2</v>
      </c>
    </row>
    <row r="1206" spans="1:7">
      <c r="A1206" s="1">
        <v>26</v>
      </c>
      <c r="B1206" s="1" t="s">
        <v>124</v>
      </c>
      <c r="C1206" s="11">
        <v>11.09</v>
      </c>
      <c r="D1206" s="11">
        <v>11.01</v>
      </c>
      <c r="E1206" s="2">
        <f t="shared" si="37"/>
        <v>8.0000000000000071E-2</v>
      </c>
      <c r="F1206" s="11">
        <v>5.1999999999999998E-2</v>
      </c>
      <c r="G1206" s="3">
        <f t="shared" si="38"/>
        <v>1.1902614968440042E-2</v>
      </c>
    </row>
    <row r="1207" spans="1:7">
      <c r="A1207" s="1">
        <v>27</v>
      </c>
      <c r="B1207" s="1" t="s">
        <v>124</v>
      </c>
      <c r="C1207" s="11">
        <v>0</v>
      </c>
      <c r="D1207" s="11">
        <v>0</v>
      </c>
      <c r="E1207" s="2">
        <f t="shared" si="37"/>
        <v>0</v>
      </c>
      <c r="F1207" s="11">
        <v>5.1999999999999998E-2</v>
      </c>
      <c r="G1207" s="3" t="e">
        <f t="shared" si="38"/>
        <v>#DIV/0!</v>
      </c>
    </row>
    <row r="1208" spans="1:7">
      <c r="A1208" s="1">
        <v>28</v>
      </c>
      <c r="B1208" s="1" t="s">
        <v>124</v>
      </c>
      <c r="C1208" s="11">
        <v>30.63</v>
      </c>
      <c r="D1208" s="11">
        <v>30.45</v>
      </c>
      <c r="E1208" s="2">
        <f t="shared" si="37"/>
        <v>0.17999999999999972</v>
      </c>
      <c r="F1208" s="11">
        <v>0.38200000000000001</v>
      </c>
      <c r="G1208" s="3">
        <f t="shared" si="38"/>
        <v>1.8348024812275539E-2</v>
      </c>
    </row>
    <row r="1209" spans="1:7">
      <c r="A1209" s="1">
        <v>29</v>
      </c>
      <c r="B1209" s="1" t="s">
        <v>124</v>
      </c>
      <c r="C1209" s="11">
        <v>9.52</v>
      </c>
      <c r="D1209" s="11">
        <v>9.4499999999999993</v>
      </c>
      <c r="E1209" s="2">
        <f t="shared" si="37"/>
        <v>7.0000000000000284E-2</v>
      </c>
      <c r="F1209" s="11">
        <v>5.8000000000000003E-2</v>
      </c>
      <c r="G1209" s="3">
        <f t="shared" si="38"/>
        <v>1.3445378151260534E-2</v>
      </c>
    </row>
    <row r="1210" spans="1:7">
      <c r="A1210" s="1">
        <v>30</v>
      </c>
      <c r="B1210" s="1" t="s">
        <v>124</v>
      </c>
      <c r="C1210" s="11">
        <v>0</v>
      </c>
      <c r="D1210" s="11">
        <v>0</v>
      </c>
      <c r="E1210" s="2">
        <f t="shared" si="37"/>
        <v>0</v>
      </c>
      <c r="F1210" s="11">
        <v>0.06</v>
      </c>
      <c r="G1210" s="3" t="e">
        <f t="shared" si="38"/>
        <v>#DIV/0!</v>
      </c>
    </row>
    <row r="1211" spans="1:7">
      <c r="A1211" s="1">
        <v>31</v>
      </c>
      <c r="B1211" s="1" t="s">
        <v>124</v>
      </c>
      <c r="C1211" s="11">
        <v>20.16</v>
      </c>
      <c r="D1211" s="11">
        <v>20.04</v>
      </c>
      <c r="E1211" s="2">
        <f t="shared" si="37"/>
        <v>0.12000000000000099</v>
      </c>
      <c r="F1211" s="11">
        <v>0.159</v>
      </c>
      <c r="G1211" s="3">
        <f t="shared" si="38"/>
        <v>1.3839285714285766E-2</v>
      </c>
    </row>
    <row r="1212" spans="1:7">
      <c r="A1212" s="1">
        <v>1</v>
      </c>
      <c r="B1212" s="1" t="s">
        <v>125</v>
      </c>
      <c r="C1212" s="11">
        <v>0</v>
      </c>
      <c r="D1212" s="11">
        <v>0</v>
      </c>
      <c r="E1212" s="2">
        <f t="shared" ref="E1212:E1304" si="39">C1212-D1212</f>
        <v>0</v>
      </c>
      <c r="F1212" s="11">
        <v>0</v>
      </c>
      <c r="G1212" s="3" t="e">
        <f t="shared" si="38"/>
        <v>#DIV/0!</v>
      </c>
    </row>
    <row r="1213" spans="1:7">
      <c r="A1213" s="1">
        <v>2</v>
      </c>
      <c r="B1213" s="1" t="s">
        <v>125</v>
      </c>
      <c r="C1213" s="11">
        <v>0</v>
      </c>
      <c r="D1213" s="11">
        <v>0</v>
      </c>
      <c r="E1213" s="2">
        <f t="shared" si="39"/>
        <v>0</v>
      </c>
      <c r="F1213" s="11">
        <v>0</v>
      </c>
      <c r="G1213" s="3" t="e">
        <f t="shared" si="38"/>
        <v>#DIV/0!</v>
      </c>
    </row>
    <row r="1214" spans="1:7">
      <c r="A1214" s="1">
        <v>3</v>
      </c>
      <c r="B1214" s="1" t="s">
        <v>125</v>
      </c>
      <c r="C1214" s="11">
        <v>80</v>
      </c>
      <c r="D1214" s="11">
        <v>77.33</v>
      </c>
      <c r="E1214" s="2">
        <f t="shared" si="39"/>
        <v>2.6700000000000017</v>
      </c>
      <c r="F1214" s="11">
        <v>9.6000000000000002E-2</v>
      </c>
      <c r="G1214" s="3">
        <f t="shared" si="38"/>
        <v>3.4575000000000022E-2</v>
      </c>
    </row>
    <row r="1215" spans="1:7">
      <c r="A1215" s="1">
        <v>4</v>
      </c>
      <c r="B1215" s="1" t="s">
        <v>125</v>
      </c>
      <c r="C1215" s="11">
        <v>20</v>
      </c>
      <c r="D1215" s="11">
        <v>19.100000000000001</v>
      </c>
      <c r="E1215" s="2">
        <f t="shared" si="39"/>
        <v>0.89999999999999858</v>
      </c>
      <c r="F1215" s="11">
        <v>8.4000000000000005E-2</v>
      </c>
      <c r="G1215" s="3">
        <f t="shared" si="38"/>
        <v>4.9199999999999924E-2</v>
      </c>
    </row>
    <row r="1216" spans="1:7">
      <c r="A1216" s="1">
        <v>5</v>
      </c>
      <c r="B1216" s="1" t="s">
        <v>125</v>
      </c>
      <c r="C1216" s="11">
        <v>40</v>
      </c>
      <c r="D1216" s="11">
        <v>38.1</v>
      </c>
      <c r="E1216" s="2">
        <f t="shared" si="39"/>
        <v>1.8999999999999986</v>
      </c>
      <c r="F1216" s="11">
        <v>9.1999999999999998E-2</v>
      </c>
      <c r="G1216" s="3">
        <f t="shared" si="38"/>
        <v>4.9799999999999969E-2</v>
      </c>
    </row>
    <row r="1217" spans="1:7">
      <c r="A1217" s="1">
        <v>6</v>
      </c>
      <c r="B1217" s="1" t="s">
        <v>125</v>
      </c>
      <c r="C1217" s="11">
        <v>20</v>
      </c>
      <c r="D1217" s="11">
        <v>18.77</v>
      </c>
      <c r="E1217" s="2">
        <f t="shared" si="39"/>
        <v>1.2300000000000004</v>
      </c>
      <c r="F1217" s="11">
        <v>0.104</v>
      </c>
      <c r="G1217" s="3">
        <f t="shared" si="38"/>
        <v>6.6700000000000023E-2</v>
      </c>
    </row>
    <row r="1218" spans="1:7">
      <c r="A1218" s="1">
        <v>7</v>
      </c>
      <c r="B1218" s="1" t="s">
        <v>125</v>
      </c>
      <c r="C1218" s="11">
        <v>20</v>
      </c>
      <c r="D1218" s="11">
        <v>19.02</v>
      </c>
      <c r="E1218" s="2">
        <f t="shared" si="39"/>
        <v>0.98000000000000043</v>
      </c>
      <c r="F1218" s="11">
        <v>0.129</v>
      </c>
      <c r="G1218" s="3">
        <f t="shared" si="38"/>
        <v>5.545000000000002E-2</v>
      </c>
    </row>
    <row r="1219" spans="1:7">
      <c r="A1219" s="1">
        <v>10</v>
      </c>
      <c r="B1219" s="1" t="s">
        <v>125</v>
      </c>
      <c r="C1219" s="11">
        <v>30.56</v>
      </c>
      <c r="D1219" s="11">
        <v>29.14</v>
      </c>
      <c r="E1219" s="2">
        <f t="shared" si="39"/>
        <v>1.4199999999999982</v>
      </c>
      <c r="F1219" s="11">
        <v>8.4000000000000005E-2</v>
      </c>
      <c r="G1219" s="3">
        <f t="shared" si="38"/>
        <v>4.9214659685863818E-2</v>
      </c>
    </row>
    <row r="1220" spans="1:7">
      <c r="A1220" s="1">
        <v>8</v>
      </c>
      <c r="B1220" s="1" t="s">
        <v>125</v>
      </c>
      <c r="C1220" s="11">
        <v>0</v>
      </c>
      <c r="D1220" s="11">
        <v>0</v>
      </c>
      <c r="E1220" s="2">
        <f t="shared" si="39"/>
        <v>0</v>
      </c>
      <c r="F1220" s="11">
        <v>2.5999999999999999E-2</v>
      </c>
      <c r="G1220" s="3" t="e">
        <f t="shared" si="38"/>
        <v>#DIV/0!</v>
      </c>
    </row>
    <row r="1221" spans="1:7">
      <c r="A1221" s="1">
        <v>9</v>
      </c>
      <c r="B1221" s="1" t="s">
        <v>125</v>
      </c>
      <c r="C1221" s="11">
        <v>20</v>
      </c>
      <c r="D1221" s="11">
        <v>19.059999999999999</v>
      </c>
      <c r="E1221" s="2">
        <f t="shared" si="39"/>
        <v>0.94000000000000128</v>
      </c>
      <c r="F1221" s="11">
        <v>0.03</v>
      </c>
      <c r="G1221" s="3">
        <f t="shared" si="38"/>
        <v>4.8500000000000064E-2</v>
      </c>
    </row>
    <row r="1222" spans="1:7">
      <c r="A1222" s="1">
        <v>11</v>
      </c>
      <c r="B1222" s="1" t="s">
        <v>125</v>
      </c>
      <c r="C1222" s="11">
        <v>0</v>
      </c>
      <c r="D1222" s="11">
        <v>0</v>
      </c>
      <c r="E1222" s="2">
        <f t="shared" si="39"/>
        <v>0</v>
      </c>
      <c r="F1222" s="11">
        <v>7.0999999999999994E-2</v>
      </c>
      <c r="G1222" s="3" t="e">
        <f t="shared" si="38"/>
        <v>#DIV/0!</v>
      </c>
    </row>
    <row r="1223" spans="1:7">
      <c r="A1223" s="1">
        <v>12</v>
      </c>
      <c r="B1223" s="1" t="s">
        <v>125</v>
      </c>
      <c r="C1223" s="11">
        <v>0</v>
      </c>
      <c r="D1223" s="11">
        <v>0</v>
      </c>
      <c r="E1223" s="2">
        <f t="shared" si="39"/>
        <v>0</v>
      </c>
      <c r="F1223" s="11">
        <v>2E-3</v>
      </c>
      <c r="G1223" s="3" t="e">
        <f t="shared" si="38"/>
        <v>#DIV/0!</v>
      </c>
    </row>
    <row r="1224" spans="1:7">
      <c r="A1224" s="1">
        <v>13</v>
      </c>
      <c r="B1224" s="1" t="s">
        <v>125</v>
      </c>
      <c r="C1224" s="11">
        <v>23.154</v>
      </c>
      <c r="D1224" s="11">
        <v>22.05</v>
      </c>
      <c r="E1224" s="2">
        <f t="shared" si="39"/>
        <v>1.1039999999999992</v>
      </c>
      <c r="F1224" s="11">
        <v>0.18100000000000094</v>
      </c>
      <c r="G1224" s="3">
        <f t="shared" si="38"/>
        <v>5.5497970113155402E-2</v>
      </c>
    </row>
    <row r="1225" spans="1:7">
      <c r="A1225" s="1">
        <v>14</v>
      </c>
      <c r="B1225" s="1" t="s">
        <v>125</v>
      </c>
      <c r="C1225" s="11">
        <v>0</v>
      </c>
      <c r="D1225" s="11">
        <v>0</v>
      </c>
      <c r="E1225" s="2">
        <f t="shared" si="39"/>
        <v>0</v>
      </c>
      <c r="F1225" s="11">
        <v>0</v>
      </c>
      <c r="G1225" s="3" t="e">
        <f t="shared" si="38"/>
        <v>#DIV/0!</v>
      </c>
    </row>
    <row r="1226" spans="1:7">
      <c r="A1226" s="1">
        <v>15</v>
      </c>
      <c r="B1226" s="1" t="s">
        <v>125</v>
      </c>
      <c r="C1226" s="11">
        <v>25.77</v>
      </c>
      <c r="D1226" s="11">
        <v>24.66</v>
      </c>
      <c r="E1226" s="2">
        <f t="shared" si="39"/>
        <v>1.1099999999999994</v>
      </c>
      <c r="F1226" s="11">
        <v>0.02</v>
      </c>
      <c r="G1226" s="3">
        <f t="shared" si="38"/>
        <v>4.3849437330228926E-2</v>
      </c>
    </row>
    <row r="1227" spans="1:7">
      <c r="A1227" s="1">
        <v>16</v>
      </c>
      <c r="B1227" s="1" t="s">
        <v>125</v>
      </c>
      <c r="C1227" s="11">
        <v>28.271999999999998</v>
      </c>
      <c r="D1227" s="11">
        <v>27.25</v>
      </c>
      <c r="E1227" s="2">
        <f t="shared" si="39"/>
        <v>1.0219999999999985</v>
      </c>
      <c r="F1227" s="11">
        <v>0.12299999999999756</v>
      </c>
      <c r="G1227" s="3">
        <f t="shared" si="38"/>
        <v>4.0499434069043438E-2</v>
      </c>
    </row>
    <row r="1228" spans="1:7">
      <c r="A1228" s="1">
        <v>17</v>
      </c>
      <c r="B1228" s="1" t="s">
        <v>125</v>
      </c>
      <c r="C1228" s="11">
        <v>2</v>
      </c>
      <c r="D1228" s="11">
        <v>1.98</v>
      </c>
      <c r="E1228" s="2">
        <f t="shared" si="39"/>
        <v>2.0000000000000018E-2</v>
      </c>
      <c r="F1228" s="11">
        <v>7.0000000000000007E-2</v>
      </c>
      <c r="G1228" s="3">
        <f t="shared" si="38"/>
        <v>4.5000000000000012E-2</v>
      </c>
    </row>
    <row r="1229" spans="1:7">
      <c r="A1229" s="1">
        <v>18</v>
      </c>
      <c r="B1229" s="1" t="s">
        <v>125</v>
      </c>
      <c r="C1229" s="11">
        <v>0</v>
      </c>
      <c r="D1229" s="11">
        <v>0</v>
      </c>
      <c r="E1229" s="2">
        <f t="shared" si="39"/>
        <v>0</v>
      </c>
      <c r="F1229" s="11">
        <v>7.4999999999999997E-2</v>
      </c>
      <c r="G1229" s="3" t="e">
        <f t="shared" si="38"/>
        <v>#DIV/0!</v>
      </c>
    </row>
    <row r="1230" spans="1:7">
      <c r="A1230" s="1">
        <v>19</v>
      </c>
      <c r="B1230" s="1" t="s">
        <v>125</v>
      </c>
      <c r="C1230" s="11">
        <v>29.62</v>
      </c>
      <c r="D1230" s="11">
        <v>28.28</v>
      </c>
      <c r="E1230" s="2">
        <f t="shared" si="39"/>
        <v>1.3399999999999999</v>
      </c>
      <c r="F1230" s="11">
        <v>6.6000000000000003E-2</v>
      </c>
      <c r="G1230" s="3">
        <f t="shared" si="38"/>
        <v>4.7467927076299793E-2</v>
      </c>
    </row>
    <row r="1231" spans="1:7">
      <c r="A1231" s="1">
        <v>20</v>
      </c>
      <c r="B1231" s="1" t="s">
        <v>125</v>
      </c>
      <c r="C1231" s="11">
        <v>0</v>
      </c>
      <c r="D1231" s="11">
        <v>0</v>
      </c>
      <c r="E1231" s="2">
        <f t="shared" si="39"/>
        <v>0</v>
      </c>
      <c r="F1231" s="11">
        <v>5.6000000000000001E-2</v>
      </c>
      <c r="G1231" s="3" t="e">
        <f t="shared" si="38"/>
        <v>#DIV/0!</v>
      </c>
    </row>
    <row r="1232" spans="1:7">
      <c r="A1232" s="1">
        <v>21</v>
      </c>
      <c r="B1232" s="1" t="s">
        <v>125</v>
      </c>
      <c r="C1232" s="11">
        <v>0</v>
      </c>
      <c r="D1232" s="11">
        <v>0</v>
      </c>
      <c r="E1232" s="2">
        <f t="shared" si="39"/>
        <v>0</v>
      </c>
      <c r="F1232" s="11">
        <v>0.14899999999999999</v>
      </c>
      <c r="G1232" s="3" t="e">
        <f t="shared" si="38"/>
        <v>#DIV/0!</v>
      </c>
    </row>
    <row r="1233" spans="1:7">
      <c r="A1233" s="1">
        <v>22</v>
      </c>
      <c r="B1233" s="1" t="s">
        <v>125</v>
      </c>
      <c r="C1233" s="11">
        <v>0</v>
      </c>
      <c r="D1233" s="11">
        <v>0</v>
      </c>
      <c r="E1233" s="2">
        <f t="shared" si="39"/>
        <v>0</v>
      </c>
      <c r="F1233" s="11">
        <v>8.5999999999999993E-2</v>
      </c>
      <c r="G1233" s="3" t="e">
        <f t="shared" si="38"/>
        <v>#DIV/0!</v>
      </c>
    </row>
    <row r="1234" spans="1:7">
      <c r="A1234" s="1">
        <v>23</v>
      </c>
      <c r="B1234" s="1" t="s">
        <v>125</v>
      </c>
      <c r="C1234" s="11">
        <v>20</v>
      </c>
      <c r="D1234" s="11">
        <v>19.059999999999999</v>
      </c>
      <c r="E1234" s="2">
        <f t="shared" si="39"/>
        <v>0.94000000000000128</v>
      </c>
      <c r="F1234" s="11">
        <v>0.113</v>
      </c>
      <c r="G1234" s="3">
        <f t="shared" si="38"/>
        <v>5.2650000000000065E-2</v>
      </c>
    </row>
    <row r="1235" spans="1:7">
      <c r="A1235" s="1">
        <v>24</v>
      </c>
      <c r="B1235" s="1" t="s">
        <v>125</v>
      </c>
      <c r="C1235" s="11">
        <v>17</v>
      </c>
      <c r="D1235" s="11">
        <v>16.88</v>
      </c>
      <c r="E1235" s="2">
        <f t="shared" si="39"/>
        <v>0.12000000000000099</v>
      </c>
      <c r="F1235" s="11">
        <v>0.36599999999999999</v>
      </c>
      <c r="G1235" s="3">
        <f t="shared" si="38"/>
        <v>2.8588235294117706E-2</v>
      </c>
    </row>
    <row r="1236" spans="1:7">
      <c r="A1236" s="1">
        <v>25</v>
      </c>
      <c r="B1236" s="1" t="s">
        <v>125</v>
      </c>
      <c r="C1236" s="11">
        <v>39.619999999999997</v>
      </c>
      <c r="D1236" s="11">
        <v>38.409999999999997</v>
      </c>
      <c r="E1236" s="2">
        <f t="shared" si="39"/>
        <v>1.2100000000000009</v>
      </c>
      <c r="F1236" s="11">
        <v>0.14599999999999999</v>
      </c>
      <c r="G1236" s="3">
        <f t="shared" si="38"/>
        <v>3.4225138818778415E-2</v>
      </c>
    </row>
    <row r="1237" spans="1:7">
      <c r="A1237" s="1">
        <v>26</v>
      </c>
      <c r="B1237" s="1" t="s">
        <v>125</v>
      </c>
      <c r="C1237" s="11">
        <v>40</v>
      </c>
      <c r="D1237" s="11">
        <v>38.29</v>
      </c>
      <c r="E1237" s="2">
        <f t="shared" si="39"/>
        <v>1.7100000000000009</v>
      </c>
      <c r="F1237" s="11">
        <v>0.04</v>
      </c>
      <c r="G1237" s="3">
        <f t="shared" si="38"/>
        <v>4.3750000000000025E-2</v>
      </c>
    </row>
    <row r="1238" spans="1:7">
      <c r="A1238" s="1">
        <v>27</v>
      </c>
      <c r="B1238" s="1" t="s">
        <v>125</v>
      </c>
      <c r="C1238" s="11">
        <v>40</v>
      </c>
      <c r="D1238" s="11">
        <v>38.270000000000003</v>
      </c>
      <c r="E1238" s="2">
        <f t="shared" si="39"/>
        <v>1.7299999999999969</v>
      </c>
      <c r="F1238" s="11">
        <v>0.158</v>
      </c>
      <c r="G1238" s="3">
        <f t="shared" si="38"/>
        <v>4.7199999999999923E-2</v>
      </c>
    </row>
    <row r="1239" spans="1:7">
      <c r="A1239" s="1">
        <v>28</v>
      </c>
      <c r="B1239" s="1" t="s">
        <v>125</v>
      </c>
      <c r="C1239" s="11">
        <v>0</v>
      </c>
      <c r="D1239" s="11">
        <v>0</v>
      </c>
      <c r="E1239" s="2">
        <f t="shared" si="39"/>
        <v>0</v>
      </c>
      <c r="F1239" s="11">
        <v>0.14199999999999999</v>
      </c>
      <c r="G1239" s="3" t="e">
        <f t="shared" si="38"/>
        <v>#DIV/0!</v>
      </c>
    </row>
    <row r="1240" spans="1:7">
      <c r="A1240" s="1">
        <v>29</v>
      </c>
      <c r="B1240" s="1" t="s">
        <v>125</v>
      </c>
      <c r="C1240" s="11">
        <v>0</v>
      </c>
      <c r="D1240" s="11">
        <v>0</v>
      </c>
      <c r="E1240" s="2">
        <f t="shared" si="39"/>
        <v>0</v>
      </c>
      <c r="F1240" s="11">
        <v>9.5000000000000001E-2</v>
      </c>
      <c r="G1240" s="3" t="e">
        <f t="shared" si="38"/>
        <v>#DIV/0!</v>
      </c>
    </row>
    <row r="1241" spans="1:7">
      <c r="A1241" s="1">
        <v>30</v>
      </c>
      <c r="B1241" s="1" t="s">
        <v>125</v>
      </c>
      <c r="C1241" s="11">
        <v>0</v>
      </c>
      <c r="D1241" s="11">
        <v>0</v>
      </c>
      <c r="E1241" s="2">
        <f t="shared" si="39"/>
        <v>0</v>
      </c>
      <c r="F1241" s="11">
        <v>0.17399999999999999</v>
      </c>
      <c r="G1241" s="3" t="e">
        <f t="shared" si="38"/>
        <v>#DIV/0!</v>
      </c>
    </row>
    <row r="1242" spans="1:7">
      <c r="A1242" s="1">
        <v>31</v>
      </c>
      <c r="B1242" s="1" t="s">
        <v>125</v>
      </c>
      <c r="C1242" s="11">
        <v>20</v>
      </c>
      <c r="D1242" s="11">
        <v>19.11</v>
      </c>
      <c r="E1242" s="2">
        <f t="shared" si="39"/>
        <v>0.89000000000000057</v>
      </c>
      <c r="F1242" s="11">
        <v>1.0999999999999999E-2</v>
      </c>
      <c r="G1242" s="3">
        <f t="shared" si="38"/>
        <v>4.5050000000000028E-2</v>
      </c>
    </row>
    <row r="1243" spans="1:7">
      <c r="A1243" s="1">
        <v>1</v>
      </c>
      <c r="B1243" s="1" t="s">
        <v>126</v>
      </c>
      <c r="C1243" s="11">
        <v>0</v>
      </c>
      <c r="D1243" s="11">
        <v>0</v>
      </c>
      <c r="E1243" s="2">
        <f t="shared" si="39"/>
        <v>0</v>
      </c>
      <c r="F1243" s="11">
        <v>0</v>
      </c>
      <c r="G1243" s="3" t="e">
        <f t="shared" si="38"/>
        <v>#DIV/0!</v>
      </c>
    </row>
    <row r="1244" spans="1:7">
      <c r="A1244" s="1">
        <v>2</v>
      </c>
      <c r="B1244" s="1" t="s">
        <v>126</v>
      </c>
      <c r="C1244" s="11">
        <v>0</v>
      </c>
      <c r="D1244" s="11">
        <v>0</v>
      </c>
      <c r="E1244" s="2">
        <f t="shared" si="39"/>
        <v>0</v>
      </c>
      <c r="F1244" s="11">
        <v>0</v>
      </c>
      <c r="G1244" s="3" t="e">
        <f t="shared" si="38"/>
        <v>#DIV/0!</v>
      </c>
    </row>
    <row r="1245" spans="1:7">
      <c r="A1245" s="1">
        <v>3</v>
      </c>
      <c r="B1245" s="1" t="s">
        <v>126</v>
      </c>
      <c r="C1245" s="11">
        <v>0</v>
      </c>
      <c r="D1245" s="11">
        <v>0</v>
      </c>
      <c r="E1245" s="2">
        <f t="shared" si="39"/>
        <v>0</v>
      </c>
      <c r="F1245" s="11">
        <v>0</v>
      </c>
      <c r="G1245" s="3" t="e">
        <f t="shared" si="38"/>
        <v>#DIV/0!</v>
      </c>
    </row>
    <row r="1246" spans="1:7">
      <c r="A1246" s="1">
        <v>4</v>
      </c>
      <c r="B1246" s="1" t="s">
        <v>126</v>
      </c>
      <c r="C1246" s="11">
        <v>0</v>
      </c>
      <c r="D1246" s="11">
        <v>0</v>
      </c>
      <c r="E1246" s="2">
        <f t="shared" si="39"/>
        <v>0</v>
      </c>
      <c r="F1246" s="11">
        <v>0</v>
      </c>
      <c r="G1246" s="3" t="e">
        <f t="shared" si="38"/>
        <v>#DIV/0!</v>
      </c>
    </row>
    <row r="1247" spans="1:7">
      <c r="A1247" s="1">
        <v>5</v>
      </c>
      <c r="B1247" s="1" t="s">
        <v>126</v>
      </c>
      <c r="C1247" s="11">
        <v>0</v>
      </c>
      <c r="D1247" s="11">
        <v>0</v>
      </c>
      <c r="E1247" s="2">
        <f t="shared" si="39"/>
        <v>0</v>
      </c>
      <c r="F1247" s="11">
        <v>0</v>
      </c>
      <c r="G1247" s="3" t="e">
        <f t="shared" si="38"/>
        <v>#DIV/0!</v>
      </c>
    </row>
    <row r="1248" spans="1:7">
      <c r="A1248" s="1">
        <v>6</v>
      </c>
      <c r="B1248" s="1" t="s">
        <v>126</v>
      </c>
      <c r="C1248" s="11">
        <v>0</v>
      </c>
      <c r="D1248" s="11">
        <v>0</v>
      </c>
      <c r="E1248" s="2">
        <f t="shared" si="39"/>
        <v>0</v>
      </c>
      <c r="F1248" s="11">
        <v>0</v>
      </c>
      <c r="G1248" s="3" t="e">
        <f t="shared" si="38"/>
        <v>#DIV/0!</v>
      </c>
    </row>
    <row r="1249" spans="1:7">
      <c r="A1249" s="1">
        <v>7</v>
      </c>
      <c r="B1249" s="1" t="s">
        <v>126</v>
      </c>
      <c r="C1249" s="11">
        <v>0</v>
      </c>
      <c r="D1249" s="11">
        <v>0</v>
      </c>
      <c r="E1249" s="2">
        <f t="shared" si="39"/>
        <v>0</v>
      </c>
      <c r="F1249" s="11">
        <v>0</v>
      </c>
      <c r="G1249" s="3" t="e">
        <f t="shared" si="38"/>
        <v>#DIV/0!</v>
      </c>
    </row>
    <row r="1250" spans="1:7">
      <c r="A1250" s="1">
        <v>8</v>
      </c>
      <c r="B1250" s="1" t="s">
        <v>126</v>
      </c>
      <c r="C1250" s="11">
        <v>0</v>
      </c>
      <c r="D1250" s="11">
        <v>0</v>
      </c>
      <c r="E1250" s="2">
        <f t="shared" si="39"/>
        <v>0</v>
      </c>
      <c r="F1250" s="11">
        <v>0</v>
      </c>
      <c r="G1250" s="3" t="e">
        <f t="shared" si="38"/>
        <v>#DIV/0!</v>
      </c>
    </row>
    <row r="1251" spans="1:7">
      <c r="A1251" s="1">
        <v>9</v>
      </c>
      <c r="B1251" s="1" t="s">
        <v>126</v>
      </c>
      <c r="C1251" s="11">
        <v>0</v>
      </c>
      <c r="D1251" s="11">
        <v>0</v>
      </c>
      <c r="E1251" s="2">
        <f t="shared" si="39"/>
        <v>0</v>
      </c>
      <c r="F1251" s="11">
        <v>0</v>
      </c>
      <c r="G1251" s="3" t="e">
        <f t="shared" si="38"/>
        <v>#DIV/0!</v>
      </c>
    </row>
    <row r="1252" spans="1:7">
      <c r="A1252" s="1">
        <v>10</v>
      </c>
      <c r="B1252" s="1" t="s">
        <v>126</v>
      </c>
      <c r="C1252" s="11">
        <v>0</v>
      </c>
      <c r="D1252" s="11">
        <v>0</v>
      </c>
      <c r="E1252" s="2">
        <f t="shared" si="39"/>
        <v>0</v>
      </c>
      <c r="F1252" s="11">
        <v>0</v>
      </c>
      <c r="G1252" s="3" t="e">
        <f t="shared" si="38"/>
        <v>#DIV/0!</v>
      </c>
    </row>
    <row r="1253" spans="1:7">
      <c r="A1253" s="1">
        <v>11</v>
      </c>
      <c r="B1253" s="1" t="s">
        <v>126</v>
      </c>
      <c r="C1253" s="11">
        <v>0</v>
      </c>
      <c r="D1253" s="11">
        <v>0</v>
      </c>
      <c r="E1253" s="2">
        <f t="shared" si="39"/>
        <v>0</v>
      </c>
      <c r="F1253" s="11">
        <v>0</v>
      </c>
      <c r="G1253" s="3" t="e">
        <f t="shared" si="38"/>
        <v>#DIV/0!</v>
      </c>
    </row>
    <row r="1254" spans="1:7">
      <c r="A1254" s="1">
        <v>12</v>
      </c>
      <c r="B1254" s="1" t="s">
        <v>126</v>
      </c>
      <c r="C1254" s="11">
        <v>0</v>
      </c>
      <c r="D1254" s="11">
        <v>0</v>
      </c>
      <c r="E1254" s="2">
        <f t="shared" si="39"/>
        <v>0</v>
      </c>
      <c r="F1254" s="11">
        <v>0</v>
      </c>
      <c r="G1254" s="3" t="e">
        <f t="shared" si="38"/>
        <v>#DIV/0!</v>
      </c>
    </row>
    <row r="1255" spans="1:7">
      <c r="A1255" s="1">
        <v>13</v>
      </c>
      <c r="B1255" s="1" t="s">
        <v>126</v>
      </c>
      <c r="C1255" s="11">
        <v>0</v>
      </c>
      <c r="D1255" s="11">
        <v>0</v>
      </c>
      <c r="E1255" s="2">
        <f t="shared" si="39"/>
        <v>0</v>
      </c>
      <c r="F1255" s="11">
        <v>0</v>
      </c>
      <c r="G1255" s="3" t="e">
        <f t="shared" si="38"/>
        <v>#DIV/0!</v>
      </c>
    </row>
    <row r="1256" spans="1:7">
      <c r="A1256" s="1">
        <v>14</v>
      </c>
      <c r="B1256" s="1" t="s">
        <v>126</v>
      </c>
      <c r="C1256" s="11">
        <v>0</v>
      </c>
      <c r="D1256" s="11">
        <v>0</v>
      </c>
      <c r="E1256" s="2">
        <f t="shared" si="39"/>
        <v>0</v>
      </c>
      <c r="F1256" s="11">
        <v>0</v>
      </c>
      <c r="G1256" s="3" t="e">
        <f t="shared" si="38"/>
        <v>#DIV/0!</v>
      </c>
    </row>
    <row r="1257" spans="1:7">
      <c r="A1257" s="1">
        <v>15</v>
      </c>
      <c r="B1257" s="1" t="s">
        <v>126</v>
      </c>
      <c r="C1257" s="11">
        <v>20</v>
      </c>
      <c r="D1257" s="11">
        <v>19.809999999999999</v>
      </c>
      <c r="E1257" s="2">
        <f t="shared" si="39"/>
        <v>0.19000000000000128</v>
      </c>
      <c r="F1257" s="11">
        <v>0.65500000000000003</v>
      </c>
      <c r="G1257" s="3">
        <f t="shared" si="38"/>
        <v>4.2250000000000065E-2</v>
      </c>
    </row>
    <row r="1258" spans="1:7">
      <c r="A1258" s="1">
        <v>16</v>
      </c>
      <c r="B1258" s="1" t="s">
        <v>126</v>
      </c>
      <c r="C1258" s="11">
        <v>0</v>
      </c>
      <c r="D1258" s="11">
        <v>0</v>
      </c>
      <c r="E1258" s="2">
        <f t="shared" si="39"/>
        <v>0</v>
      </c>
      <c r="F1258" s="11">
        <v>0.2</v>
      </c>
      <c r="G1258" s="3" t="e">
        <f t="shared" si="38"/>
        <v>#DIV/0!</v>
      </c>
    </row>
    <row r="1259" spans="1:7">
      <c r="A1259" s="1">
        <v>17</v>
      </c>
      <c r="B1259" s="1" t="s">
        <v>126</v>
      </c>
      <c r="C1259" s="11">
        <v>0</v>
      </c>
      <c r="D1259" s="11">
        <v>0</v>
      </c>
      <c r="E1259" s="2">
        <f t="shared" si="39"/>
        <v>0</v>
      </c>
      <c r="F1259" s="11">
        <v>0.125</v>
      </c>
      <c r="G1259" s="3" t="e">
        <f t="shared" si="38"/>
        <v>#DIV/0!</v>
      </c>
    </row>
    <row r="1260" spans="1:7">
      <c r="A1260" s="1">
        <v>18</v>
      </c>
      <c r="B1260" s="1" t="s">
        <v>126</v>
      </c>
      <c r="C1260" s="11">
        <v>0</v>
      </c>
      <c r="D1260" s="11">
        <v>0</v>
      </c>
      <c r="E1260" s="2">
        <f t="shared" si="39"/>
        <v>0</v>
      </c>
      <c r="F1260" s="11">
        <v>0.1</v>
      </c>
      <c r="G1260" s="3" t="e">
        <f t="shared" si="38"/>
        <v>#DIV/0!</v>
      </c>
    </row>
    <row r="1261" spans="1:7">
      <c r="A1261" s="1">
        <v>19</v>
      </c>
      <c r="B1261" s="1" t="s">
        <v>126</v>
      </c>
      <c r="C1261" s="11">
        <v>0</v>
      </c>
      <c r="D1261" s="11">
        <v>0</v>
      </c>
      <c r="E1261" s="2">
        <f t="shared" si="39"/>
        <v>0</v>
      </c>
      <c r="F1261" s="11">
        <v>0.09</v>
      </c>
      <c r="G1261" s="3" t="e">
        <f t="shared" si="38"/>
        <v>#DIV/0!</v>
      </c>
    </row>
    <row r="1262" spans="1:7">
      <c r="A1262" s="1">
        <v>20</v>
      </c>
      <c r="B1262" s="1" t="s">
        <v>126</v>
      </c>
      <c r="C1262" s="11">
        <v>20</v>
      </c>
      <c r="D1262" s="11">
        <v>19.87</v>
      </c>
      <c r="E1262" s="2">
        <f t="shared" si="39"/>
        <v>0.12999999999999901</v>
      </c>
      <c r="F1262" s="11">
        <v>-0.58499999999999996</v>
      </c>
      <c r="G1262" s="3">
        <f t="shared" si="38"/>
        <v>-2.2750000000000048E-2</v>
      </c>
    </row>
    <row r="1263" spans="1:7">
      <c r="A1263" s="1">
        <v>21</v>
      </c>
      <c r="B1263" s="1" t="s">
        <v>126</v>
      </c>
      <c r="C1263" s="11">
        <v>0</v>
      </c>
      <c r="D1263" s="11">
        <v>0</v>
      </c>
      <c r="E1263" s="2">
        <f t="shared" si="39"/>
        <v>0</v>
      </c>
      <c r="F1263" s="11">
        <v>9.5000000000000001E-2</v>
      </c>
      <c r="G1263" s="3" t="e">
        <f t="shared" si="38"/>
        <v>#DIV/0!</v>
      </c>
    </row>
    <row r="1264" spans="1:7">
      <c r="A1264" s="1">
        <v>22</v>
      </c>
      <c r="B1264" s="1" t="s">
        <v>126</v>
      </c>
      <c r="C1264" s="11">
        <v>0</v>
      </c>
      <c r="D1264" s="11">
        <v>0</v>
      </c>
      <c r="E1264" s="2">
        <f t="shared" si="39"/>
        <v>0</v>
      </c>
      <c r="F1264" s="11">
        <v>0.18</v>
      </c>
      <c r="G1264" s="3" t="e">
        <f t="shared" si="38"/>
        <v>#DIV/0!</v>
      </c>
    </row>
    <row r="1265" spans="1:7">
      <c r="A1265" s="1">
        <v>23</v>
      </c>
      <c r="B1265" s="1" t="s">
        <v>126</v>
      </c>
      <c r="C1265" s="11">
        <v>0</v>
      </c>
      <c r="D1265" s="11">
        <v>0</v>
      </c>
      <c r="E1265" s="2">
        <f t="shared" si="39"/>
        <v>0</v>
      </c>
      <c r="F1265" s="11">
        <v>0.66</v>
      </c>
      <c r="G1265" s="3" t="e">
        <f t="shared" si="38"/>
        <v>#DIV/0!</v>
      </c>
    </row>
    <row r="1266" spans="1:7">
      <c r="A1266" s="1">
        <v>24</v>
      </c>
      <c r="B1266" s="1" t="s">
        <v>126</v>
      </c>
      <c r="C1266" s="11">
        <v>0</v>
      </c>
      <c r="D1266" s="11">
        <v>0</v>
      </c>
      <c r="E1266" s="2">
        <f t="shared" si="39"/>
        <v>0</v>
      </c>
      <c r="F1266" s="11">
        <v>0.105</v>
      </c>
      <c r="G1266" s="3" t="e">
        <f t="shared" si="38"/>
        <v>#DIV/0!</v>
      </c>
    </row>
    <row r="1267" spans="1:7">
      <c r="A1267" s="1">
        <v>25</v>
      </c>
      <c r="B1267" s="1" t="s">
        <v>126</v>
      </c>
      <c r="C1267" s="11">
        <v>0</v>
      </c>
      <c r="D1267" s="11">
        <v>0</v>
      </c>
      <c r="E1267" s="2">
        <f t="shared" si="39"/>
        <v>0</v>
      </c>
      <c r="F1267" s="11">
        <v>0.03</v>
      </c>
      <c r="G1267" s="3" t="e">
        <f t="shared" si="38"/>
        <v>#DIV/0!</v>
      </c>
    </row>
    <row r="1268" spans="1:7">
      <c r="A1268" s="1">
        <v>26</v>
      </c>
      <c r="B1268" s="1" t="s">
        <v>126</v>
      </c>
      <c r="C1268" s="11">
        <v>0</v>
      </c>
      <c r="D1268" s="11">
        <v>0</v>
      </c>
      <c r="E1268" s="2">
        <f t="shared" si="39"/>
        <v>0</v>
      </c>
      <c r="F1268" s="11">
        <v>0.185</v>
      </c>
      <c r="G1268" s="3" t="e">
        <f t="shared" si="38"/>
        <v>#DIV/0!</v>
      </c>
    </row>
    <row r="1269" spans="1:7">
      <c r="A1269" s="1">
        <v>27</v>
      </c>
      <c r="B1269" s="1" t="s">
        <v>126</v>
      </c>
      <c r="C1269" s="11">
        <v>0</v>
      </c>
      <c r="D1269" s="11">
        <v>0</v>
      </c>
      <c r="E1269" s="2">
        <f t="shared" si="39"/>
        <v>0</v>
      </c>
      <c r="F1269" s="11">
        <v>0.20499999999999999</v>
      </c>
      <c r="G1269" s="3" t="e">
        <f t="shared" si="38"/>
        <v>#DIV/0!</v>
      </c>
    </row>
    <row r="1270" spans="1:7">
      <c r="A1270" s="1">
        <v>28</v>
      </c>
      <c r="B1270" s="1" t="s">
        <v>126</v>
      </c>
      <c r="C1270" s="11">
        <v>0</v>
      </c>
      <c r="D1270" s="11">
        <v>0</v>
      </c>
      <c r="E1270" s="2">
        <f t="shared" si="39"/>
        <v>0</v>
      </c>
      <c r="F1270" s="11">
        <v>-2.58</v>
      </c>
      <c r="G1270" s="3" t="e">
        <f t="shared" si="38"/>
        <v>#DIV/0!</v>
      </c>
    </row>
    <row r="1271" spans="1:7">
      <c r="A1271" s="1">
        <v>29</v>
      </c>
      <c r="B1271" s="1" t="s">
        <v>126</v>
      </c>
      <c r="C1271" s="11">
        <v>0</v>
      </c>
      <c r="D1271" s="11">
        <v>0</v>
      </c>
      <c r="E1271" s="2">
        <f t="shared" si="39"/>
        <v>0</v>
      </c>
      <c r="F1271" s="11">
        <v>0.19</v>
      </c>
      <c r="G1271" s="3" t="e">
        <f t="shared" si="38"/>
        <v>#DIV/0!</v>
      </c>
    </row>
    <row r="1272" spans="1:7">
      <c r="A1272" s="1">
        <v>30</v>
      </c>
      <c r="B1272" s="1" t="s">
        <v>126</v>
      </c>
      <c r="C1272" s="11">
        <v>0</v>
      </c>
      <c r="D1272" s="11">
        <v>0</v>
      </c>
      <c r="E1272" s="2">
        <f t="shared" si="39"/>
        <v>0</v>
      </c>
      <c r="F1272" s="11">
        <v>5.5E-2</v>
      </c>
      <c r="G1272" s="3" t="e">
        <f t="shared" si="38"/>
        <v>#DIV/0!</v>
      </c>
    </row>
    <row r="1273" spans="1:7">
      <c r="A1273" s="1">
        <v>31</v>
      </c>
      <c r="B1273" s="1" t="s">
        <v>126</v>
      </c>
      <c r="C1273" s="11">
        <v>0</v>
      </c>
      <c r="D1273" s="11">
        <v>0</v>
      </c>
      <c r="E1273" s="2">
        <f t="shared" si="39"/>
        <v>0</v>
      </c>
      <c r="F1273" s="11">
        <v>0.05</v>
      </c>
      <c r="G1273" s="3" t="e">
        <f t="shared" si="38"/>
        <v>#DIV/0!</v>
      </c>
    </row>
    <row r="1274" spans="1:7">
      <c r="A1274" s="1">
        <v>1</v>
      </c>
      <c r="B1274" s="1" t="s">
        <v>127</v>
      </c>
      <c r="C1274" s="11">
        <v>0</v>
      </c>
      <c r="D1274" s="11">
        <v>0</v>
      </c>
      <c r="E1274" s="2">
        <f t="shared" si="39"/>
        <v>0</v>
      </c>
      <c r="F1274" s="11">
        <v>0</v>
      </c>
      <c r="G1274" s="3" t="e">
        <f t="shared" si="38"/>
        <v>#DIV/0!</v>
      </c>
    </row>
    <row r="1275" spans="1:7">
      <c r="A1275" s="1">
        <v>2</v>
      </c>
      <c r="B1275" s="1" t="s">
        <v>127</v>
      </c>
      <c r="C1275" s="11">
        <v>0</v>
      </c>
      <c r="D1275" s="11">
        <v>0</v>
      </c>
      <c r="E1275" s="2">
        <f t="shared" si="39"/>
        <v>0</v>
      </c>
      <c r="F1275" s="11">
        <v>0</v>
      </c>
      <c r="G1275" s="3" t="e">
        <f t="shared" si="38"/>
        <v>#DIV/0!</v>
      </c>
    </row>
    <row r="1276" spans="1:7">
      <c r="A1276" s="1">
        <v>3</v>
      </c>
      <c r="B1276" s="1" t="s">
        <v>127</v>
      </c>
      <c r="C1276" s="11">
        <v>0</v>
      </c>
      <c r="D1276" s="11">
        <v>0</v>
      </c>
      <c r="E1276" s="2">
        <f t="shared" si="39"/>
        <v>0</v>
      </c>
      <c r="F1276" s="11">
        <v>0</v>
      </c>
      <c r="G1276" s="3" t="e">
        <f t="shared" si="38"/>
        <v>#DIV/0!</v>
      </c>
    </row>
    <row r="1277" spans="1:7">
      <c r="A1277" s="1">
        <v>4</v>
      </c>
      <c r="B1277" s="1" t="s">
        <v>127</v>
      </c>
      <c r="C1277" s="11">
        <v>0</v>
      </c>
      <c r="D1277" s="11">
        <v>0</v>
      </c>
      <c r="E1277" s="2">
        <f t="shared" si="39"/>
        <v>0</v>
      </c>
      <c r="F1277" s="11">
        <v>0</v>
      </c>
      <c r="G1277" s="3" t="e">
        <f t="shared" si="38"/>
        <v>#DIV/0!</v>
      </c>
    </row>
    <row r="1278" spans="1:7">
      <c r="A1278" s="1">
        <v>5</v>
      </c>
      <c r="B1278" s="1" t="s">
        <v>127</v>
      </c>
      <c r="C1278" s="11">
        <v>0</v>
      </c>
      <c r="D1278" s="11">
        <v>0</v>
      </c>
      <c r="E1278" s="2">
        <f t="shared" si="39"/>
        <v>0</v>
      </c>
      <c r="F1278" s="11">
        <v>0</v>
      </c>
      <c r="G1278" s="3" t="e">
        <f t="shared" si="38"/>
        <v>#DIV/0!</v>
      </c>
    </row>
    <row r="1279" spans="1:7">
      <c r="A1279" s="1">
        <v>6</v>
      </c>
      <c r="B1279" s="1" t="s">
        <v>127</v>
      </c>
      <c r="C1279" s="11">
        <v>0</v>
      </c>
      <c r="D1279" s="11">
        <v>0</v>
      </c>
      <c r="E1279" s="2">
        <f t="shared" si="39"/>
        <v>0</v>
      </c>
      <c r="F1279" s="11">
        <v>0</v>
      </c>
      <c r="G1279" s="3" t="e">
        <f t="shared" si="38"/>
        <v>#DIV/0!</v>
      </c>
    </row>
    <row r="1280" spans="1:7">
      <c r="A1280" s="1">
        <v>7</v>
      </c>
      <c r="B1280" s="1" t="s">
        <v>127</v>
      </c>
      <c r="C1280" s="11">
        <v>0</v>
      </c>
      <c r="D1280" s="11">
        <v>0</v>
      </c>
      <c r="E1280" s="2">
        <f t="shared" si="39"/>
        <v>0</v>
      </c>
      <c r="F1280" s="11">
        <v>0</v>
      </c>
      <c r="G1280" s="3" t="e">
        <f t="shared" ref="G1280:G1366" si="40">(E1280+F1280)/C1280</f>
        <v>#DIV/0!</v>
      </c>
    </row>
    <row r="1281" spans="1:7">
      <c r="A1281" s="1">
        <v>8</v>
      </c>
      <c r="B1281" s="1" t="s">
        <v>127</v>
      </c>
      <c r="C1281" s="11">
        <v>0</v>
      </c>
      <c r="D1281" s="11">
        <v>0</v>
      </c>
      <c r="E1281" s="2">
        <f t="shared" si="39"/>
        <v>0</v>
      </c>
      <c r="F1281" s="11">
        <v>0</v>
      </c>
      <c r="G1281" s="3" t="e">
        <f t="shared" si="40"/>
        <v>#DIV/0!</v>
      </c>
    </row>
    <row r="1282" spans="1:7">
      <c r="A1282" s="1">
        <v>9</v>
      </c>
      <c r="B1282" s="1" t="s">
        <v>127</v>
      </c>
      <c r="C1282" s="11">
        <v>0</v>
      </c>
      <c r="D1282" s="11">
        <v>0</v>
      </c>
      <c r="E1282" s="2">
        <f t="shared" si="39"/>
        <v>0</v>
      </c>
      <c r="F1282" s="11">
        <v>0</v>
      </c>
      <c r="G1282" s="3" t="e">
        <f t="shared" si="40"/>
        <v>#DIV/0!</v>
      </c>
    </row>
    <row r="1283" spans="1:7">
      <c r="A1283" s="1">
        <v>10</v>
      </c>
      <c r="B1283" s="1" t="s">
        <v>127</v>
      </c>
      <c r="C1283" s="11">
        <v>0</v>
      </c>
      <c r="D1283" s="11">
        <v>0</v>
      </c>
      <c r="E1283" s="2">
        <f t="shared" si="39"/>
        <v>0</v>
      </c>
      <c r="F1283" s="11">
        <v>0</v>
      </c>
      <c r="G1283" s="3" t="e">
        <f t="shared" si="40"/>
        <v>#DIV/0!</v>
      </c>
    </row>
    <row r="1284" spans="1:7">
      <c r="A1284" s="1">
        <v>11</v>
      </c>
      <c r="B1284" s="1" t="s">
        <v>127</v>
      </c>
      <c r="C1284" s="11">
        <v>0</v>
      </c>
      <c r="D1284" s="11">
        <v>0</v>
      </c>
      <c r="E1284" s="2">
        <f t="shared" si="39"/>
        <v>0</v>
      </c>
      <c r="F1284" s="11">
        <v>0</v>
      </c>
      <c r="G1284" s="3" t="e">
        <f t="shared" si="40"/>
        <v>#DIV/0!</v>
      </c>
    </row>
    <row r="1285" spans="1:7">
      <c r="A1285" s="1">
        <v>12</v>
      </c>
      <c r="B1285" s="1" t="s">
        <v>127</v>
      </c>
      <c r="C1285" s="11">
        <v>0</v>
      </c>
      <c r="D1285" s="11">
        <v>0</v>
      </c>
      <c r="E1285" s="2">
        <f t="shared" si="39"/>
        <v>0</v>
      </c>
      <c r="F1285" s="11">
        <v>0</v>
      </c>
      <c r="G1285" s="3" t="e">
        <f t="shared" si="40"/>
        <v>#DIV/0!</v>
      </c>
    </row>
    <row r="1286" spans="1:7">
      <c r="A1286" s="1">
        <v>13</v>
      </c>
      <c r="B1286" s="1" t="s">
        <v>127</v>
      </c>
      <c r="C1286" s="11">
        <v>0</v>
      </c>
      <c r="D1286" s="11">
        <v>0</v>
      </c>
      <c r="E1286" s="2">
        <f t="shared" si="39"/>
        <v>0</v>
      </c>
      <c r="F1286" s="11">
        <v>0</v>
      </c>
      <c r="G1286" s="3" t="e">
        <f t="shared" si="40"/>
        <v>#DIV/0!</v>
      </c>
    </row>
    <row r="1287" spans="1:7">
      <c r="A1287" s="1">
        <v>14</v>
      </c>
      <c r="B1287" s="1" t="s">
        <v>127</v>
      </c>
      <c r="C1287" s="11">
        <v>0</v>
      </c>
      <c r="D1287" s="11">
        <v>0</v>
      </c>
      <c r="E1287" s="2">
        <f t="shared" si="39"/>
        <v>0</v>
      </c>
      <c r="F1287" s="11">
        <v>0</v>
      </c>
      <c r="G1287" s="3" t="e">
        <f t="shared" si="40"/>
        <v>#DIV/0!</v>
      </c>
    </row>
    <row r="1288" spans="1:7">
      <c r="A1288" s="1">
        <v>15</v>
      </c>
      <c r="B1288" s="1" t="s">
        <v>127</v>
      </c>
      <c r="C1288" s="11">
        <v>0</v>
      </c>
      <c r="D1288" s="11">
        <v>0</v>
      </c>
      <c r="E1288" s="2">
        <f t="shared" si="39"/>
        <v>0</v>
      </c>
      <c r="F1288" s="11">
        <v>0</v>
      </c>
      <c r="G1288" s="3" t="e">
        <f t="shared" si="40"/>
        <v>#DIV/0!</v>
      </c>
    </row>
    <row r="1289" spans="1:7">
      <c r="A1289" s="1">
        <v>16</v>
      </c>
      <c r="B1289" s="1" t="s">
        <v>127</v>
      </c>
      <c r="C1289" s="11">
        <v>0</v>
      </c>
      <c r="D1289" s="11">
        <v>0</v>
      </c>
      <c r="E1289" s="2">
        <f t="shared" si="39"/>
        <v>0</v>
      </c>
      <c r="F1289" s="11">
        <v>0</v>
      </c>
      <c r="G1289" s="3" t="e">
        <f t="shared" si="40"/>
        <v>#DIV/0!</v>
      </c>
    </row>
    <row r="1290" spans="1:7">
      <c r="A1290" s="1">
        <v>17</v>
      </c>
      <c r="B1290" s="1" t="s">
        <v>127</v>
      </c>
      <c r="C1290" s="11">
        <v>60</v>
      </c>
      <c r="D1290" s="11">
        <v>59.59</v>
      </c>
      <c r="E1290" s="2">
        <f t="shared" si="39"/>
        <v>0.40999999999999659</v>
      </c>
      <c r="F1290" s="11">
        <v>0.125</v>
      </c>
      <c r="G1290" s="3">
        <f t="shared" si="40"/>
        <v>8.9166666666666092E-3</v>
      </c>
    </row>
    <row r="1291" spans="1:7">
      <c r="A1291" s="1">
        <v>18</v>
      </c>
      <c r="B1291" s="1" t="s">
        <v>127</v>
      </c>
      <c r="C1291" s="11">
        <v>20</v>
      </c>
      <c r="D1291" s="11">
        <v>19.8</v>
      </c>
      <c r="E1291" s="2">
        <f t="shared" si="39"/>
        <v>0.19999999999999929</v>
      </c>
      <c r="F1291" s="11">
        <v>9.8000000000000004E-2</v>
      </c>
      <c r="G1291" s="3">
        <f t="shared" si="40"/>
        <v>1.4899999999999964E-2</v>
      </c>
    </row>
    <row r="1292" spans="1:7">
      <c r="A1292" s="1">
        <v>19</v>
      </c>
      <c r="B1292" s="1" t="s">
        <v>127</v>
      </c>
      <c r="C1292" s="11">
        <v>0</v>
      </c>
      <c r="D1292" s="11">
        <v>0</v>
      </c>
      <c r="E1292" s="2">
        <f t="shared" si="39"/>
        <v>0</v>
      </c>
      <c r="F1292" s="11">
        <v>9.7000000000000003E-2</v>
      </c>
      <c r="G1292" s="3" t="e">
        <f t="shared" si="40"/>
        <v>#DIV/0!</v>
      </c>
    </row>
    <row r="1293" spans="1:7">
      <c r="A1293" s="1">
        <v>20</v>
      </c>
      <c r="B1293" s="1" t="s">
        <v>127</v>
      </c>
      <c r="C1293" s="11">
        <v>20</v>
      </c>
      <c r="D1293" s="11">
        <v>19.899999999999999</v>
      </c>
      <c r="E1293" s="2">
        <f t="shared" si="39"/>
        <v>0.10000000000000142</v>
      </c>
      <c r="F1293" s="11">
        <v>0.186</v>
      </c>
      <c r="G1293" s="3">
        <f t="shared" si="40"/>
        <v>1.4300000000000071E-2</v>
      </c>
    </row>
    <row r="1294" spans="1:7">
      <c r="A1294" s="1">
        <v>21</v>
      </c>
      <c r="B1294" s="1" t="s">
        <v>127</v>
      </c>
      <c r="C1294" s="11">
        <v>0</v>
      </c>
      <c r="D1294" s="11">
        <v>0</v>
      </c>
      <c r="E1294" s="2">
        <f t="shared" si="39"/>
        <v>0</v>
      </c>
      <c r="F1294" s="11">
        <v>0.1</v>
      </c>
      <c r="G1294" s="3" t="e">
        <f t="shared" si="40"/>
        <v>#DIV/0!</v>
      </c>
    </row>
    <row r="1295" spans="1:7">
      <c r="A1295" s="1">
        <v>22</v>
      </c>
      <c r="B1295" s="1" t="s">
        <v>127</v>
      </c>
      <c r="C1295" s="11">
        <v>20</v>
      </c>
      <c r="D1295" s="11">
        <v>19.760000000000002</v>
      </c>
      <c r="E1295" s="2">
        <f t="shared" si="39"/>
        <v>0.23999999999999844</v>
      </c>
      <c r="F1295" s="11">
        <v>6.5000000000000002E-2</v>
      </c>
      <c r="G1295" s="3">
        <f t="shared" si="40"/>
        <v>1.5249999999999922E-2</v>
      </c>
    </row>
    <row r="1296" spans="1:7">
      <c r="A1296" s="1">
        <v>23</v>
      </c>
      <c r="B1296" s="1" t="s">
        <v>127</v>
      </c>
      <c r="C1296" s="11">
        <v>27.66</v>
      </c>
      <c r="D1296" s="11">
        <v>27.42</v>
      </c>
      <c r="E1296" s="2">
        <f t="shared" si="39"/>
        <v>0.23999999999999844</v>
      </c>
      <c r="F1296" s="11">
        <v>0.16400000000000001</v>
      </c>
      <c r="G1296" s="3">
        <f t="shared" si="40"/>
        <v>1.4605929139551645E-2</v>
      </c>
    </row>
    <row r="1297" spans="1:7">
      <c r="A1297" s="1">
        <v>24</v>
      </c>
      <c r="B1297" s="1" t="s">
        <v>127</v>
      </c>
      <c r="C1297" s="11">
        <v>0</v>
      </c>
      <c r="D1297" s="11">
        <v>0</v>
      </c>
      <c r="E1297" s="2">
        <f t="shared" si="39"/>
        <v>0</v>
      </c>
      <c r="F1297" s="11">
        <v>0.215</v>
      </c>
      <c r="G1297" s="3" t="e">
        <f t="shared" si="40"/>
        <v>#DIV/0!</v>
      </c>
    </row>
    <row r="1298" spans="1:7">
      <c r="A1298" s="1">
        <v>25</v>
      </c>
      <c r="B1298" s="1" t="s">
        <v>127</v>
      </c>
      <c r="C1298" s="11">
        <v>23.44</v>
      </c>
      <c r="D1298" s="11">
        <v>23.39</v>
      </c>
      <c r="E1298" s="2">
        <f t="shared" si="39"/>
        <v>5.0000000000000711E-2</v>
      </c>
      <c r="F1298" s="11">
        <v>0.19</v>
      </c>
      <c r="G1298" s="3">
        <f t="shared" si="40"/>
        <v>1.0238907849829381E-2</v>
      </c>
    </row>
    <row r="1299" spans="1:7">
      <c r="A1299" s="1">
        <v>26</v>
      </c>
      <c r="B1299" s="1" t="s">
        <v>127</v>
      </c>
      <c r="C1299" s="11">
        <v>26.55</v>
      </c>
      <c r="D1299" s="11">
        <v>26.33</v>
      </c>
      <c r="E1299" s="2">
        <f t="shared" si="39"/>
        <v>0.22000000000000242</v>
      </c>
      <c r="F1299" s="11">
        <v>0.17799999999999999</v>
      </c>
      <c r="G1299" s="3">
        <f t="shared" si="40"/>
        <v>1.4990583804143216E-2</v>
      </c>
    </row>
    <row r="1300" spans="1:7">
      <c r="A1300" s="1">
        <v>27</v>
      </c>
      <c r="B1300" s="1" t="s">
        <v>127</v>
      </c>
      <c r="C1300" s="11">
        <v>20</v>
      </c>
      <c r="D1300" s="11">
        <v>19.72</v>
      </c>
      <c r="E1300" s="2">
        <f t="shared" si="39"/>
        <v>0.28000000000000114</v>
      </c>
      <c r="F1300" s="11">
        <v>6.2E-2</v>
      </c>
      <c r="G1300" s="3">
        <f t="shared" si="40"/>
        <v>1.7100000000000056E-2</v>
      </c>
    </row>
    <row r="1301" spans="1:7">
      <c r="A1301" s="1">
        <v>28</v>
      </c>
      <c r="B1301" s="1" t="s">
        <v>127</v>
      </c>
      <c r="C1301" s="11">
        <v>0</v>
      </c>
      <c r="D1301" s="11">
        <v>0</v>
      </c>
      <c r="E1301" s="2">
        <f t="shared" si="39"/>
        <v>0</v>
      </c>
      <c r="F1301" s="11">
        <v>0.2</v>
      </c>
      <c r="G1301" s="3" t="e">
        <f t="shared" si="40"/>
        <v>#DIV/0!</v>
      </c>
    </row>
    <row r="1302" spans="1:7">
      <c r="A1302" s="1">
        <v>29</v>
      </c>
      <c r="B1302" s="1" t="s">
        <v>127</v>
      </c>
      <c r="C1302" s="11">
        <v>60</v>
      </c>
      <c r="D1302" s="11">
        <v>59.44</v>
      </c>
      <c r="E1302" s="2">
        <f t="shared" si="39"/>
        <v>0.56000000000000227</v>
      </c>
      <c r="F1302" s="11">
        <v>0.28999999999999998</v>
      </c>
      <c r="G1302" s="3">
        <f t="shared" si="40"/>
        <v>1.4166666666666706E-2</v>
      </c>
    </row>
    <row r="1303" spans="1:7">
      <c r="A1303" s="1">
        <v>30</v>
      </c>
      <c r="B1303" s="1" t="s">
        <v>127</v>
      </c>
      <c r="C1303" s="11">
        <v>23.85</v>
      </c>
      <c r="D1303" s="11">
        <v>23.65</v>
      </c>
      <c r="E1303" s="2">
        <f t="shared" si="39"/>
        <v>0.20000000000000284</v>
      </c>
      <c r="F1303" s="11">
        <v>0.16</v>
      </c>
      <c r="G1303" s="3">
        <f t="shared" si="40"/>
        <v>1.5094339622641629E-2</v>
      </c>
    </row>
    <row r="1304" spans="1:7">
      <c r="A1304" s="1">
        <v>31</v>
      </c>
      <c r="B1304" s="1" t="s">
        <v>127</v>
      </c>
      <c r="C1304" s="11">
        <v>20</v>
      </c>
      <c r="D1304" s="11">
        <v>19.829999999999998</v>
      </c>
      <c r="E1304" s="2">
        <f t="shared" si="39"/>
        <v>0.17000000000000171</v>
      </c>
      <c r="F1304" s="11">
        <v>0.14499999999999999</v>
      </c>
      <c r="G1304" s="3">
        <f t="shared" si="40"/>
        <v>1.5750000000000087E-2</v>
      </c>
    </row>
    <row r="1305" spans="1:7">
      <c r="A1305" s="1">
        <v>1</v>
      </c>
      <c r="B1305" s="1" t="s">
        <v>129</v>
      </c>
      <c r="C1305" s="11">
        <v>0</v>
      </c>
      <c r="D1305" s="11">
        <v>0</v>
      </c>
      <c r="E1305" s="2">
        <f t="shared" ref="E1305:E1367" si="41">C1305-D1305</f>
        <v>0</v>
      </c>
      <c r="F1305" s="11">
        <v>0</v>
      </c>
      <c r="G1305" s="3" t="e">
        <f t="shared" si="40"/>
        <v>#DIV/0!</v>
      </c>
    </row>
    <row r="1306" spans="1:7">
      <c r="A1306" s="1">
        <v>2</v>
      </c>
      <c r="B1306" s="1" t="s">
        <v>129</v>
      </c>
      <c r="C1306" s="11">
        <v>0</v>
      </c>
      <c r="D1306" s="11">
        <v>0</v>
      </c>
      <c r="E1306" s="2">
        <f t="shared" si="41"/>
        <v>0</v>
      </c>
      <c r="F1306" s="11">
        <v>0</v>
      </c>
      <c r="G1306" s="3" t="e">
        <f t="shared" si="40"/>
        <v>#DIV/0!</v>
      </c>
    </row>
    <row r="1307" spans="1:7">
      <c r="A1307" s="1">
        <v>3</v>
      </c>
      <c r="B1307" s="1" t="s">
        <v>129</v>
      </c>
      <c r="C1307" s="11">
        <v>0</v>
      </c>
      <c r="D1307" s="11">
        <v>0</v>
      </c>
      <c r="E1307" s="2">
        <f t="shared" si="41"/>
        <v>0</v>
      </c>
      <c r="F1307" s="11">
        <v>0</v>
      </c>
      <c r="G1307" s="3" t="e">
        <f t="shared" si="40"/>
        <v>#DIV/0!</v>
      </c>
    </row>
    <row r="1308" spans="1:7">
      <c r="A1308" s="1">
        <v>4</v>
      </c>
      <c r="B1308" s="1" t="s">
        <v>129</v>
      </c>
      <c r="C1308" s="11">
        <v>0</v>
      </c>
      <c r="D1308" s="11">
        <v>0</v>
      </c>
      <c r="E1308" s="2">
        <f t="shared" si="41"/>
        <v>0</v>
      </c>
      <c r="F1308" s="11">
        <v>0</v>
      </c>
      <c r="G1308" s="3" t="e">
        <f t="shared" si="40"/>
        <v>#DIV/0!</v>
      </c>
    </row>
    <row r="1309" spans="1:7">
      <c r="A1309" s="1">
        <v>5</v>
      </c>
      <c r="B1309" s="1" t="s">
        <v>129</v>
      </c>
      <c r="C1309" s="11">
        <v>0</v>
      </c>
      <c r="D1309" s="11">
        <v>0</v>
      </c>
      <c r="E1309" s="2">
        <f t="shared" si="41"/>
        <v>0</v>
      </c>
      <c r="F1309" s="11">
        <v>0</v>
      </c>
      <c r="G1309" s="3" t="e">
        <f t="shared" si="40"/>
        <v>#DIV/0!</v>
      </c>
    </row>
    <row r="1310" spans="1:7">
      <c r="A1310" s="1">
        <v>6</v>
      </c>
      <c r="B1310" s="1" t="s">
        <v>129</v>
      </c>
      <c r="C1310" s="11">
        <v>0</v>
      </c>
      <c r="D1310" s="11">
        <v>0</v>
      </c>
      <c r="E1310" s="2">
        <f t="shared" si="41"/>
        <v>0</v>
      </c>
      <c r="F1310" s="11">
        <v>0</v>
      </c>
      <c r="G1310" s="3" t="e">
        <f t="shared" si="40"/>
        <v>#DIV/0!</v>
      </c>
    </row>
    <row r="1311" spans="1:7">
      <c r="A1311" s="1">
        <v>7</v>
      </c>
      <c r="B1311" s="1" t="s">
        <v>129</v>
      </c>
      <c r="C1311" s="11">
        <v>0</v>
      </c>
      <c r="D1311" s="11">
        <v>0</v>
      </c>
      <c r="E1311" s="2">
        <f t="shared" si="41"/>
        <v>0</v>
      </c>
      <c r="F1311" s="11">
        <v>0</v>
      </c>
      <c r="G1311" s="3" t="e">
        <f t="shared" si="40"/>
        <v>#DIV/0!</v>
      </c>
    </row>
    <row r="1312" spans="1:7">
      <c r="A1312" s="1">
        <v>8</v>
      </c>
      <c r="B1312" s="1" t="s">
        <v>129</v>
      </c>
      <c r="C1312" s="11">
        <v>0</v>
      </c>
      <c r="D1312" s="11">
        <v>0</v>
      </c>
      <c r="E1312" s="2">
        <f t="shared" si="41"/>
        <v>0</v>
      </c>
      <c r="F1312" s="11">
        <v>0</v>
      </c>
      <c r="G1312" s="3" t="e">
        <f t="shared" si="40"/>
        <v>#DIV/0!</v>
      </c>
    </row>
    <row r="1313" spans="1:7">
      <c r="A1313" s="1">
        <v>9</v>
      </c>
      <c r="B1313" s="1" t="s">
        <v>129</v>
      </c>
      <c r="C1313" s="11">
        <v>0</v>
      </c>
      <c r="D1313" s="11">
        <v>0</v>
      </c>
      <c r="E1313" s="2">
        <f t="shared" si="41"/>
        <v>0</v>
      </c>
      <c r="F1313" s="11">
        <v>0</v>
      </c>
      <c r="G1313" s="3" t="e">
        <f t="shared" si="40"/>
        <v>#DIV/0!</v>
      </c>
    </row>
    <row r="1314" spans="1:7">
      <c r="A1314" s="1">
        <v>10</v>
      </c>
      <c r="B1314" s="1" t="s">
        <v>129</v>
      </c>
      <c r="C1314" s="11">
        <v>0</v>
      </c>
      <c r="D1314" s="11">
        <v>0</v>
      </c>
      <c r="E1314" s="2">
        <f t="shared" si="41"/>
        <v>0</v>
      </c>
      <c r="F1314" s="11">
        <v>0</v>
      </c>
      <c r="G1314" s="3" t="e">
        <f t="shared" si="40"/>
        <v>#DIV/0!</v>
      </c>
    </row>
    <row r="1315" spans="1:7">
      <c r="A1315" s="1">
        <v>11</v>
      </c>
      <c r="B1315" s="1" t="s">
        <v>129</v>
      </c>
      <c r="C1315" s="11">
        <v>0</v>
      </c>
      <c r="D1315" s="11">
        <v>0</v>
      </c>
      <c r="E1315" s="2">
        <f t="shared" si="41"/>
        <v>0</v>
      </c>
      <c r="F1315" s="11">
        <v>0</v>
      </c>
      <c r="G1315" s="3" t="e">
        <f t="shared" si="40"/>
        <v>#DIV/0!</v>
      </c>
    </row>
    <row r="1316" spans="1:7">
      <c r="A1316" s="1">
        <v>12</v>
      </c>
      <c r="B1316" s="1" t="s">
        <v>129</v>
      </c>
      <c r="C1316" s="11">
        <v>0</v>
      </c>
      <c r="D1316" s="11">
        <v>0</v>
      </c>
      <c r="E1316" s="2">
        <f t="shared" si="41"/>
        <v>0</v>
      </c>
      <c r="F1316" s="11">
        <v>0</v>
      </c>
      <c r="G1316" s="3" t="e">
        <f t="shared" si="40"/>
        <v>#DIV/0!</v>
      </c>
    </row>
    <row r="1317" spans="1:7">
      <c r="A1317" s="1">
        <v>13</v>
      </c>
      <c r="B1317" s="1" t="s">
        <v>129</v>
      </c>
      <c r="C1317" s="11">
        <v>0</v>
      </c>
      <c r="D1317" s="11">
        <v>0</v>
      </c>
      <c r="E1317" s="2">
        <f t="shared" si="41"/>
        <v>0</v>
      </c>
      <c r="F1317" s="11">
        <v>0</v>
      </c>
      <c r="G1317" s="3" t="e">
        <f t="shared" si="40"/>
        <v>#DIV/0!</v>
      </c>
    </row>
    <row r="1318" spans="1:7">
      <c r="A1318" s="1">
        <v>14</v>
      </c>
      <c r="B1318" s="1" t="s">
        <v>129</v>
      </c>
      <c r="C1318" s="11">
        <v>0</v>
      </c>
      <c r="D1318" s="11">
        <v>0</v>
      </c>
      <c r="E1318" s="2">
        <f t="shared" si="41"/>
        <v>0</v>
      </c>
      <c r="F1318" s="11">
        <v>0</v>
      </c>
      <c r="G1318" s="3" t="e">
        <f t="shared" si="40"/>
        <v>#DIV/0!</v>
      </c>
    </row>
    <row r="1319" spans="1:7">
      <c r="A1319" s="1">
        <v>15</v>
      </c>
      <c r="B1319" s="1" t="s">
        <v>129</v>
      </c>
      <c r="C1319" s="11">
        <v>0</v>
      </c>
      <c r="D1319" s="11">
        <v>0</v>
      </c>
      <c r="E1319" s="2">
        <f t="shared" si="41"/>
        <v>0</v>
      </c>
      <c r="F1319" s="11">
        <v>0</v>
      </c>
      <c r="G1319" s="3" t="e">
        <f t="shared" si="40"/>
        <v>#DIV/0!</v>
      </c>
    </row>
    <row r="1320" spans="1:7">
      <c r="A1320" s="1">
        <v>16</v>
      </c>
      <c r="B1320" s="1" t="s">
        <v>129</v>
      </c>
      <c r="C1320" s="11">
        <v>0</v>
      </c>
      <c r="D1320" s="11">
        <v>0</v>
      </c>
      <c r="E1320" s="2">
        <f t="shared" si="41"/>
        <v>0</v>
      </c>
      <c r="F1320" s="11">
        <v>0</v>
      </c>
      <c r="G1320" s="3" t="e">
        <f t="shared" si="40"/>
        <v>#DIV/0!</v>
      </c>
    </row>
    <row r="1321" spans="1:7">
      <c r="A1321" s="1">
        <v>17</v>
      </c>
      <c r="B1321" s="1" t="s">
        <v>129</v>
      </c>
      <c r="C1321" s="11">
        <v>0</v>
      </c>
      <c r="D1321" s="11">
        <v>0</v>
      </c>
      <c r="E1321" s="2">
        <f t="shared" si="41"/>
        <v>0</v>
      </c>
      <c r="F1321" s="11">
        <v>0</v>
      </c>
      <c r="G1321" s="3" t="e">
        <f t="shared" si="40"/>
        <v>#DIV/0!</v>
      </c>
    </row>
    <row r="1322" spans="1:7">
      <c r="A1322" s="1">
        <v>18</v>
      </c>
      <c r="B1322" s="1" t="s">
        <v>129</v>
      </c>
      <c r="C1322" s="11">
        <v>0</v>
      </c>
      <c r="D1322" s="11">
        <v>0</v>
      </c>
      <c r="E1322" s="2">
        <f t="shared" si="41"/>
        <v>0</v>
      </c>
      <c r="F1322" s="11">
        <v>0</v>
      </c>
      <c r="G1322" s="3" t="e">
        <f t="shared" si="40"/>
        <v>#DIV/0!</v>
      </c>
    </row>
    <row r="1323" spans="1:7">
      <c r="A1323" s="1">
        <v>19</v>
      </c>
      <c r="B1323" s="1" t="s">
        <v>129</v>
      </c>
      <c r="C1323" s="11">
        <v>0</v>
      </c>
      <c r="D1323" s="11">
        <v>0</v>
      </c>
      <c r="E1323" s="2">
        <f t="shared" si="41"/>
        <v>0</v>
      </c>
      <c r="F1323" s="11">
        <v>0</v>
      </c>
      <c r="G1323" s="3" t="e">
        <f t="shared" si="40"/>
        <v>#DIV/0!</v>
      </c>
    </row>
    <row r="1324" spans="1:7">
      <c r="A1324" s="1">
        <v>20</v>
      </c>
      <c r="B1324" s="1" t="s">
        <v>129</v>
      </c>
      <c r="C1324" s="11">
        <v>0</v>
      </c>
      <c r="D1324" s="11">
        <v>0</v>
      </c>
      <c r="E1324" s="2">
        <f t="shared" si="41"/>
        <v>0</v>
      </c>
      <c r="F1324" s="11">
        <v>0</v>
      </c>
      <c r="G1324" s="3" t="e">
        <f t="shared" si="40"/>
        <v>#DIV/0!</v>
      </c>
    </row>
    <row r="1325" spans="1:7">
      <c r="A1325" s="1">
        <v>21</v>
      </c>
      <c r="B1325" s="1" t="s">
        <v>129</v>
      </c>
      <c r="C1325" s="11">
        <v>0</v>
      </c>
      <c r="D1325" s="11">
        <v>0</v>
      </c>
      <c r="E1325" s="2">
        <f t="shared" si="41"/>
        <v>0</v>
      </c>
      <c r="F1325" s="11">
        <v>0</v>
      </c>
      <c r="G1325" s="3" t="e">
        <f t="shared" si="40"/>
        <v>#DIV/0!</v>
      </c>
    </row>
    <row r="1326" spans="1:7">
      <c r="A1326" s="1">
        <v>22</v>
      </c>
      <c r="B1326" s="1" t="s">
        <v>129</v>
      </c>
      <c r="C1326" s="11">
        <v>0</v>
      </c>
      <c r="D1326" s="11">
        <v>0</v>
      </c>
      <c r="E1326" s="2">
        <f t="shared" si="41"/>
        <v>0</v>
      </c>
      <c r="F1326" s="11">
        <v>0</v>
      </c>
      <c r="G1326" s="3" t="e">
        <f t="shared" si="40"/>
        <v>#DIV/0!</v>
      </c>
    </row>
    <row r="1327" spans="1:7">
      <c r="A1327" s="1">
        <v>23</v>
      </c>
      <c r="B1327" s="1" t="s">
        <v>129</v>
      </c>
      <c r="C1327" s="11">
        <v>0</v>
      </c>
      <c r="D1327" s="11">
        <v>0</v>
      </c>
      <c r="E1327" s="2">
        <f t="shared" si="41"/>
        <v>0</v>
      </c>
      <c r="F1327" s="11">
        <v>0</v>
      </c>
      <c r="G1327" s="3" t="e">
        <f t="shared" si="40"/>
        <v>#DIV/0!</v>
      </c>
    </row>
    <row r="1328" spans="1:7">
      <c r="A1328" s="1">
        <v>24</v>
      </c>
      <c r="B1328" s="1" t="s">
        <v>129</v>
      </c>
      <c r="C1328" s="11">
        <v>0</v>
      </c>
      <c r="D1328" s="11">
        <v>0</v>
      </c>
      <c r="E1328" s="2">
        <f t="shared" si="41"/>
        <v>0</v>
      </c>
      <c r="F1328" s="11">
        <v>0</v>
      </c>
      <c r="G1328" s="3" t="e">
        <f t="shared" si="40"/>
        <v>#DIV/0!</v>
      </c>
    </row>
    <row r="1329" spans="1:7">
      <c r="A1329" s="1">
        <v>25</v>
      </c>
      <c r="B1329" s="1" t="s">
        <v>129</v>
      </c>
      <c r="C1329" s="11">
        <v>0</v>
      </c>
      <c r="D1329" s="11">
        <v>0</v>
      </c>
      <c r="E1329" s="2">
        <f t="shared" si="41"/>
        <v>0</v>
      </c>
      <c r="F1329" s="11">
        <v>0</v>
      </c>
      <c r="G1329" s="3" t="e">
        <f t="shared" si="40"/>
        <v>#DIV/0!</v>
      </c>
    </row>
    <row r="1330" spans="1:7">
      <c r="A1330" s="1">
        <v>26</v>
      </c>
      <c r="B1330" s="1" t="s">
        <v>129</v>
      </c>
      <c r="C1330" s="11">
        <v>0</v>
      </c>
      <c r="D1330" s="11">
        <v>0</v>
      </c>
      <c r="E1330" s="2">
        <f t="shared" si="41"/>
        <v>0</v>
      </c>
      <c r="F1330" s="11">
        <v>0</v>
      </c>
      <c r="G1330" s="3" t="e">
        <f t="shared" si="40"/>
        <v>#DIV/0!</v>
      </c>
    </row>
    <row r="1331" spans="1:7">
      <c r="A1331" s="1">
        <v>27</v>
      </c>
      <c r="B1331" s="1" t="s">
        <v>129</v>
      </c>
      <c r="C1331" s="11">
        <v>0</v>
      </c>
      <c r="D1331" s="11">
        <v>0</v>
      </c>
      <c r="E1331" s="2">
        <f t="shared" si="41"/>
        <v>0</v>
      </c>
      <c r="F1331" s="11">
        <v>0</v>
      </c>
      <c r="G1331" s="3" t="e">
        <f t="shared" si="40"/>
        <v>#DIV/0!</v>
      </c>
    </row>
    <row r="1332" spans="1:7">
      <c r="A1332" s="1">
        <v>28</v>
      </c>
      <c r="B1332" s="1" t="s">
        <v>129</v>
      </c>
      <c r="C1332" s="11">
        <v>0</v>
      </c>
      <c r="D1332" s="11">
        <v>0</v>
      </c>
      <c r="E1332" s="2">
        <f t="shared" si="41"/>
        <v>0</v>
      </c>
      <c r="F1332" s="11">
        <v>0</v>
      </c>
      <c r="G1332" s="3" t="e">
        <f t="shared" si="40"/>
        <v>#DIV/0!</v>
      </c>
    </row>
    <row r="1333" spans="1:7">
      <c r="A1333" s="1">
        <v>29</v>
      </c>
      <c r="B1333" s="1" t="s">
        <v>129</v>
      </c>
      <c r="C1333" s="11">
        <v>80</v>
      </c>
      <c r="D1333" s="11">
        <v>79.36</v>
      </c>
      <c r="E1333" s="2">
        <f t="shared" si="41"/>
        <v>0.64000000000000057</v>
      </c>
      <c r="F1333" s="11">
        <v>2.4990000000000001</v>
      </c>
      <c r="G1333" s="3">
        <f t="shared" si="40"/>
        <v>3.9237500000000008E-2</v>
      </c>
    </row>
    <row r="1334" spans="1:7">
      <c r="A1334" s="1">
        <v>30</v>
      </c>
      <c r="B1334" s="1" t="s">
        <v>129</v>
      </c>
      <c r="C1334" s="11">
        <v>60</v>
      </c>
      <c r="D1334" s="11">
        <v>59.51</v>
      </c>
      <c r="E1334" s="2">
        <f t="shared" si="41"/>
        <v>0.49000000000000199</v>
      </c>
      <c r="F1334" s="11">
        <v>0.65400000000000003</v>
      </c>
      <c r="G1334" s="3">
        <f t="shared" si="40"/>
        <v>1.9066666666666697E-2</v>
      </c>
    </row>
    <row r="1335" spans="1:7">
      <c r="A1335" s="1">
        <v>31</v>
      </c>
      <c r="B1335" s="1" t="s">
        <v>129</v>
      </c>
      <c r="C1335" s="11">
        <v>60</v>
      </c>
      <c r="D1335" s="11">
        <v>59.56</v>
      </c>
      <c r="E1335" s="2">
        <f t="shared" si="41"/>
        <v>0.43999999999999773</v>
      </c>
      <c r="F1335" s="11">
        <v>0.82799999999999996</v>
      </c>
      <c r="G1335" s="3">
        <f t="shared" si="40"/>
        <v>2.1133333333333292E-2</v>
      </c>
    </row>
    <row r="1336" spans="1:7">
      <c r="A1336" s="1">
        <v>1</v>
      </c>
      <c r="B1336" s="1" t="s">
        <v>130</v>
      </c>
      <c r="C1336" s="11">
        <v>0</v>
      </c>
      <c r="D1336" s="11">
        <v>0</v>
      </c>
      <c r="E1336" s="2">
        <f t="shared" si="41"/>
        <v>0</v>
      </c>
      <c r="F1336" s="11">
        <v>0</v>
      </c>
      <c r="G1336" s="3" t="e">
        <f t="shared" si="40"/>
        <v>#DIV/0!</v>
      </c>
    </row>
    <row r="1337" spans="1:7">
      <c r="A1337" s="1">
        <v>2</v>
      </c>
      <c r="B1337" s="1" t="s">
        <v>130</v>
      </c>
      <c r="C1337" s="11">
        <v>0</v>
      </c>
      <c r="D1337" s="11">
        <v>0</v>
      </c>
      <c r="E1337" s="2">
        <f t="shared" si="41"/>
        <v>0</v>
      </c>
      <c r="F1337" s="11">
        <v>0</v>
      </c>
      <c r="G1337" s="3" t="e">
        <f t="shared" si="40"/>
        <v>#DIV/0!</v>
      </c>
    </row>
    <row r="1338" spans="1:7">
      <c r="A1338" s="1">
        <v>3</v>
      </c>
      <c r="B1338" s="1" t="s">
        <v>130</v>
      </c>
      <c r="C1338" s="11">
        <v>0</v>
      </c>
      <c r="D1338" s="11">
        <v>0</v>
      </c>
      <c r="E1338" s="2">
        <f t="shared" si="41"/>
        <v>0</v>
      </c>
      <c r="F1338" s="11">
        <v>0</v>
      </c>
      <c r="G1338" s="3" t="e">
        <f t="shared" si="40"/>
        <v>#DIV/0!</v>
      </c>
    </row>
    <row r="1339" spans="1:7">
      <c r="A1339" s="1">
        <v>4</v>
      </c>
      <c r="B1339" s="1" t="s">
        <v>130</v>
      </c>
      <c r="C1339" s="11">
        <v>0</v>
      </c>
      <c r="D1339" s="11">
        <v>0</v>
      </c>
      <c r="E1339" s="2">
        <f t="shared" si="41"/>
        <v>0</v>
      </c>
      <c r="F1339" s="11">
        <v>0</v>
      </c>
      <c r="G1339" s="3" t="e">
        <f t="shared" si="40"/>
        <v>#DIV/0!</v>
      </c>
    </row>
    <row r="1340" spans="1:7">
      <c r="A1340" s="1">
        <v>5</v>
      </c>
      <c r="B1340" s="1" t="s">
        <v>130</v>
      </c>
      <c r="C1340" s="11">
        <v>0</v>
      </c>
      <c r="D1340" s="11">
        <v>0</v>
      </c>
      <c r="E1340" s="2">
        <f t="shared" si="41"/>
        <v>0</v>
      </c>
      <c r="F1340" s="11">
        <v>0</v>
      </c>
      <c r="G1340" s="3" t="e">
        <f t="shared" si="40"/>
        <v>#DIV/0!</v>
      </c>
    </row>
    <row r="1341" spans="1:7">
      <c r="A1341" s="1">
        <v>6</v>
      </c>
      <c r="B1341" s="1" t="s">
        <v>130</v>
      </c>
      <c r="C1341" s="11">
        <v>0</v>
      </c>
      <c r="D1341" s="11">
        <v>0</v>
      </c>
      <c r="E1341" s="2">
        <f t="shared" si="41"/>
        <v>0</v>
      </c>
      <c r="F1341" s="11">
        <v>0</v>
      </c>
      <c r="G1341" s="3" t="e">
        <f t="shared" si="40"/>
        <v>#DIV/0!</v>
      </c>
    </row>
    <row r="1342" spans="1:7">
      <c r="A1342" s="1">
        <v>7</v>
      </c>
      <c r="B1342" s="1" t="s">
        <v>130</v>
      </c>
      <c r="C1342" s="11">
        <v>0</v>
      </c>
      <c r="D1342" s="11">
        <v>0</v>
      </c>
      <c r="E1342" s="2">
        <f t="shared" si="41"/>
        <v>0</v>
      </c>
      <c r="F1342" s="11">
        <v>0</v>
      </c>
      <c r="G1342" s="3" t="e">
        <f t="shared" si="40"/>
        <v>#DIV/0!</v>
      </c>
    </row>
    <row r="1343" spans="1:7">
      <c r="A1343" s="1">
        <v>8</v>
      </c>
      <c r="B1343" s="1" t="s">
        <v>130</v>
      </c>
      <c r="C1343" s="11">
        <v>0</v>
      </c>
      <c r="D1343" s="11">
        <v>0</v>
      </c>
      <c r="E1343" s="2">
        <f t="shared" si="41"/>
        <v>0</v>
      </c>
      <c r="F1343" s="11">
        <v>0</v>
      </c>
      <c r="G1343" s="3" t="e">
        <f t="shared" si="40"/>
        <v>#DIV/0!</v>
      </c>
    </row>
    <row r="1344" spans="1:7">
      <c r="A1344" s="1">
        <v>9</v>
      </c>
      <c r="B1344" s="1" t="s">
        <v>130</v>
      </c>
      <c r="C1344" s="11">
        <v>0</v>
      </c>
      <c r="D1344" s="11">
        <v>0</v>
      </c>
      <c r="E1344" s="2">
        <f t="shared" si="41"/>
        <v>0</v>
      </c>
      <c r="F1344" s="11">
        <v>0</v>
      </c>
      <c r="G1344" s="3" t="e">
        <f t="shared" si="40"/>
        <v>#DIV/0!</v>
      </c>
    </row>
    <row r="1345" spans="1:7">
      <c r="A1345" s="1">
        <v>10</v>
      </c>
      <c r="B1345" s="1" t="s">
        <v>130</v>
      </c>
      <c r="C1345" s="11">
        <v>0</v>
      </c>
      <c r="D1345" s="11">
        <v>0</v>
      </c>
      <c r="E1345" s="2">
        <f t="shared" si="41"/>
        <v>0</v>
      </c>
      <c r="F1345" s="11">
        <v>0</v>
      </c>
      <c r="G1345" s="3" t="e">
        <f t="shared" si="40"/>
        <v>#DIV/0!</v>
      </c>
    </row>
    <row r="1346" spans="1:7">
      <c r="A1346" s="1">
        <v>11</v>
      </c>
      <c r="B1346" s="1" t="s">
        <v>130</v>
      </c>
      <c r="C1346" s="11">
        <v>0</v>
      </c>
      <c r="D1346" s="11">
        <v>0</v>
      </c>
      <c r="E1346" s="2">
        <f t="shared" si="41"/>
        <v>0</v>
      </c>
      <c r="F1346" s="11">
        <v>0</v>
      </c>
      <c r="G1346" s="3" t="e">
        <f t="shared" si="40"/>
        <v>#DIV/0!</v>
      </c>
    </row>
    <row r="1347" spans="1:7">
      <c r="A1347" s="1">
        <v>12</v>
      </c>
      <c r="B1347" s="1" t="s">
        <v>130</v>
      </c>
      <c r="C1347" s="11">
        <v>0</v>
      </c>
      <c r="D1347" s="11">
        <v>0</v>
      </c>
      <c r="E1347" s="2">
        <f t="shared" si="41"/>
        <v>0</v>
      </c>
      <c r="F1347" s="11">
        <v>0</v>
      </c>
      <c r="G1347" s="3" t="e">
        <f t="shared" si="40"/>
        <v>#DIV/0!</v>
      </c>
    </row>
    <row r="1348" spans="1:7">
      <c r="A1348" s="1">
        <v>13</v>
      </c>
      <c r="B1348" s="1" t="s">
        <v>130</v>
      </c>
      <c r="C1348" s="11">
        <v>0</v>
      </c>
      <c r="D1348" s="11">
        <v>0</v>
      </c>
      <c r="E1348" s="2">
        <f t="shared" si="41"/>
        <v>0</v>
      </c>
      <c r="F1348" s="11">
        <v>0</v>
      </c>
      <c r="G1348" s="3" t="e">
        <f t="shared" si="40"/>
        <v>#DIV/0!</v>
      </c>
    </row>
    <row r="1349" spans="1:7">
      <c r="A1349" s="1">
        <v>14</v>
      </c>
      <c r="B1349" s="1" t="s">
        <v>130</v>
      </c>
      <c r="C1349" s="11">
        <v>0</v>
      </c>
      <c r="D1349" s="11">
        <v>0</v>
      </c>
      <c r="E1349" s="2">
        <f t="shared" si="41"/>
        <v>0</v>
      </c>
      <c r="F1349" s="11">
        <v>0</v>
      </c>
      <c r="G1349" s="3" t="e">
        <f t="shared" si="40"/>
        <v>#DIV/0!</v>
      </c>
    </row>
    <row r="1350" spans="1:7">
      <c r="A1350" s="1">
        <v>15</v>
      </c>
      <c r="B1350" s="1" t="s">
        <v>130</v>
      </c>
      <c r="C1350" s="11">
        <v>0</v>
      </c>
      <c r="D1350" s="11">
        <v>0</v>
      </c>
      <c r="E1350" s="2">
        <f t="shared" si="41"/>
        <v>0</v>
      </c>
      <c r="F1350" s="11">
        <v>0</v>
      </c>
      <c r="G1350" s="3" t="e">
        <f t="shared" si="40"/>
        <v>#DIV/0!</v>
      </c>
    </row>
    <row r="1351" spans="1:7">
      <c r="A1351" s="1">
        <v>16</v>
      </c>
      <c r="B1351" s="1" t="s">
        <v>130</v>
      </c>
      <c r="C1351" s="11">
        <v>0</v>
      </c>
      <c r="D1351" s="11">
        <v>0</v>
      </c>
      <c r="E1351" s="2">
        <f t="shared" si="41"/>
        <v>0</v>
      </c>
      <c r="F1351" s="11">
        <v>0</v>
      </c>
      <c r="G1351" s="3" t="e">
        <f t="shared" si="40"/>
        <v>#DIV/0!</v>
      </c>
    </row>
    <row r="1352" spans="1:7">
      <c r="A1352" s="1">
        <v>17</v>
      </c>
      <c r="B1352" s="1" t="s">
        <v>130</v>
      </c>
      <c r="C1352" s="11">
        <v>0</v>
      </c>
      <c r="D1352" s="11">
        <v>0</v>
      </c>
      <c r="E1352" s="2">
        <f t="shared" si="41"/>
        <v>0</v>
      </c>
      <c r="F1352" s="11">
        <v>0</v>
      </c>
      <c r="G1352" s="3" t="e">
        <f t="shared" si="40"/>
        <v>#DIV/0!</v>
      </c>
    </row>
    <row r="1353" spans="1:7">
      <c r="A1353" s="1">
        <v>18</v>
      </c>
      <c r="B1353" s="1" t="s">
        <v>130</v>
      </c>
      <c r="C1353" s="11">
        <v>0</v>
      </c>
      <c r="D1353" s="11">
        <v>0</v>
      </c>
      <c r="E1353" s="2">
        <f t="shared" si="41"/>
        <v>0</v>
      </c>
      <c r="F1353" s="11">
        <v>0</v>
      </c>
      <c r="G1353" s="3" t="e">
        <f t="shared" si="40"/>
        <v>#DIV/0!</v>
      </c>
    </row>
    <row r="1354" spans="1:7">
      <c r="A1354" s="1">
        <v>19</v>
      </c>
      <c r="B1354" s="1" t="s">
        <v>130</v>
      </c>
      <c r="C1354" s="11">
        <v>0</v>
      </c>
      <c r="D1354" s="11">
        <v>0</v>
      </c>
      <c r="E1354" s="2">
        <f t="shared" si="41"/>
        <v>0</v>
      </c>
      <c r="F1354" s="11">
        <v>0</v>
      </c>
      <c r="G1354" s="3" t="e">
        <f t="shared" si="40"/>
        <v>#DIV/0!</v>
      </c>
    </row>
    <row r="1355" spans="1:7">
      <c r="A1355" s="1">
        <v>20</v>
      </c>
      <c r="B1355" s="1" t="s">
        <v>130</v>
      </c>
      <c r="C1355" s="11">
        <v>0</v>
      </c>
      <c r="D1355" s="11">
        <v>0</v>
      </c>
      <c r="E1355" s="2">
        <f t="shared" si="41"/>
        <v>0</v>
      </c>
      <c r="F1355" s="11">
        <v>0</v>
      </c>
      <c r="G1355" s="3" t="e">
        <f t="shared" si="40"/>
        <v>#DIV/0!</v>
      </c>
    </row>
    <row r="1356" spans="1:7">
      <c r="A1356" s="1">
        <v>21</v>
      </c>
      <c r="B1356" s="1" t="s">
        <v>130</v>
      </c>
      <c r="C1356" s="11">
        <v>0</v>
      </c>
      <c r="D1356" s="11">
        <v>0</v>
      </c>
      <c r="E1356" s="2">
        <f t="shared" si="41"/>
        <v>0</v>
      </c>
      <c r="F1356" s="11">
        <v>0</v>
      </c>
      <c r="G1356" s="3" t="e">
        <f t="shared" si="40"/>
        <v>#DIV/0!</v>
      </c>
    </row>
    <row r="1357" spans="1:7">
      <c r="A1357" s="1">
        <v>22</v>
      </c>
      <c r="B1357" s="1" t="s">
        <v>130</v>
      </c>
      <c r="C1357" s="11">
        <v>0</v>
      </c>
      <c r="D1357" s="11">
        <v>0</v>
      </c>
      <c r="E1357" s="2">
        <f t="shared" si="41"/>
        <v>0</v>
      </c>
      <c r="F1357" s="11">
        <v>0</v>
      </c>
      <c r="G1357" s="3" t="e">
        <f t="shared" si="40"/>
        <v>#DIV/0!</v>
      </c>
    </row>
    <row r="1358" spans="1:7">
      <c r="A1358" s="1">
        <v>23</v>
      </c>
      <c r="B1358" s="1" t="s">
        <v>130</v>
      </c>
      <c r="C1358" s="11">
        <v>0</v>
      </c>
      <c r="D1358" s="11">
        <v>0</v>
      </c>
      <c r="E1358" s="2">
        <f t="shared" si="41"/>
        <v>0</v>
      </c>
      <c r="F1358" s="11">
        <v>0</v>
      </c>
      <c r="G1358" s="3" t="e">
        <f t="shared" si="40"/>
        <v>#DIV/0!</v>
      </c>
    </row>
    <row r="1359" spans="1:7">
      <c r="A1359" s="1">
        <v>24</v>
      </c>
      <c r="B1359" s="1" t="s">
        <v>130</v>
      </c>
      <c r="C1359" s="11">
        <v>0</v>
      </c>
      <c r="D1359" s="11">
        <v>0</v>
      </c>
      <c r="E1359" s="2">
        <f t="shared" si="41"/>
        <v>0</v>
      </c>
      <c r="F1359" s="11">
        <v>0</v>
      </c>
      <c r="G1359" s="3" t="e">
        <f t="shared" si="40"/>
        <v>#DIV/0!</v>
      </c>
    </row>
    <row r="1360" spans="1:7">
      <c r="A1360" s="1">
        <v>25</v>
      </c>
      <c r="B1360" s="1" t="s">
        <v>130</v>
      </c>
      <c r="C1360" s="11">
        <v>0</v>
      </c>
      <c r="D1360" s="11">
        <v>0</v>
      </c>
      <c r="E1360" s="2">
        <f t="shared" si="41"/>
        <v>0</v>
      </c>
      <c r="F1360" s="11">
        <v>0</v>
      </c>
      <c r="G1360" s="3" t="e">
        <f t="shared" si="40"/>
        <v>#DIV/0!</v>
      </c>
    </row>
    <row r="1361" spans="1:7">
      <c r="A1361" s="1">
        <v>26</v>
      </c>
      <c r="B1361" s="1" t="s">
        <v>130</v>
      </c>
      <c r="C1361" s="11">
        <v>0</v>
      </c>
      <c r="D1361" s="11">
        <v>0</v>
      </c>
      <c r="E1361" s="2">
        <f t="shared" si="41"/>
        <v>0</v>
      </c>
      <c r="F1361" s="11">
        <v>0</v>
      </c>
      <c r="G1361" s="3" t="e">
        <f t="shared" si="40"/>
        <v>#DIV/0!</v>
      </c>
    </row>
    <row r="1362" spans="1:7">
      <c r="A1362" s="1">
        <v>27</v>
      </c>
      <c r="B1362" s="1" t="s">
        <v>130</v>
      </c>
      <c r="C1362" s="11">
        <v>0</v>
      </c>
      <c r="D1362" s="11">
        <v>0</v>
      </c>
      <c r="E1362" s="2">
        <f t="shared" si="41"/>
        <v>0</v>
      </c>
      <c r="F1362" s="11">
        <v>0</v>
      </c>
      <c r="G1362" s="3" t="e">
        <f t="shared" si="40"/>
        <v>#DIV/0!</v>
      </c>
    </row>
    <row r="1363" spans="1:7">
      <c r="A1363" s="1">
        <v>28</v>
      </c>
      <c r="B1363" s="1" t="s">
        <v>130</v>
      </c>
      <c r="C1363" s="11">
        <v>0</v>
      </c>
      <c r="D1363" s="11">
        <v>0</v>
      </c>
      <c r="E1363" s="2">
        <f t="shared" si="41"/>
        <v>0</v>
      </c>
      <c r="F1363" s="11">
        <v>0</v>
      </c>
      <c r="G1363" s="3" t="e">
        <f t="shared" si="40"/>
        <v>#DIV/0!</v>
      </c>
    </row>
    <row r="1364" spans="1:7">
      <c r="A1364" s="1">
        <v>29</v>
      </c>
      <c r="B1364" s="1" t="s">
        <v>130</v>
      </c>
      <c r="C1364" s="11">
        <v>0</v>
      </c>
      <c r="D1364" s="11">
        <v>0</v>
      </c>
      <c r="E1364" s="2">
        <f t="shared" si="41"/>
        <v>0</v>
      </c>
      <c r="F1364" s="11">
        <v>0</v>
      </c>
      <c r="G1364" s="3" t="e">
        <f t="shared" si="40"/>
        <v>#DIV/0!</v>
      </c>
    </row>
    <row r="1365" spans="1:7">
      <c r="A1365" s="1">
        <v>30</v>
      </c>
      <c r="B1365" s="1" t="s">
        <v>130</v>
      </c>
      <c r="C1365" s="11">
        <v>60</v>
      </c>
      <c r="D1365" s="11">
        <v>59.92</v>
      </c>
      <c r="E1365" s="2">
        <f t="shared" si="41"/>
        <v>7.9999999999998295E-2</v>
      </c>
      <c r="F1365" s="11">
        <v>1.05</v>
      </c>
      <c r="G1365" s="3">
        <f t="shared" si="40"/>
        <v>1.8833333333333306E-2</v>
      </c>
    </row>
    <row r="1366" spans="1:7">
      <c r="A1366" s="1">
        <v>31</v>
      </c>
      <c r="B1366" s="1" t="s">
        <v>130</v>
      </c>
      <c r="C1366" s="11">
        <v>0</v>
      </c>
      <c r="D1366" s="11">
        <v>0</v>
      </c>
      <c r="E1366" s="2">
        <f t="shared" si="41"/>
        <v>0</v>
      </c>
      <c r="F1366" s="11">
        <v>0.307</v>
      </c>
      <c r="G1366" s="3" t="e">
        <f t="shared" si="40"/>
        <v>#DIV/0!</v>
      </c>
    </row>
    <row r="1367" spans="1:7">
      <c r="A1367" s="1">
        <v>1</v>
      </c>
      <c r="B1367" s="1" t="s">
        <v>131</v>
      </c>
      <c r="C1367" s="11">
        <v>0</v>
      </c>
      <c r="D1367" s="11">
        <v>0</v>
      </c>
      <c r="E1367" s="2">
        <f t="shared" si="41"/>
        <v>0</v>
      </c>
      <c r="F1367" s="11">
        <v>0</v>
      </c>
      <c r="G1367" s="3" t="e">
        <f t="shared" ref="G1367:G1397" si="42">(E1367+F1367)/C1367</f>
        <v>#DIV/0!</v>
      </c>
    </row>
    <row r="1368" spans="1:7">
      <c r="A1368" s="1">
        <v>2</v>
      </c>
      <c r="B1368" s="1" t="s">
        <v>131</v>
      </c>
      <c r="C1368" s="11">
        <v>0</v>
      </c>
      <c r="D1368" s="11">
        <v>0</v>
      </c>
      <c r="E1368" s="2">
        <f t="shared" ref="E1368:E1397" si="43">C1368-D1368</f>
        <v>0</v>
      </c>
      <c r="F1368" s="11">
        <v>0</v>
      </c>
      <c r="G1368" s="3" t="e">
        <f t="shared" si="42"/>
        <v>#DIV/0!</v>
      </c>
    </row>
    <row r="1369" spans="1:7">
      <c r="A1369" s="1">
        <v>3</v>
      </c>
      <c r="B1369" s="1" t="s">
        <v>131</v>
      </c>
      <c r="C1369" s="11">
        <v>0</v>
      </c>
      <c r="D1369" s="11">
        <v>0</v>
      </c>
      <c r="E1369" s="2">
        <f t="shared" si="43"/>
        <v>0</v>
      </c>
      <c r="F1369" s="11">
        <v>0</v>
      </c>
      <c r="G1369" s="3" t="e">
        <f t="shared" si="42"/>
        <v>#DIV/0!</v>
      </c>
    </row>
    <row r="1370" spans="1:7">
      <c r="A1370" s="1">
        <v>4</v>
      </c>
      <c r="B1370" s="1" t="s">
        <v>131</v>
      </c>
      <c r="C1370" s="11">
        <v>0</v>
      </c>
      <c r="D1370" s="11">
        <v>0</v>
      </c>
      <c r="E1370" s="2">
        <f t="shared" si="43"/>
        <v>0</v>
      </c>
      <c r="F1370" s="11">
        <v>0</v>
      </c>
      <c r="G1370" s="3" t="e">
        <f t="shared" si="42"/>
        <v>#DIV/0!</v>
      </c>
    </row>
    <row r="1371" spans="1:7">
      <c r="A1371" s="1">
        <v>5</v>
      </c>
      <c r="B1371" s="1" t="s">
        <v>131</v>
      </c>
      <c r="C1371" s="11">
        <v>0</v>
      </c>
      <c r="D1371" s="11">
        <v>0</v>
      </c>
      <c r="E1371" s="2">
        <f t="shared" si="43"/>
        <v>0</v>
      </c>
      <c r="F1371" s="11">
        <v>0</v>
      </c>
      <c r="G1371" s="3" t="e">
        <f t="shared" si="42"/>
        <v>#DIV/0!</v>
      </c>
    </row>
    <row r="1372" spans="1:7">
      <c r="A1372" s="1">
        <v>6</v>
      </c>
      <c r="B1372" s="1" t="s">
        <v>131</v>
      </c>
      <c r="C1372" s="11">
        <v>0</v>
      </c>
      <c r="D1372" s="11">
        <v>0</v>
      </c>
      <c r="E1372" s="2">
        <f t="shared" si="43"/>
        <v>0</v>
      </c>
      <c r="F1372" s="11">
        <v>0</v>
      </c>
      <c r="G1372" s="3" t="e">
        <f t="shared" si="42"/>
        <v>#DIV/0!</v>
      </c>
    </row>
    <row r="1373" spans="1:7">
      <c r="A1373" s="1">
        <v>7</v>
      </c>
      <c r="B1373" s="1" t="s">
        <v>131</v>
      </c>
      <c r="C1373" s="11">
        <v>0</v>
      </c>
      <c r="D1373" s="11">
        <v>0</v>
      </c>
      <c r="E1373" s="2">
        <f t="shared" si="43"/>
        <v>0</v>
      </c>
      <c r="F1373" s="11">
        <v>0</v>
      </c>
      <c r="G1373" s="3" t="e">
        <f t="shared" si="42"/>
        <v>#DIV/0!</v>
      </c>
    </row>
    <row r="1374" spans="1:7">
      <c r="A1374" s="1">
        <v>8</v>
      </c>
      <c r="B1374" s="1" t="s">
        <v>131</v>
      </c>
      <c r="C1374" s="11">
        <v>0</v>
      </c>
      <c r="D1374" s="11">
        <v>0</v>
      </c>
      <c r="E1374" s="2">
        <f t="shared" si="43"/>
        <v>0</v>
      </c>
      <c r="F1374" s="11">
        <v>0</v>
      </c>
      <c r="G1374" s="3" t="e">
        <f t="shared" si="42"/>
        <v>#DIV/0!</v>
      </c>
    </row>
    <row r="1375" spans="1:7">
      <c r="A1375" s="1">
        <v>9</v>
      </c>
      <c r="B1375" s="1" t="s">
        <v>131</v>
      </c>
      <c r="C1375" s="11">
        <v>0</v>
      </c>
      <c r="D1375" s="11">
        <v>0</v>
      </c>
      <c r="E1375" s="2">
        <f t="shared" si="43"/>
        <v>0</v>
      </c>
      <c r="F1375" s="11">
        <v>0</v>
      </c>
      <c r="G1375" s="3" t="e">
        <f t="shared" si="42"/>
        <v>#DIV/0!</v>
      </c>
    </row>
    <row r="1376" spans="1:7">
      <c r="A1376" s="1">
        <v>10</v>
      </c>
      <c r="B1376" s="1" t="s">
        <v>131</v>
      </c>
      <c r="C1376" s="11">
        <v>0</v>
      </c>
      <c r="D1376" s="11">
        <v>0</v>
      </c>
      <c r="E1376" s="2">
        <f t="shared" si="43"/>
        <v>0</v>
      </c>
      <c r="F1376" s="11">
        <v>0</v>
      </c>
      <c r="G1376" s="3" t="e">
        <f t="shared" si="42"/>
        <v>#DIV/0!</v>
      </c>
    </row>
    <row r="1377" spans="1:7">
      <c r="A1377" s="1">
        <v>11</v>
      </c>
      <c r="B1377" s="1" t="s">
        <v>131</v>
      </c>
      <c r="C1377" s="11">
        <v>0</v>
      </c>
      <c r="D1377" s="11">
        <v>0</v>
      </c>
      <c r="E1377" s="2">
        <f t="shared" si="43"/>
        <v>0</v>
      </c>
      <c r="F1377" s="11">
        <v>0</v>
      </c>
      <c r="G1377" s="3" t="e">
        <f t="shared" si="42"/>
        <v>#DIV/0!</v>
      </c>
    </row>
    <row r="1378" spans="1:7">
      <c r="A1378" s="1">
        <v>12</v>
      </c>
      <c r="B1378" s="1" t="s">
        <v>131</v>
      </c>
      <c r="C1378" s="11">
        <v>0</v>
      </c>
      <c r="D1378" s="11">
        <v>0</v>
      </c>
      <c r="E1378" s="2">
        <f t="shared" si="43"/>
        <v>0</v>
      </c>
      <c r="F1378" s="11">
        <v>0</v>
      </c>
      <c r="G1378" s="3" t="e">
        <f t="shared" si="42"/>
        <v>#DIV/0!</v>
      </c>
    </row>
    <row r="1379" spans="1:7">
      <c r="A1379" s="1">
        <v>13</v>
      </c>
      <c r="B1379" s="1" t="s">
        <v>131</v>
      </c>
      <c r="C1379" s="11">
        <v>0</v>
      </c>
      <c r="D1379" s="11">
        <v>0</v>
      </c>
      <c r="E1379" s="2">
        <f t="shared" si="43"/>
        <v>0</v>
      </c>
      <c r="F1379" s="11">
        <v>0</v>
      </c>
      <c r="G1379" s="3" t="e">
        <f t="shared" si="42"/>
        <v>#DIV/0!</v>
      </c>
    </row>
    <row r="1380" spans="1:7">
      <c r="A1380" s="1">
        <v>14</v>
      </c>
      <c r="B1380" s="1" t="s">
        <v>131</v>
      </c>
      <c r="C1380" s="11">
        <v>0</v>
      </c>
      <c r="D1380" s="11">
        <v>0</v>
      </c>
      <c r="E1380" s="2">
        <f t="shared" si="43"/>
        <v>0</v>
      </c>
      <c r="F1380" s="11">
        <v>0</v>
      </c>
      <c r="G1380" s="3" t="e">
        <f t="shared" si="42"/>
        <v>#DIV/0!</v>
      </c>
    </row>
    <row r="1381" spans="1:7">
      <c r="A1381" s="1">
        <v>15</v>
      </c>
      <c r="B1381" s="1" t="s">
        <v>131</v>
      </c>
      <c r="C1381" s="11">
        <v>0</v>
      </c>
      <c r="D1381" s="11">
        <v>0</v>
      </c>
      <c r="E1381" s="2">
        <f t="shared" si="43"/>
        <v>0</v>
      </c>
      <c r="F1381" s="11">
        <v>0</v>
      </c>
      <c r="G1381" s="3" t="e">
        <f t="shared" si="42"/>
        <v>#DIV/0!</v>
      </c>
    </row>
    <row r="1382" spans="1:7">
      <c r="A1382" s="1">
        <v>16</v>
      </c>
      <c r="B1382" s="1" t="s">
        <v>131</v>
      </c>
      <c r="C1382" s="11">
        <v>0</v>
      </c>
      <c r="D1382" s="11">
        <v>0</v>
      </c>
      <c r="E1382" s="2">
        <f t="shared" si="43"/>
        <v>0</v>
      </c>
      <c r="F1382" s="11">
        <v>0</v>
      </c>
      <c r="G1382" s="3" t="e">
        <f t="shared" si="42"/>
        <v>#DIV/0!</v>
      </c>
    </row>
    <row r="1383" spans="1:7">
      <c r="A1383" s="1">
        <v>17</v>
      </c>
      <c r="B1383" s="1" t="s">
        <v>131</v>
      </c>
      <c r="C1383" s="11">
        <v>0</v>
      </c>
      <c r="D1383" s="11">
        <v>0</v>
      </c>
      <c r="E1383" s="2">
        <f t="shared" si="43"/>
        <v>0</v>
      </c>
      <c r="F1383" s="11">
        <v>0</v>
      </c>
      <c r="G1383" s="3" t="e">
        <f t="shared" si="42"/>
        <v>#DIV/0!</v>
      </c>
    </row>
    <row r="1384" spans="1:7">
      <c r="A1384" s="1">
        <v>18</v>
      </c>
      <c r="B1384" s="1" t="s">
        <v>131</v>
      </c>
      <c r="C1384" s="11">
        <v>0</v>
      </c>
      <c r="D1384" s="11">
        <v>0</v>
      </c>
      <c r="E1384" s="2">
        <f t="shared" si="43"/>
        <v>0</v>
      </c>
      <c r="F1384" s="11">
        <v>0</v>
      </c>
      <c r="G1384" s="3" t="e">
        <f t="shared" si="42"/>
        <v>#DIV/0!</v>
      </c>
    </row>
    <row r="1385" spans="1:7">
      <c r="A1385" s="1">
        <v>19</v>
      </c>
      <c r="B1385" s="1" t="s">
        <v>131</v>
      </c>
      <c r="C1385" s="11">
        <v>0</v>
      </c>
      <c r="D1385" s="11">
        <v>0</v>
      </c>
      <c r="E1385" s="2">
        <f t="shared" si="43"/>
        <v>0</v>
      </c>
      <c r="F1385" s="11">
        <v>0</v>
      </c>
      <c r="G1385" s="3" t="e">
        <f t="shared" si="42"/>
        <v>#DIV/0!</v>
      </c>
    </row>
    <row r="1386" spans="1:7">
      <c r="A1386" s="1">
        <v>20</v>
      </c>
      <c r="B1386" s="1" t="s">
        <v>131</v>
      </c>
      <c r="C1386" s="11">
        <v>0</v>
      </c>
      <c r="D1386" s="11">
        <v>0</v>
      </c>
      <c r="E1386" s="2">
        <f t="shared" si="43"/>
        <v>0</v>
      </c>
      <c r="F1386" s="11">
        <v>0</v>
      </c>
      <c r="G1386" s="3" t="e">
        <f t="shared" si="42"/>
        <v>#DIV/0!</v>
      </c>
    </row>
    <row r="1387" spans="1:7">
      <c r="A1387" s="1">
        <v>21</v>
      </c>
      <c r="B1387" s="1" t="s">
        <v>131</v>
      </c>
      <c r="C1387" s="11">
        <v>0</v>
      </c>
      <c r="D1387" s="11">
        <v>0</v>
      </c>
      <c r="E1387" s="2">
        <f t="shared" si="43"/>
        <v>0</v>
      </c>
      <c r="F1387" s="11">
        <v>0</v>
      </c>
      <c r="G1387" s="3" t="e">
        <f t="shared" si="42"/>
        <v>#DIV/0!</v>
      </c>
    </row>
    <row r="1388" spans="1:7">
      <c r="A1388" s="1">
        <v>22</v>
      </c>
      <c r="B1388" s="1" t="s">
        <v>131</v>
      </c>
      <c r="C1388" s="11">
        <v>0</v>
      </c>
      <c r="D1388" s="11">
        <v>0</v>
      </c>
      <c r="E1388" s="2">
        <f t="shared" si="43"/>
        <v>0</v>
      </c>
      <c r="F1388" s="11">
        <v>0</v>
      </c>
      <c r="G1388" s="3" t="e">
        <f t="shared" si="42"/>
        <v>#DIV/0!</v>
      </c>
    </row>
    <row r="1389" spans="1:7">
      <c r="A1389" s="1">
        <v>23</v>
      </c>
      <c r="B1389" s="1" t="s">
        <v>131</v>
      </c>
      <c r="C1389" s="11">
        <v>0</v>
      </c>
      <c r="D1389" s="11">
        <v>0</v>
      </c>
      <c r="E1389" s="2">
        <f t="shared" si="43"/>
        <v>0</v>
      </c>
      <c r="F1389" s="11">
        <v>0</v>
      </c>
      <c r="G1389" s="3" t="e">
        <f t="shared" si="42"/>
        <v>#DIV/0!</v>
      </c>
    </row>
    <row r="1390" spans="1:7">
      <c r="A1390" s="1">
        <v>24</v>
      </c>
      <c r="B1390" s="1" t="s">
        <v>131</v>
      </c>
      <c r="C1390" s="11">
        <v>0</v>
      </c>
      <c r="D1390" s="11">
        <v>0</v>
      </c>
      <c r="E1390" s="2">
        <f t="shared" si="43"/>
        <v>0</v>
      </c>
      <c r="F1390" s="11">
        <v>0</v>
      </c>
      <c r="G1390" s="3" t="e">
        <f t="shared" si="42"/>
        <v>#DIV/0!</v>
      </c>
    </row>
    <row r="1391" spans="1:7">
      <c r="A1391" s="1">
        <v>25</v>
      </c>
      <c r="B1391" s="1" t="s">
        <v>131</v>
      </c>
      <c r="C1391" s="11">
        <v>0</v>
      </c>
      <c r="D1391" s="11">
        <v>0</v>
      </c>
      <c r="E1391" s="2">
        <f t="shared" si="43"/>
        <v>0</v>
      </c>
      <c r="F1391" s="11">
        <v>0</v>
      </c>
      <c r="G1391" s="3" t="e">
        <f t="shared" si="42"/>
        <v>#DIV/0!</v>
      </c>
    </row>
    <row r="1392" spans="1:7">
      <c r="A1392" s="1">
        <v>26</v>
      </c>
      <c r="B1392" s="1" t="s">
        <v>131</v>
      </c>
      <c r="C1392" s="11">
        <v>0</v>
      </c>
      <c r="D1392" s="11">
        <v>0</v>
      </c>
      <c r="E1392" s="2">
        <f t="shared" si="43"/>
        <v>0</v>
      </c>
      <c r="F1392" s="11">
        <v>0</v>
      </c>
      <c r="G1392" s="3" t="e">
        <f t="shared" si="42"/>
        <v>#DIV/0!</v>
      </c>
    </row>
    <row r="1393" spans="1:7">
      <c r="A1393" s="1">
        <v>27</v>
      </c>
      <c r="B1393" s="1" t="s">
        <v>131</v>
      </c>
      <c r="C1393" s="11">
        <v>0</v>
      </c>
      <c r="D1393" s="11">
        <v>0</v>
      </c>
      <c r="E1393" s="2">
        <f t="shared" si="43"/>
        <v>0</v>
      </c>
      <c r="F1393" s="11">
        <v>0</v>
      </c>
      <c r="G1393" s="3" t="e">
        <f t="shared" si="42"/>
        <v>#DIV/0!</v>
      </c>
    </row>
    <row r="1394" spans="1:7">
      <c r="A1394" s="1">
        <v>28</v>
      </c>
      <c r="B1394" s="1" t="s">
        <v>131</v>
      </c>
      <c r="C1394" s="11">
        <v>0</v>
      </c>
      <c r="D1394" s="11">
        <v>0</v>
      </c>
      <c r="E1394" s="2">
        <f t="shared" si="43"/>
        <v>0</v>
      </c>
      <c r="F1394" s="11">
        <v>0</v>
      </c>
      <c r="G1394" s="3" t="e">
        <f t="shared" si="42"/>
        <v>#DIV/0!</v>
      </c>
    </row>
    <row r="1395" spans="1:7">
      <c r="A1395" s="1">
        <v>29</v>
      </c>
      <c r="B1395" s="1" t="s">
        <v>131</v>
      </c>
      <c r="C1395" s="11">
        <v>0</v>
      </c>
      <c r="D1395" s="11">
        <v>0</v>
      </c>
      <c r="E1395" s="2">
        <f t="shared" si="43"/>
        <v>0</v>
      </c>
      <c r="F1395" s="11">
        <v>0</v>
      </c>
      <c r="G1395" s="3" t="e">
        <f t="shared" si="42"/>
        <v>#DIV/0!</v>
      </c>
    </row>
    <row r="1396" spans="1:7">
      <c r="A1396" s="1">
        <v>30</v>
      </c>
      <c r="B1396" s="1" t="s">
        <v>131</v>
      </c>
      <c r="C1396" s="11">
        <v>0</v>
      </c>
      <c r="D1396" s="11">
        <v>0</v>
      </c>
      <c r="E1396" s="2">
        <f t="shared" si="43"/>
        <v>0</v>
      </c>
      <c r="F1396" s="11">
        <v>0</v>
      </c>
      <c r="G1396" s="3" t="e">
        <f t="shared" si="42"/>
        <v>#DIV/0!</v>
      </c>
    </row>
    <row r="1397" spans="1:7">
      <c r="A1397" s="1">
        <v>31</v>
      </c>
      <c r="B1397" s="1" t="s">
        <v>131</v>
      </c>
      <c r="C1397" s="11">
        <v>60</v>
      </c>
      <c r="D1397" s="11">
        <v>59.82</v>
      </c>
      <c r="E1397" s="2">
        <f t="shared" si="43"/>
        <v>0.17999999999999972</v>
      </c>
      <c r="F1397" s="11">
        <v>0.222</v>
      </c>
      <c r="G1397" s="3">
        <f t="shared" si="42"/>
        <v>6.699999999999995E-3</v>
      </c>
    </row>
    <row r="1398" spans="1:7">
      <c r="A1398" s="1">
        <v>1</v>
      </c>
      <c r="B1398" s="1" t="s">
        <v>44</v>
      </c>
      <c r="C1398" s="11">
        <v>0</v>
      </c>
      <c r="D1398" s="11">
        <v>0</v>
      </c>
      <c r="E1398" s="2">
        <f t="shared" si="37"/>
        <v>0</v>
      </c>
      <c r="F1398" s="11">
        <v>8.7999999999999995E-2</v>
      </c>
      <c r="G1398" s="3" t="e">
        <f t="shared" si="30"/>
        <v>#DIV/0!</v>
      </c>
    </row>
    <row r="1399" spans="1:7">
      <c r="A1399" s="1">
        <v>2</v>
      </c>
      <c r="B1399" s="1" t="s">
        <v>44</v>
      </c>
      <c r="C1399" s="11">
        <v>0</v>
      </c>
      <c r="D1399" s="11">
        <v>0</v>
      </c>
      <c r="E1399" s="2">
        <f t="shared" si="37"/>
        <v>0</v>
      </c>
      <c r="F1399" s="11">
        <v>7.3999999999999996E-2</v>
      </c>
      <c r="G1399" s="3" t="e">
        <f t="shared" si="30"/>
        <v>#DIV/0!</v>
      </c>
    </row>
    <row r="1400" spans="1:7">
      <c r="A1400" s="1">
        <v>3</v>
      </c>
      <c r="B1400" s="1" t="s">
        <v>44</v>
      </c>
      <c r="C1400" s="11">
        <v>0</v>
      </c>
      <c r="D1400" s="11">
        <v>0</v>
      </c>
      <c r="E1400" s="2">
        <f t="shared" si="37"/>
        <v>0</v>
      </c>
      <c r="F1400" s="11">
        <v>6.2E-2</v>
      </c>
      <c r="G1400" s="3" t="e">
        <f t="shared" ref="G1400:G1428" si="44">(E1400+F1400)/C1400</f>
        <v>#DIV/0!</v>
      </c>
    </row>
    <row r="1401" spans="1:7">
      <c r="A1401" s="1">
        <v>4</v>
      </c>
      <c r="B1401" s="1" t="s">
        <v>44</v>
      </c>
      <c r="C1401" s="11">
        <v>20</v>
      </c>
      <c r="D1401" s="11">
        <v>19.95</v>
      </c>
      <c r="E1401" s="2">
        <f t="shared" si="37"/>
        <v>5.0000000000000711E-2</v>
      </c>
      <c r="F1401" s="11">
        <v>8.2000000000000003E-2</v>
      </c>
      <c r="G1401" s="3">
        <f t="shared" si="44"/>
        <v>6.6000000000000364E-3</v>
      </c>
    </row>
    <row r="1402" spans="1:7">
      <c r="A1402" s="1">
        <v>5</v>
      </c>
      <c r="B1402" s="1" t="s">
        <v>44</v>
      </c>
      <c r="C1402" s="11">
        <v>0</v>
      </c>
      <c r="D1402" s="11">
        <v>0</v>
      </c>
      <c r="E1402" s="2">
        <f t="shared" si="37"/>
        <v>0</v>
      </c>
      <c r="F1402" s="11">
        <v>7.8E-2</v>
      </c>
      <c r="G1402" s="3" t="e">
        <f t="shared" si="44"/>
        <v>#DIV/0!</v>
      </c>
    </row>
    <row r="1403" spans="1:7">
      <c r="A1403" s="1">
        <v>6</v>
      </c>
      <c r="B1403" s="1" t="s">
        <v>44</v>
      </c>
      <c r="C1403" s="11">
        <v>0</v>
      </c>
      <c r="D1403" s="11">
        <v>0</v>
      </c>
      <c r="E1403" s="2">
        <f t="shared" si="37"/>
        <v>0</v>
      </c>
      <c r="F1403" s="11">
        <v>6.4000000000000001E-2</v>
      </c>
      <c r="G1403" s="3" t="e">
        <f t="shared" si="44"/>
        <v>#DIV/0!</v>
      </c>
    </row>
    <row r="1404" spans="1:7">
      <c r="A1404" s="1">
        <v>7</v>
      </c>
      <c r="B1404" s="1" t="s">
        <v>44</v>
      </c>
      <c r="C1404" s="11">
        <v>20</v>
      </c>
      <c r="D1404" s="11">
        <v>19.91</v>
      </c>
      <c r="E1404" s="2">
        <f t="shared" si="37"/>
        <v>8.9999999999999858E-2</v>
      </c>
      <c r="F1404" s="11">
        <v>8.4000000000000005E-2</v>
      </c>
      <c r="G1404" s="3">
        <f t="shared" si="44"/>
        <v>8.6999999999999942E-3</v>
      </c>
    </row>
    <row r="1405" spans="1:7">
      <c r="A1405" s="1">
        <v>10</v>
      </c>
      <c r="B1405" s="1" t="s">
        <v>44</v>
      </c>
      <c r="C1405" s="11">
        <v>0</v>
      </c>
      <c r="D1405" s="11">
        <v>0</v>
      </c>
      <c r="E1405" s="2">
        <f t="shared" si="37"/>
        <v>0</v>
      </c>
      <c r="F1405" s="11">
        <v>8.2000000000000003E-2</v>
      </c>
      <c r="G1405" s="3" t="e">
        <f t="shared" si="44"/>
        <v>#DIV/0!</v>
      </c>
    </row>
    <row r="1406" spans="1:7">
      <c r="A1406" s="1">
        <v>8</v>
      </c>
      <c r="B1406" s="1" t="s">
        <v>44</v>
      </c>
      <c r="C1406" s="11">
        <v>0</v>
      </c>
      <c r="D1406" s="11">
        <v>0</v>
      </c>
      <c r="E1406" s="2">
        <f t="shared" ref="E1406:E1428" si="45">C1406-D1406</f>
        <v>0</v>
      </c>
      <c r="F1406" s="11">
        <v>7.3999999999999996E-2</v>
      </c>
      <c r="G1406" s="3" t="e">
        <f t="shared" si="44"/>
        <v>#DIV/0!</v>
      </c>
    </row>
    <row r="1407" spans="1:7">
      <c r="A1407" s="1">
        <v>9</v>
      </c>
      <c r="B1407" s="1" t="s">
        <v>44</v>
      </c>
      <c r="C1407" s="11">
        <v>0</v>
      </c>
      <c r="D1407" s="11">
        <v>0</v>
      </c>
      <c r="E1407" s="2">
        <f t="shared" si="45"/>
        <v>0</v>
      </c>
      <c r="F1407" s="11">
        <v>7.3999999999999996E-2</v>
      </c>
      <c r="G1407" s="3" t="e">
        <f t="shared" si="44"/>
        <v>#DIV/0!</v>
      </c>
    </row>
    <row r="1408" spans="1:7">
      <c r="A1408" s="1">
        <v>11</v>
      </c>
      <c r="B1408" s="1" t="s">
        <v>44</v>
      </c>
      <c r="C1408" s="11">
        <v>22.99</v>
      </c>
      <c r="D1408" s="11">
        <v>22.82</v>
      </c>
      <c r="E1408" s="2">
        <f t="shared" si="45"/>
        <v>0.16999999999999815</v>
      </c>
      <c r="F1408" s="11">
        <v>7.5999999999999998E-2</v>
      </c>
      <c r="G1408" s="3">
        <f t="shared" si="44"/>
        <v>1.0700304480208707E-2</v>
      </c>
    </row>
    <row r="1409" spans="1:7">
      <c r="A1409" s="1">
        <v>12</v>
      </c>
      <c r="B1409" s="1" t="s">
        <v>44</v>
      </c>
      <c r="C1409" s="11">
        <v>0</v>
      </c>
      <c r="D1409" s="11">
        <v>0</v>
      </c>
      <c r="E1409" s="2">
        <f t="shared" si="45"/>
        <v>0</v>
      </c>
      <c r="F1409" s="11">
        <v>7.0000000000000007E-2</v>
      </c>
      <c r="G1409" s="3" t="e">
        <f t="shared" si="44"/>
        <v>#DIV/0!</v>
      </c>
    </row>
    <row r="1410" spans="1:7">
      <c r="A1410" s="1">
        <v>13</v>
      </c>
      <c r="B1410" s="1" t="s">
        <v>44</v>
      </c>
      <c r="C1410" s="11">
        <v>0</v>
      </c>
      <c r="D1410" s="11">
        <v>0</v>
      </c>
      <c r="E1410" s="2">
        <f t="shared" si="45"/>
        <v>0</v>
      </c>
      <c r="F1410" s="11">
        <v>7.1999999999999995E-2</v>
      </c>
      <c r="G1410" s="3" t="e">
        <f t="shared" si="44"/>
        <v>#DIV/0!</v>
      </c>
    </row>
    <row r="1411" spans="1:7">
      <c r="A1411" s="1">
        <v>14</v>
      </c>
      <c r="B1411" s="1" t="s">
        <v>44</v>
      </c>
      <c r="C1411" s="11">
        <v>23.54</v>
      </c>
      <c r="D1411" s="11">
        <v>23.54</v>
      </c>
      <c r="E1411" s="2">
        <f t="shared" si="45"/>
        <v>0</v>
      </c>
      <c r="F1411" s="11">
        <v>8.2000000000000003E-2</v>
      </c>
      <c r="G1411" s="3">
        <f t="shared" si="44"/>
        <v>3.4834324553950726E-3</v>
      </c>
    </row>
    <row r="1412" spans="1:7">
      <c r="A1412" s="1">
        <v>15</v>
      </c>
      <c r="B1412" s="1" t="s">
        <v>44</v>
      </c>
      <c r="C1412" s="11">
        <v>0</v>
      </c>
      <c r="D1412" s="11">
        <v>0</v>
      </c>
      <c r="E1412" s="2">
        <f t="shared" si="45"/>
        <v>0</v>
      </c>
      <c r="F1412" s="11">
        <v>7.5999999999999998E-2</v>
      </c>
      <c r="G1412" s="3" t="e">
        <f t="shared" si="44"/>
        <v>#DIV/0!</v>
      </c>
    </row>
    <row r="1413" spans="1:7">
      <c r="A1413" s="1">
        <v>16</v>
      </c>
      <c r="B1413" s="1" t="s">
        <v>44</v>
      </c>
      <c r="C1413" s="11">
        <v>0</v>
      </c>
      <c r="D1413" s="11">
        <v>0</v>
      </c>
      <c r="E1413" s="2">
        <f t="shared" si="45"/>
        <v>0</v>
      </c>
      <c r="F1413" s="11">
        <v>7.0000000000000007E-2</v>
      </c>
      <c r="G1413" s="3" t="e">
        <f t="shared" si="44"/>
        <v>#DIV/0!</v>
      </c>
    </row>
    <row r="1414" spans="1:7">
      <c r="A1414" s="1">
        <v>17</v>
      </c>
      <c r="B1414" s="1" t="s">
        <v>44</v>
      </c>
      <c r="C1414" s="11">
        <v>0</v>
      </c>
      <c r="D1414" s="11">
        <v>0</v>
      </c>
      <c r="E1414" s="2">
        <f t="shared" si="45"/>
        <v>0</v>
      </c>
      <c r="F1414" s="11">
        <v>7.5999999999999998E-2</v>
      </c>
      <c r="G1414" s="3" t="e">
        <f t="shared" si="44"/>
        <v>#DIV/0!</v>
      </c>
    </row>
    <row r="1415" spans="1:7">
      <c r="A1415" s="1">
        <v>18</v>
      </c>
      <c r="B1415" s="1" t="s">
        <v>44</v>
      </c>
      <c r="C1415" s="11">
        <v>20</v>
      </c>
      <c r="D1415" s="11">
        <v>19.95</v>
      </c>
      <c r="E1415" s="2">
        <f t="shared" si="45"/>
        <v>5.0000000000000711E-2</v>
      </c>
      <c r="F1415" s="11">
        <v>7.0000000000000007E-2</v>
      </c>
      <c r="G1415" s="3">
        <f t="shared" si="44"/>
        <v>6.0000000000000357E-3</v>
      </c>
    </row>
    <row r="1416" spans="1:7">
      <c r="A1416" s="1">
        <v>19</v>
      </c>
      <c r="B1416" s="1" t="s">
        <v>44</v>
      </c>
      <c r="C1416" s="11">
        <v>0</v>
      </c>
      <c r="D1416" s="11">
        <v>0</v>
      </c>
      <c r="E1416" s="2">
        <f t="shared" si="45"/>
        <v>0</v>
      </c>
      <c r="F1416" s="11">
        <v>7.5999999999999998E-2</v>
      </c>
      <c r="G1416" s="3" t="e">
        <f t="shared" si="44"/>
        <v>#DIV/0!</v>
      </c>
    </row>
    <row r="1417" spans="1:7">
      <c r="A1417" s="1">
        <v>20</v>
      </c>
      <c r="B1417" s="1" t="s">
        <v>44</v>
      </c>
      <c r="C1417" s="11">
        <v>0</v>
      </c>
      <c r="D1417" s="11">
        <v>0</v>
      </c>
      <c r="E1417" s="2">
        <f t="shared" si="45"/>
        <v>0</v>
      </c>
      <c r="F1417" s="11">
        <v>7.3999999999999996E-2</v>
      </c>
      <c r="G1417" s="3" t="e">
        <f t="shared" si="44"/>
        <v>#DIV/0!</v>
      </c>
    </row>
    <row r="1418" spans="1:7">
      <c r="A1418" s="1">
        <v>21</v>
      </c>
      <c r="B1418" s="1" t="s">
        <v>44</v>
      </c>
      <c r="C1418" s="11">
        <v>20</v>
      </c>
      <c r="D1418" s="11">
        <v>19.940000000000001</v>
      </c>
      <c r="E1418" s="2">
        <f t="shared" si="45"/>
        <v>5.9999999999998721E-2</v>
      </c>
      <c r="F1418" s="11">
        <v>8.2000000000000003E-2</v>
      </c>
      <c r="G1418" s="3">
        <f t="shared" si="44"/>
        <v>7.0999999999999371E-3</v>
      </c>
    </row>
    <row r="1419" spans="1:7">
      <c r="A1419" s="1">
        <v>22</v>
      </c>
      <c r="B1419" s="1" t="s">
        <v>44</v>
      </c>
      <c r="C1419" s="11">
        <v>0</v>
      </c>
      <c r="D1419" s="11">
        <v>0</v>
      </c>
      <c r="E1419" s="2">
        <f t="shared" si="45"/>
        <v>0</v>
      </c>
      <c r="F1419" s="11">
        <v>7.4399999999999994E-2</v>
      </c>
      <c r="G1419" s="3" t="e">
        <f t="shared" si="44"/>
        <v>#DIV/0!</v>
      </c>
    </row>
    <row r="1420" spans="1:7">
      <c r="A1420" s="1">
        <v>23</v>
      </c>
      <c r="B1420" s="1" t="s">
        <v>44</v>
      </c>
      <c r="C1420" s="11">
        <v>0</v>
      </c>
      <c r="D1420" s="11">
        <v>0</v>
      </c>
      <c r="E1420" s="2">
        <f t="shared" si="45"/>
        <v>0</v>
      </c>
      <c r="F1420" s="11">
        <v>0.06</v>
      </c>
      <c r="G1420" s="3" t="e">
        <f t="shared" si="44"/>
        <v>#DIV/0!</v>
      </c>
    </row>
    <row r="1421" spans="1:7">
      <c r="A1421" s="1">
        <v>24</v>
      </c>
      <c r="B1421" s="1" t="s">
        <v>44</v>
      </c>
      <c r="C1421" s="11">
        <v>0</v>
      </c>
      <c r="D1421" s="11">
        <v>0</v>
      </c>
      <c r="E1421" s="2">
        <f t="shared" si="45"/>
        <v>0</v>
      </c>
      <c r="F1421" s="11">
        <v>7.0000000000000007E-2</v>
      </c>
      <c r="G1421" s="3" t="e">
        <f t="shared" si="44"/>
        <v>#DIV/0!</v>
      </c>
    </row>
    <row r="1422" spans="1:7">
      <c r="A1422" s="1">
        <v>25</v>
      </c>
      <c r="B1422" s="1" t="s">
        <v>44</v>
      </c>
      <c r="C1422" s="11">
        <v>0</v>
      </c>
      <c r="D1422" s="11">
        <v>0</v>
      </c>
      <c r="E1422" s="2">
        <f t="shared" si="45"/>
        <v>0</v>
      </c>
      <c r="F1422" s="11">
        <v>0</v>
      </c>
      <c r="G1422" s="3" t="e">
        <f t="shared" si="44"/>
        <v>#DIV/0!</v>
      </c>
    </row>
    <row r="1423" spans="1:7">
      <c r="A1423" s="1">
        <v>26</v>
      </c>
      <c r="B1423" s="1" t="s">
        <v>44</v>
      </c>
      <c r="C1423" s="11">
        <v>0</v>
      </c>
      <c r="D1423" s="11">
        <v>0</v>
      </c>
      <c r="E1423" s="2">
        <f t="shared" si="45"/>
        <v>0</v>
      </c>
      <c r="F1423" s="11">
        <v>8.2000000000000003E-2</v>
      </c>
      <c r="G1423" s="3" t="e">
        <f t="shared" si="44"/>
        <v>#DIV/0!</v>
      </c>
    </row>
    <row r="1424" spans="1:7">
      <c r="A1424" s="1">
        <v>27</v>
      </c>
      <c r="B1424" s="1" t="s">
        <v>44</v>
      </c>
      <c r="C1424" s="11">
        <v>0</v>
      </c>
      <c r="D1424" s="11">
        <v>0</v>
      </c>
      <c r="E1424" s="2">
        <f t="shared" si="45"/>
        <v>0</v>
      </c>
      <c r="F1424" s="11">
        <v>0.06</v>
      </c>
      <c r="G1424" s="3" t="e">
        <f t="shared" si="44"/>
        <v>#DIV/0!</v>
      </c>
    </row>
    <row r="1425" spans="1:7">
      <c r="A1425" s="1">
        <v>28</v>
      </c>
      <c r="B1425" s="1" t="s">
        <v>44</v>
      </c>
      <c r="C1425" s="11">
        <v>20</v>
      </c>
      <c r="D1425" s="11">
        <v>19.899999999999999</v>
      </c>
      <c r="E1425" s="2">
        <f t="shared" si="45"/>
        <v>0.10000000000000142</v>
      </c>
      <c r="F1425" s="11">
        <v>6.2E-2</v>
      </c>
      <c r="G1425" s="3">
        <f t="shared" si="44"/>
        <v>8.1000000000000707E-3</v>
      </c>
    </row>
    <row r="1426" spans="1:7">
      <c r="A1426" s="1">
        <v>29</v>
      </c>
      <c r="B1426" s="1" t="s">
        <v>44</v>
      </c>
      <c r="C1426" s="11">
        <v>0</v>
      </c>
      <c r="D1426" s="11">
        <v>0</v>
      </c>
      <c r="E1426" s="2">
        <f t="shared" si="45"/>
        <v>0</v>
      </c>
      <c r="F1426" s="11">
        <v>6.8000000000000005E-2</v>
      </c>
      <c r="G1426" s="3" t="e">
        <f t="shared" si="44"/>
        <v>#DIV/0!</v>
      </c>
    </row>
    <row r="1427" spans="1:7">
      <c r="A1427" s="1">
        <v>30</v>
      </c>
      <c r="B1427" s="1" t="s">
        <v>44</v>
      </c>
      <c r="C1427" s="11">
        <v>0</v>
      </c>
      <c r="D1427" s="11">
        <v>0</v>
      </c>
      <c r="E1427" s="2">
        <f t="shared" si="45"/>
        <v>0</v>
      </c>
      <c r="F1427" s="11">
        <v>7.3999999999999996E-2</v>
      </c>
      <c r="G1427" s="3" t="e">
        <f t="shared" si="44"/>
        <v>#DIV/0!</v>
      </c>
    </row>
    <row r="1428" spans="1:7">
      <c r="A1428" s="1">
        <v>31</v>
      </c>
      <c r="B1428" s="1" t="s">
        <v>44</v>
      </c>
      <c r="C1428" s="11">
        <v>20</v>
      </c>
      <c r="D1428" s="11">
        <v>19.95</v>
      </c>
      <c r="E1428" s="2">
        <f t="shared" si="45"/>
        <v>5.0000000000000711E-2</v>
      </c>
      <c r="F1428" s="11">
        <v>7.8E-2</v>
      </c>
      <c r="G1428" s="3">
        <f t="shared" si="44"/>
        <v>6.4000000000000359E-3</v>
      </c>
    </row>
  </sheetData>
  <autoFilter ref="A2:G2" xr:uid="{BF522212-CCE6-410D-8459-C30404F4996D}"/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2198A-00D6-4179-AB73-51ABEBFFDBED}">
  <sheetPr>
    <tabColor theme="8" tint="0.59999389629810485"/>
  </sheetPr>
  <dimension ref="A1:G1397"/>
  <sheetViews>
    <sheetView workbookViewId="0">
      <pane xSplit="1" ySplit="2" topLeftCell="B1374" activePane="bottomRight" state="frozen"/>
      <selection activeCell="F114" sqref="F114"/>
      <selection pane="topRight" activeCell="F114" sqref="F114"/>
      <selection pane="bottomLeft" activeCell="F114" sqref="F114"/>
      <selection pane="bottomRight" activeCell="A2" sqref="A2:G1397"/>
    </sheetView>
  </sheetViews>
  <sheetFormatPr defaultRowHeight="14.4"/>
  <cols>
    <col min="2" max="2" width="16.44140625" bestFit="1" customWidth="1"/>
    <col min="3" max="5" width="8.88671875" style="9"/>
    <col min="6" max="6" width="10.88671875" style="12" bestFit="1" customWidth="1"/>
    <col min="7" max="7" width="9.6640625" style="4" bestFit="1" customWidth="1"/>
  </cols>
  <sheetData>
    <row r="1" spans="1:7">
      <c r="A1" s="117" t="s">
        <v>42</v>
      </c>
      <c r="B1" s="117"/>
      <c r="C1" s="118"/>
      <c r="D1" s="118"/>
      <c r="E1" s="118"/>
      <c r="F1" s="118"/>
      <c r="G1" s="119"/>
    </row>
    <row r="2" spans="1:7">
      <c r="A2" s="5" t="s">
        <v>1</v>
      </c>
      <c r="B2" s="5" t="s">
        <v>0</v>
      </c>
      <c r="C2" s="8" t="s">
        <v>2</v>
      </c>
      <c r="D2" s="8" t="s">
        <v>3</v>
      </c>
      <c r="E2" s="8" t="s">
        <v>4</v>
      </c>
      <c r="F2" s="10" t="s">
        <v>5</v>
      </c>
      <c r="G2" s="7" t="s">
        <v>6</v>
      </c>
    </row>
    <row r="3" spans="1:7">
      <c r="A3" s="1">
        <v>1</v>
      </c>
      <c r="B3" s="1" t="s">
        <v>8</v>
      </c>
      <c r="C3" s="11">
        <v>0</v>
      </c>
      <c r="D3" s="11">
        <v>0</v>
      </c>
      <c r="E3" s="2">
        <f>C3-D3</f>
        <v>0</v>
      </c>
      <c r="F3" s="11">
        <v>0</v>
      </c>
      <c r="G3" s="14" t="e">
        <f>(E3+F3)/C3</f>
        <v>#DIV/0!</v>
      </c>
    </row>
    <row r="4" spans="1:7">
      <c r="A4" s="1">
        <v>2</v>
      </c>
      <c r="B4" s="1" t="s">
        <v>8</v>
      </c>
      <c r="C4" s="11">
        <v>0</v>
      </c>
      <c r="D4" s="11">
        <v>0</v>
      </c>
      <c r="E4" s="2">
        <f t="shared" ref="E4:E67" si="0">C4-D4</f>
        <v>0</v>
      </c>
      <c r="F4" s="11">
        <v>0</v>
      </c>
      <c r="G4" s="14" t="e">
        <f t="shared" ref="G4:G67" si="1">(E4+F4)/C4</f>
        <v>#DIV/0!</v>
      </c>
    </row>
    <row r="5" spans="1:7">
      <c r="A5" s="1">
        <v>3</v>
      </c>
      <c r="B5" s="1" t="s">
        <v>8</v>
      </c>
      <c r="C5" s="11">
        <v>0</v>
      </c>
      <c r="D5" s="11">
        <v>0</v>
      </c>
      <c r="E5" s="2">
        <f t="shared" si="0"/>
        <v>0</v>
      </c>
      <c r="F5" s="11">
        <v>0</v>
      </c>
      <c r="G5" s="14" t="e">
        <f t="shared" si="1"/>
        <v>#DIV/0!</v>
      </c>
    </row>
    <row r="6" spans="1:7">
      <c r="A6" s="1">
        <v>4</v>
      </c>
      <c r="B6" s="1" t="s">
        <v>8</v>
      </c>
      <c r="C6" s="11">
        <v>0</v>
      </c>
      <c r="D6" s="11">
        <v>0</v>
      </c>
      <c r="E6" s="2">
        <f t="shared" si="0"/>
        <v>0</v>
      </c>
      <c r="F6" s="11">
        <v>0</v>
      </c>
      <c r="G6" s="14" t="e">
        <f t="shared" si="1"/>
        <v>#DIV/0!</v>
      </c>
    </row>
    <row r="7" spans="1:7">
      <c r="A7" s="1">
        <v>5</v>
      </c>
      <c r="B7" s="1" t="s">
        <v>8</v>
      </c>
      <c r="C7" s="11">
        <v>0</v>
      </c>
      <c r="D7" s="11">
        <v>0</v>
      </c>
      <c r="E7" s="2">
        <f t="shared" si="0"/>
        <v>0</v>
      </c>
      <c r="F7" s="11">
        <v>0</v>
      </c>
      <c r="G7" s="14" t="e">
        <f t="shared" si="1"/>
        <v>#DIV/0!</v>
      </c>
    </row>
    <row r="8" spans="1:7">
      <c r="A8" s="1">
        <v>6</v>
      </c>
      <c r="B8" s="1" t="s">
        <v>8</v>
      </c>
      <c r="C8" s="11">
        <v>0</v>
      </c>
      <c r="D8" s="11">
        <v>0</v>
      </c>
      <c r="E8" s="2">
        <f t="shared" si="0"/>
        <v>0</v>
      </c>
      <c r="F8" s="11">
        <v>0</v>
      </c>
      <c r="G8" s="14" t="e">
        <f>(E8+F8)/C8</f>
        <v>#DIV/0!</v>
      </c>
    </row>
    <row r="9" spans="1:7">
      <c r="A9" s="1">
        <v>7</v>
      </c>
      <c r="B9" s="1" t="s">
        <v>8</v>
      </c>
      <c r="C9" s="11">
        <v>25</v>
      </c>
      <c r="D9" s="11">
        <v>24.87</v>
      </c>
      <c r="E9" s="2">
        <f t="shared" si="0"/>
        <v>0.12999999999999901</v>
      </c>
      <c r="F9" s="11">
        <v>0</v>
      </c>
      <c r="G9" s="14">
        <f t="shared" si="1"/>
        <v>5.1999999999999599E-3</v>
      </c>
    </row>
    <row r="10" spans="1:7">
      <c r="A10" s="1">
        <v>10</v>
      </c>
      <c r="B10" s="1" t="s">
        <v>8</v>
      </c>
      <c r="C10" s="11">
        <v>48.82</v>
      </c>
      <c r="D10" s="11">
        <v>48.5</v>
      </c>
      <c r="E10" s="2">
        <f t="shared" si="0"/>
        <v>0.32000000000000028</v>
      </c>
      <c r="F10" s="11">
        <v>0.15</v>
      </c>
      <c r="G10" s="14">
        <f t="shared" si="1"/>
        <v>9.6272019664072166E-3</v>
      </c>
    </row>
    <row r="11" spans="1:7">
      <c r="A11" s="1">
        <v>8</v>
      </c>
      <c r="B11" s="1" t="s">
        <v>8</v>
      </c>
      <c r="C11" s="11">
        <v>0</v>
      </c>
      <c r="D11" s="11">
        <v>0</v>
      </c>
      <c r="E11" s="2">
        <f t="shared" si="0"/>
        <v>0</v>
      </c>
      <c r="F11" s="11">
        <v>4.0000000000000001E-3</v>
      </c>
      <c r="G11" s="14">
        <v>24.85</v>
      </c>
    </row>
    <row r="12" spans="1:7">
      <c r="A12" s="1">
        <v>9</v>
      </c>
      <c r="B12" s="1" t="s">
        <v>8</v>
      </c>
      <c r="C12" s="11">
        <v>0</v>
      </c>
      <c r="D12" s="11">
        <v>0</v>
      </c>
      <c r="E12" s="2">
        <f t="shared" si="0"/>
        <v>0</v>
      </c>
      <c r="F12" s="11">
        <v>0</v>
      </c>
      <c r="G12" s="14" t="e">
        <f t="shared" si="1"/>
        <v>#DIV/0!</v>
      </c>
    </row>
    <row r="13" spans="1:7">
      <c r="A13" s="1">
        <v>11</v>
      </c>
      <c r="B13" s="1" t="s">
        <v>8</v>
      </c>
      <c r="C13" s="11">
        <v>0</v>
      </c>
      <c r="D13" s="11">
        <v>0</v>
      </c>
      <c r="E13" s="2">
        <f t="shared" si="0"/>
        <v>0</v>
      </c>
      <c r="F13" s="11">
        <v>0</v>
      </c>
      <c r="G13" s="14" t="e">
        <f t="shared" si="1"/>
        <v>#DIV/0!</v>
      </c>
    </row>
    <row r="14" spans="1:7">
      <c r="A14" s="1">
        <v>12</v>
      </c>
      <c r="B14" s="1" t="s">
        <v>8</v>
      </c>
      <c r="C14" s="11">
        <v>44.6</v>
      </c>
      <c r="D14" s="11">
        <v>44.22</v>
      </c>
      <c r="E14" s="2">
        <f t="shared" si="0"/>
        <v>0.38000000000000256</v>
      </c>
      <c r="F14" s="11">
        <v>0</v>
      </c>
      <c r="G14" s="14">
        <f t="shared" si="1"/>
        <v>8.5201793721973659E-3</v>
      </c>
    </row>
    <row r="15" spans="1:7">
      <c r="A15" s="1">
        <v>13</v>
      </c>
      <c r="B15" s="1" t="s">
        <v>8</v>
      </c>
      <c r="C15" s="11">
        <v>0</v>
      </c>
      <c r="D15" s="11">
        <v>0</v>
      </c>
      <c r="E15" s="2">
        <f t="shared" si="0"/>
        <v>0</v>
      </c>
      <c r="F15" s="11">
        <v>0</v>
      </c>
      <c r="G15" s="14" t="e">
        <f t="shared" si="1"/>
        <v>#DIV/0!</v>
      </c>
    </row>
    <row r="16" spans="1:7">
      <c r="A16" s="1">
        <v>14</v>
      </c>
      <c r="B16" s="1" t="s">
        <v>8</v>
      </c>
      <c r="C16" s="11">
        <v>25</v>
      </c>
      <c r="D16" s="11">
        <v>24.9</v>
      </c>
      <c r="E16" s="2">
        <f t="shared" si="0"/>
        <v>0.10000000000000142</v>
      </c>
      <c r="F16" s="11">
        <v>0</v>
      </c>
      <c r="G16" s="14">
        <f t="shared" si="1"/>
        <v>4.0000000000000565E-3</v>
      </c>
    </row>
    <row r="17" spans="1:7">
      <c r="A17" s="1">
        <v>15</v>
      </c>
      <c r="B17" s="1" t="s">
        <v>8</v>
      </c>
      <c r="C17" s="11">
        <v>0</v>
      </c>
      <c r="D17" s="11">
        <v>0</v>
      </c>
      <c r="E17" s="2">
        <f t="shared" si="0"/>
        <v>0</v>
      </c>
      <c r="F17" s="11">
        <v>0</v>
      </c>
      <c r="G17" s="14" t="e">
        <f t="shared" si="1"/>
        <v>#DIV/0!</v>
      </c>
    </row>
    <row r="18" spans="1:7">
      <c r="A18" s="1">
        <v>16</v>
      </c>
      <c r="B18" s="1" t="s">
        <v>8</v>
      </c>
      <c r="C18" s="11">
        <v>0</v>
      </c>
      <c r="D18" s="11">
        <v>0</v>
      </c>
      <c r="E18" s="2">
        <f t="shared" si="0"/>
        <v>0</v>
      </c>
      <c r="F18" s="11">
        <v>0</v>
      </c>
      <c r="G18" s="14" t="e">
        <f t="shared" si="1"/>
        <v>#DIV/0!</v>
      </c>
    </row>
    <row r="19" spans="1:7">
      <c r="A19" s="1">
        <v>17</v>
      </c>
      <c r="B19" s="1" t="s">
        <v>8</v>
      </c>
      <c r="C19" s="11">
        <v>39.770000000000003</v>
      </c>
      <c r="D19" s="11">
        <v>39.53</v>
      </c>
      <c r="E19" s="2">
        <f t="shared" si="0"/>
        <v>0.24000000000000199</v>
      </c>
      <c r="F19" s="11">
        <v>0</v>
      </c>
      <c r="G19" s="14">
        <f t="shared" si="1"/>
        <v>6.034699522253004E-3</v>
      </c>
    </row>
    <row r="20" spans="1:7">
      <c r="A20" s="1">
        <v>18</v>
      </c>
      <c r="B20" s="1" t="s">
        <v>8</v>
      </c>
      <c r="C20" s="11">
        <v>22.34</v>
      </c>
      <c r="D20" s="11">
        <v>22.15</v>
      </c>
      <c r="E20" s="2">
        <f t="shared" si="0"/>
        <v>0.19000000000000128</v>
      </c>
      <c r="F20" s="11">
        <v>0</v>
      </c>
      <c r="G20" s="14">
        <f t="shared" si="1"/>
        <v>8.5049239033125005E-3</v>
      </c>
    </row>
    <row r="21" spans="1:7">
      <c r="A21" s="1">
        <v>19</v>
      </c>
      <c r="B21" s="1" t="s">
        <v>8</v>
      </c>
      <c r="C21" s="11">
        <v>23.4</v>
      </c>
      <c r="D21" s="11">
        <v>23.1</v>
      </c>
      <c r="E21" s="2">
        <f t="shared" si="0"/>
        <v>0.29999999999999716</v>
      </c>
      <c r="F21" s="11">
        <v>0</v>
      </c>
      <c r="G21" s="14">
        <f t="shared" si="1"/>
        <v>1.28205128205127E-2</v>
      </c>
    </row>
    <row r="22" spans="1:7">
      <c r="A22" s="1">
        <v>20</v>
      </c>
      <c r="B22" s="1" t="s">
        <v>8</v>
      </c>
      <c r="C22" s="11">
        <v>0</v>
      </c>
      <c r="D22" s="11">
        <v>0</v>
      </c>
      <c r="E22" s="2">
        <f t="shared" si="0"/>
        <v>0</v>
      </c>
      <c r="F22" s="11">
        <v>0</v>
      </c>
      <c r="G22" s="14" t="e">
        <f t="shared" si="1"/>
        <v>#DIV/0!</v>
      </c>
    </row>
    <row r="23" spans="1:7">
      <c r="A23" s="1">
        <v>21</v>
      </c>
      <c r="B23" s="1" t="s">
        <v>8</v>
      </c>
      <c r="C23" s="11">
        <v>0</v>
      </c>
      <c r="D23" s="11">
        <v>0</v>
      </c>
      <c r="E23" s="2">
        <f t="shared" si="0"/>
        <v>0</v>
      </c>
      <c r="F23" s="11">
        <v>0</v>
      </c>
      <c r="G23" s="14" t="e">
        <f t="shared" si="1"/>
        <v>#DIV/0!</v>
      </c>
    </row>
    <row r="24" spans="1:7">
      <c r="A24" s="1">
        <v>22</v>
      </c>
      <c r="B24" s="1" t="s">
        <v>8</v>
      </c>
      <c r="C24" s="11">
        <v>62.878</v>
      </c>
      <c r="D24" s="11">
        <v>62.15</v>
      </c>
      <c r="E24" s="2">
        <f t="shared" si="0"/>
        <v>0.72800000000000153</v>
      </c>
      <c r="F24" s="11">
        <v>0</v>
      </c>
      <c r="G24" s="14">
        <f t="shared" si="1"/>
        <v>1.1577976398740442E-2</v>
      </c>
    </row>
    <row r="25" spans="1:7">
      <c r="A25" s="1">
        <v>23</v>
      </c>
      <c r="B25" s="1" t="s">
        <v>8</v>
      </c>
      <c r="C25" s="11">
        <v>22.59</v>
      </c>
      <c r="D25" s="11">
        <v>22.34</v>
      </c>
      <c r="E25" s="2">
        <f t="shared" si="0"/>
        <v>0.25</v>
      </c>
      <c r="F25" s="11">
        <v>0</v>
      </c>
      <c r="G25" s="3">
        <f t="shared" si="1"/>
        <v>1.1066843736166445E-2</v>
      </c>
    </row>
    <row r="26" spans="1:7">
      <c r="A26" s="1">
        <v>24</v>
      </c>
      <c r="B26" s="1" t="s">
        <v>8</v>
      </c>
      <c r="C26" s="11">
        <v>85.825999999999993</v>
      </c>
      <c r="D26" s="11">
        <v>85.39</v>
      </c>
      <c r="E26" s="2">
        <f t="shared" si="0"/>
        <v>0.43599999999999284</v>
      </c>
      <c r="F26" s="11">
        <v>0</v>
      </c>
      <c r="G26" s="3">
        <f t="shared" si="1"/>
        <v>5.0800456738050578E-3</v>
      </c>
    </row>
    <row r="27" spans="1:7">
      <c r="A27" s="1">
        <v>25</v>
      </c>
      <c r="B27" s="1" t="s">
        <v>8</v>
      </c>
      <c r="C27" s="11">
        <v>43.15</v>
      </c>
      <c r="D27" s="11">
        <v>42.82</v>
      </c>
      <c r="E27" s="2">
        <f t="shared" si="0"/>
        <v>0.32999999999999829</v>
      </c>
      <c r="F27" s="11">
        <v>0</v>
      </c>
      <c r="G27" s="3">
        <f t="shared" si="1"/>
        <v>7.6477404403244107E-3</v>
      </c>
    </row>
    <row r="28" spans="1:7">
      <c r="A28" s="1">
        <v>26</v>
      </c>
      <c r="B28" s="1" t="s">
        <v>8</v>
      </c>
      <c r="C28" s="11">
        <v>90.28</v>
      </c>
      <c r="D28" s="11">
        <v>89.52</v>
      </c>
      <c r="E28" s="2">
        <f t="shared" si="0"/>
        <v>0.76000000000000512</v>
      </c>
      <c r="F28" s="11">
        <v>0</v>
      </c>
      <c r="G28" s="14">
        <f t="shared" si="1"/>
        <v>8.4182543198937209E-3</v>
      </c>
    </row>
    <row r="29" spans="1:7">
      <c r="A29" s="1">
        <v>27</v>
      </c>
      <c r="B29" s="1" t="s">
        <v>8</v>
      </c>
      <c r="C29" s="11">
        <v>21.59</v>
      </c>
      <c r="D29" s="11">
        <v>21.41</v>
      </c>
      <c r="E29" s="2">
        <f t="shared" si="0"/>
        <v>0.17999999999999972</v>
      </c>
      <c r="F29" s="11">
        <v>0</v>
      </c>
      <c r="G29" s="14">
        <f t="shared" si="1"/>
        <v>8.337193144974513E-3</v>
      </c>
    </row>
    <row r="30" spans="1:7">
      <c r="A30" s="1">
        <v>28</v>
      </c>
      <c r="B30" s="1" t="s">
        <v>8</v>
      </c>
      <c r="C30" s="11">
        <v>0</v>
      </c>
      <c r="D30" s="11">
        <v>0</v>
      </c>
      <c r="E30" s="2">
        <f t="shared" si="0"/>
        <v>0</v>
      </c>
      <c r="F30" s="11">
        <v>0</v>
      </c>
      <c r="G30" s="14" t="e">
        <f t="shared" si="1"/>
        <v>#DIV/0!</v>
      </c>
    </row>
    <row r="31" spans="1:7">
      <c r="A31" s="1">
        <v>29</v>
      </c>
      <c r="B31" s="1" t="s">
        <v>8</v>
      </c>
      <c r="C31" s="11">
        <v>39.1</v>
      </c>
      <c r="D31" s="11">
        <v>39.08</v>
      </c>
      <c r="E31" s="2">
        <f t="shared" si="0"/>
        <v>2.0000000000003126E-2</v>
      </c>
      <c r="F31" s="11">
        <v>0</v>
      </c>
      <c r="G31" s="14">
        <f t="shared" si="1"/>
        <v>5.1150895140672959E-4</v>
      </c>
    </row>
    <row r="32" spans="1:7">
      <c r="A32" s="1">
        <v>30</v>
      </c>
      <c r="B32" s="1" t="s">
        <v>8</v>
      </c>
      <c r="C32" s="11">
        <v>66.53</v>
      </c>
      <c r="D32" s="11">
        <v>65.94</v>
      </c>
      <c r="E32" s="2">
        <f t="shared" si="0"/>
        <v>0.59000000000000341</v>
      </c>
      <c r="F32" s="11">
        <v>0</v>
      </c>
      <c r="G32" s="14">
        <f t="shared" si="1"/>
        <v>8.8681797685255283E-3</v>
      </c>
    </row>
    <row r="33" spans="1:7">
      <c r="A33" s="1">
        <v>31</v>
      </c>
      <c r="B33" s="1" t="s">
        <v>8</v>
      </c>
      <c r="C33" s="11">
        <v>0</v>
      </c>
      <c r="D33" s="11">
        <v>0</v>
      </c>
      <c r="E33" s="2">
        <f t="shared" si="0"/>
        <v>0</v>
      </c>
      <c r="F33" s="11">
        <v>0</v>
      </c>
      <c r="G33" s="14" t="e">
        <f t="shared" si="1"/>
        <v>#DIV/0!</v>
      </c>
    </row>
    <row r="34" spans="1:7">
      <c r="A34" s="1">
        <v>1</v>
      </c>
      <c r="B34" s="1" t="s">
        <v>9</v>
      </c>
      <c r="C34" s="11">
        <v>27.806000000000001</v>
      </c>
      <c r="D34" s="11">
        <v>26.96</v>
      </c>
      <c r="E34" s="2">
        <f t="shared" si="0"/>
        <v>0.84600000000000009</v>
      </c>
      <c r="F34" s="11">
        <v>0</v>
      </c>
      <c r="G34" s="14">
        <f t="shared" si="1"/>
        <v>3.0425088110479753E-2</v>
      </c>
    </row>
    <row r="35" spans="1:7">
      <c r="A35" s="1">
        <v>2</v>
      </c>
      <c r="B35" s="1" t="s">
        <v>9</v>
      </c>
      <c r="C35" s="11">
        <v>27.806000000000001</v>
      </c>
      <c r="D35" s="11">
        <v>26.96</v>
      </c>
      <c r="E35" s="2">
        <f t="shared" si="0"/>
        <v>0.84600000000000009</v>
      </c>
      <c r="F35" s="11">
        <v>0</v>
      </c>
      <c r="G35" s="14">
        <f t="shared" si="1"/>
        <v>3.0425088110479753E-2</v>
      </c>
    </row>
    <row r="36" spans="1:7">
      <c r="A36" s="1">
        <v>3</v>
      </c>
      <c r="B36" s="1" t="s">
        <v>9</v>
      </c>
      <c r="C36" s="11">
        <v>77.554000000000002</v>
      </c>
      <c r="D36" s="11">
        <v>77.16</v>
      </c>
      <c r="E36" s="2">
        <f t="shared" si="0"/>
        <v>0.39400000000000546</v>
      </c>
      <c r="F36" s="11">
        <v>0</v>
      </c>
      <c r="G36" s="14">
        <f t="shared" si="1"/>
        <v>5.0803311241200385E-3</v>
      </c>
    </row>
    <row r="37" spans="1:7">
      <c r="A37" s="1">
        <v>4</v>
      </c>
      <c r="B37" s="1" t="s">
        <v>9</v>
      </c>
      <c r="C37" s="11">
        <v>0</v>
      </c>
      <c r="D37" s="11">
        <v>0</v>
      </c>
      <c r="E37" s="2">
        <f t="shared" si="0"/>
        <v>0</v>
      </c>
      <c r="F37" s="11">
        <v>0.45800000000000002</v>
      </c>
      <c r="G37" s="14" t="e">
        <f t="shared" si="1"/>
        <v>#DIV/0!</v>
      </c>
    </row>
    <row r="38" spans="1:7">
      <c r="A38" s="1">
        <v>5</v>
      </c>
      <c r="B38" s="1" t="s">
        <v>9</v>
      </c>
      <c r="C38" s="11">
        <v>15.91</v>
      </c>
      <c r="D38" s="11">
        <v>15.72</v>
      </c>
      <c r="E38" s="2">
        <f t="shared" si="0"/>
        <v>0.1899999999999995</v>
      </c>
      <c r="F38" s="11">
        <v>0</v>
      </c>
      <c r="G38" s="14">
        <f t="shared" si="1"/>
        <v>1.1942174732872375E-2</v>
      </c>
    </row>
    <row r="39" spans="1:7">
      <c r="A39" s="1">
        <v>6</v>
      </c>
      <c r="B39" s="1" t="s">
        <v>9</v>
      </c>
      <c r="C39" s="11">
        <v>16</v>
      </c>
      <c r="D39" s="11">
        <v>15.94</v>
      </c>
      <c r="E39" s="2">
        <f t="shared" si="0"/>
        <v>6.0000000000000497E-2</v>
      </c>
      <c r="F39" s="11">
        <v>0</v>
      </c>
      <c r="G39" s="14">
        <f t="shared" si="1"/>
        <v>3.7500000000000311E-3</v>
      </c>
    </row>
    <row r="40" spans="1:7">
      <c r="A40" s="1">
        <v>7</v>
      </c>
      <c r="B40" s="1" t="s">
        <v>9</v>
      </c>
      <c r="C40" s="11">
        <v>24.06</v>
      </c>
      <c r="D40" s="11">
        <v>24</v>
      </c>
      <c r="E40" s="2">
        <f t="shared" si="0"/>
        <v>5.9999999999998721E-2</v>
      </c>
      <c r="F40" s="11">
        <v>0</v>
      </c>
      <c r="G40" s="14">
        <f t="shared" si="1"/>
        <v>2.4937655860348597E-3</v>
      </c>
    </row>
    <row r="41" spans="1:7">
      <c r="A41" s="1">
        <v>10</v>
      </c>
      <c r="B41" s="1" t="s">
        <v>9</v>
      </c>
      <c r="C41" s="11">
        <v>0</v>
      </c>
      <c r="D41" s="11">
        <v>0</v>
      </c>
      <c r="E41" s="2">
        <f t="shared" si="0"/>
        <v>0</v>
      </c>
      <c r="F41" s="11">
        <v>0</v>
      </c>
      <c r="G41" s="14" t="e">
        <f t="shared" si="1"/>
        <v>#DIV/0!</v>
      </c>
    </row>
    <row r="42" spans="1:7">
      <c r="A42" s="1">
        <v>8</v>
      </c>
      <c r="B42" s="1" t="s">
        <v>9</v>
      </c>
      <c r="C42" s="11">
        <v>28.51</v>
      </c>
      <c r="D42" s="11">
        <v>28.32</v>
      </c>
      <c r="E42" s="2">
        <f t="shared" si="0"/>
        <v>0.19000000000000128</v>
      </c>
      <c r="F42" s="11">
        <v>0.54800000000000004</v>
      </c>
      <c r="G42" s="14">
        <f t="shared" si="1"/>
        <v>2.5885654156436382E-2</v>
      </c>
    </row>
    <row r="43" spans="1:7">
      <c r="A43" s="1">
        <v>9</v>
      </c>
      <c r="B43" s="1" t="s">
        <v>9</v>
      </c>
      <c r="C43" s="11">
        <v>51.52</v>
      </c>
      <c r="D43" s="11">
        <v>51.32</v>
      </c>
      <c r="E43" s="2">
        <f t="shared" si="0"/>
        <v>0.20000000000000284</v>
      </c>
      <c r="F43" s="11">
        <v>0.58399999999999996</v>
      </c>
      <c r="G43" s="14">
        <f t="shared" si="1"/>
        <v>1.521739130434788E-2</v>
      </c>
    </row>
    <row r="44" spans="1:7">
      <c r="A44" s="1">
        <v>11</v>
      </c>
      <c r="B44" s="1" t="s">
        <v>9</v>
      </c>
      <c r="C44" s="11">
        <v>19.05</v>
      </c>
      <c r="D44" s="11">
        <v>18.920000000000002</v>
      </c>
      <c r="E44" s="2">
        <f t="shared" si="0"/>
        <v>0.12999999999999901</v>
      </c>
      <c r="F44" s="11">
        <v>0</v>
      </c>
      <c r="G44" s="14">
        <f t="shared" si="1"/>
        <v>6.8241469816272445E-3</v>
      </c>
    </row>
    <row r="45" spans="1:7">
      <c r="A45" s="1">
        <v>12</v>
      </c>
      <c r="B45" s="1" t="s">
        <v>9</v>
      </c>
      <c r="C45" s="11">
        <v>41.09</v>
      </c>
      <c r="D45" s="11">
        <v>40.380000000000003</v>
      </c>
      <c r="E45" s="2">
        <f t="shared" si="0"/>
        <v>0.71000000000000085</v>
      </c>
      <c r="F45" s="11">
        <v>0</v>
      </c>
      <c r="G45" s="14">
        <f t="shared" si="1"/>
        <v>1.7279143343879307E-2</v>
      </c>
    </row>
    <row r="46" spans="1:7">
      <c r="A46" s="1">
        <v>13</v>
      </c>
      <c r="B46" s="1" t="s">
        <v>9</v>
      </c>
      <c r="C46" s="11">
        <v>39.43</v>
      </c>
      <c r="D46" s="11">
        <v>38.479999999999997</v>
      </c>
      <c r="E46" s="2">
        <f t="shared" si="0"/>
        <v>0.95000000000000284</v>
      </c>
      <c r="F46" s="11">
        <v>0.495</v>
      </c>
      <c r="G46" s="14">
        <f t="shared" si="1"/>
        <v>3.6647222926705629E-2</v>
      </c>
    </row>
    <row r="47" spans="1:7">
      <c r="A47" s="1">
        <v>14</v>
      </c>
      <c r="B47" s="1" t="s">
        <v>9</v>
      </c>
      <c r="C47" s="11">
        <v>0</v>
      </c>
      <c r="D47" s="11">
        <v>0</v>
      </c>
      <c r="E47" s="2">
        <f t="shared" si="0"/>
        <v>0</v>
      </c>
      <c r="F47" s="11">
        <v>0</v>
      </c>
      <c r="G47" s="14" t="e">
        <f t="shared" si="1"/>
        <v>#DIV/0!</v>
      </c>
    </row>
    <row r="48" spans="1:7">
      <c r="A48" s="1">
        <v>15</v>
      </c>
      <c r="B48" s="1" t="s">
        <v>9</v>
      </c>
      <c r="C48" s="11">
        <v>22.47</v>
      </c>
      <c r="D48" s="11">
        <v>22.1</v>
      </c>
      <c r="E48" s="2">
        <f t="shared" si="0"/>
        <v>0.36999999999999744</v>
      </c>
      <c r="F48" s="11">
        <v>0.39700000000000002</v>
      </c>
      <c r="G48" s="14">
        <f t="shared" si="1"/>
        <v>3.4134401424120941E-2</v>
      </c>
    </row>
    <row r="49" spans="1:7">
      <c r="A49" s="1">
        <v>16</v>
      </c>
      <c r="B49" s="1" t="s">
        <v>9</v>
      </c>
      <c r="C49" s="11">
        <v>25.68</v>
      </c>
      <c r="D49" s="11">
        <v>25.26</v>
      </c>
      <c r="E49" s="2">
        <f t="shared" si="0"/>
        <v>0.41999999999999815</v>
      </c>
      <c r="F49" s="11">
        <v>0</v>
      </c>
      <c r="G49" s="14">
        <f t="shared" si="1"/>
        <v>1.6355140186915817E-2</v>
      </c>
    </row>
    <row r="50" spans="1:7">
      <c r="A50" s="1">
        <v>17</v>
      </c>
      <c r="B50" s="1" t="s">
        <v>9</v>
      </c>
      <c r="C50" s="11">
        <v>47.08</v>
      </c>
      <c r="D50" s="11">
        <v>46.62</v>
      </c>
      <c r="E50" s="2">
        <f t="shared" si="0"/>
        <v>0.46000000000000085</v>
      </c>
      <c r="F50" s="11">
        <v>0.26700000000000002</v>
      </c>
      <c r="G50" s="14">
        <f t="shared" si="1"/>
        <v>1.544180118946476E-2</v>
      </c>
    </row>
    <row r="51" spans="1:7">
      <c r="A51" s="1">
        <v>18</v>
      </c>
      <c r="B51" s="1" t="s">
        <v>9</v>
      </c>
      <c r="C51" s="11">
        <v>0</v>
      </c>
      <c r="D51" s="11">
        <v>0</v>
      </c>
      <c r="E51" s="2">
        <f t="shared" si="0"/>
        <v>0</v>
      </c>
      <c r="F51" s="11">
        <v>0</v>
      </c>
      <c r="G51" s="14" t="e">
        <f t="shared" si="1"/>
        <v>#DIV/0!</v>
      </c>
    </row>
    <row r="52" spans="1:7">
      <c r="A52" s="1">
        <v>19</v>
      </c>
      <c r="B52" s="1" t="s">
        <v>9</v>
      </c>
      <c r="C52" s="11">
        <v>0</v>
      </c>
      <c r="D52" s="11">
        <v>0</v>
      </c>
      <c r="E52" s="2">
        <f t="shared" si="0"/>
        <v>0</v>
      </c>
      <c r="F52" s="11">
        <v>0</v>
      </c>
      <c r="G52" s="14" t="e">
        <f t="shared" si="1"/>
        <v>#DIV/0!</v>
      </c>
    </row>
    <row r="53" spans="1:7">
      <c r="A53" s="1">
        <v>20</v>
      </c>
      <c r="B53" s="1" t="s">
        <v>9</v>
      </c>
      <c r="C53" s="11">
        <v>25.1</v>
      </c>
      <c r="D53" s="11">
        <v>24.86</v>
      </c>
      <c r="E53" s="2">
        <f t="shared" si="0"/>
        <v>0.24000000000000199</v>
      </c>
      <c r="F53" s="11">
        <v>0</v>
      </c>
      <c r="G53" s="14">
        <f t="shared" si="1"/>
        <v>9.561752988047888E-3</v>
      </c>
    </row>
    <row r="54" spans="1:7">
      <c r="A54" s="1">
        <v>21</v>
      </c>
      <c r="B54" s="1" t="s">
        <v>9</v>
      </c>
      <c r="C54" s="11">
        <v>0</v>
      </c>
      <c r="D54" s="11">
        <v>0</v>
      </c>
      <c r="E54" s="2">
        <f t="shared" si="0"/>
        <v>0</v>
      </c>
      <c r="F54" s="11">
        <v>0</v>
      </c>
      <c r="G54" s="14" t="e">
        <f t="shared" si="1"/>
        <v>#DIV/0!</v>
      </c>
    </row>
    <row r="55" spans="1:7">
      <c r="A55" s="1">
        <v>22</v>
      </c>
      <c r="B55" s="1" t="s">
        <v>9</v>
      </c>
      <c r="C55" s="11">
        <v>25.13</v>
      </c>
      <c r="D55" s="11">
        <v>24.96</v>
      </c>
      <c r="E55" s="2">
        <f t="shared" si="0"/>
        <v>0.16999999999999815</v>
      </c>
      <c r="F55" s="11">
        <v>7.4000000000000704E-2</v>
      </c>
      <c r="G55" s="14">
        <f t="shared" si="1"/>
        <v>9.7095105451650964E-3</v>
      </c>
    </row>
    <row r="56" spans="1:7">
      <c r="A56" s="1">
        <v>23</v>
      </c>
      <c r="B56" s="1" t="s">
        <v>9</v>
      </c>
      <c r="C56" s="11">
        <v>45.728000000000002</v>
      </c>
      <c r="D56" s="11">
        <v>45.6</v>
      </c>
      <c r="E56" s="2">
        <f t="shared" si="0"/>
        <v>0.12800000000000011</v>
      </c>
      <c r="F56" s="11">
        <v>0</v>
      </c>
      <c r="G56" s="3">
        <f t="shared" si="1"/>
        <v>2.7991602519244251E-3</v>
      </c>
    </row>
    <row r="57" spans="1:7">
      <c r="A57" s="1">
        <v>24</v>
      </c>
      <c r="B57" s="1" t="s">
        <v>9</v>
      </c>
      <c r="C57" s="11">
        <v>22.72</v>
      </c>
      <c r="D57" s="11">
        <v>22.58</v>
      </c>
      <c r="E57" s="2">
        <f t="shared" si="0"/>
        <v>0.14000000000000057</v>
      </c>
      <c r="F57" s="11">
        <v>0.376</v>
      </c>
      <c r="G57" s="3">
        <f t="shared" si="1"/>
        <v>2.2711267605633828E-2</v>
      </c>
    </row>
    <row r="58" spans="1:7">
      <c r="A58" s="1">
        <v>25</v>
      </c>
      <c r="B58" s="1" t="s">
        <v>9</v>
      </c>
      <c r="C58" s="11">
        <v>22.218</v>
      </c>
      <c r="D58" s="11">
        <v>22.14</v>
      </c>
      <c r="E58" s="2">
        <f t="shared" si="0"/>
        <v>7.7999999999999403E-2</v>
      </c>
      <c r="F58" s="11">
        <v>0</v>
      </c>
      <c r="G58" s="3">
        <f t="shared" si="1"/>
        <v>3.5106670267350528E-3</v>
      </c>
    </row>
    <row r="59" spans="1:7">
      <c r="A59" s="1">
        <v>26</v>
      </c>
      <c r="B59" s="1" t="s">
        <v>9</v>
      </c>
      <c r="C59" s="11">
        <v>0</v>
      </c>
      <c r="D59" s="11">
        <v>0</v>
      </c>
      <c r="E59" s="2">
        <f t="shared" si="0"/>
        <v>0</v>
      </c>
      <c r="F59" s="11">
        <v>0</v>
      </c>
      <c r="G59" s="14" t="e">
        <f t="shared" si="1"/>
        <v>#DIV/0!</v>
      </c>
    </row>
    <row r="60" spans="1:7">
      <c r="A60" s="1">
        <v>27</v>
      </c>
      <c r="B60" s="1" t="s">
        <v>9</v>
      </c>
      <c r="C60" s="11">
        <v>42.885999999999996</v>
      </c>
      <c r="D60" s="11">
        <v>42.2</v>
      </c>
      <c r="E60" s="2">
        <f t="shared" si="0"/>
        <v>0.68599999999999284</v>
      </c>
      <c r="F60" s="11">
        <v>0</v>
      </c>
      <c r="G60" s="14">
        <f t="shared" si="1"/>
        <v>1.5995896096628104E-2</v>
      </c>
    </row>
    <row r="61" spans="1:7">
      <c r="A61" s="1">
        <v>28</v>
      </c>
      <c r="B61" s="1" t="s">
        <v>9</v>
      </c>
      <c r="C61" s="11">
        <v>0</v>
      </c>
      <c r="D61" s="11">
        <v>0</v>
      </c>
      <c r="E61" s="2">
        <f t="shared" si="0"/>
        <v>0</v>
      </c>
      <c r="F61" s="11">
        <v>0</v>
      </c>
      <c r="G61" s="14" t="e">
        <f t="shared" si="1"/>
        <v>#DIV/0!</v>
      </c>
    </row>
    <row r="62" spans="1:7">
      <c r="A62" s="1">
        <v>29</v>
      </c>
      <c r="B62" s="1" t="s">
        <v>9</v>
      </c>
      <c r="C62" s="11">
        <v>21.47</v>
      </c>
      <c r="D62" s="11">
        <v>21.34</v>
      </c>
      <c r="E62" s="2">
        <f t="shared" si="0"/>
        <v>0.12999999999999901</v>
      </c>
      <c r="F62" s="11">
        <v>0</v>
      </c>
      <c r="G62" s="14">
        <f t="shared" si="1"/>
        <v>6.0549604098741969E-3</v>
      </c>
    </row>
    <row r="63" spans="1:7">
      <c r="A63" s="1">
        <v>30</v>
      </c>
      <c r="B63" s="1" t="s">
        <v>9</v>
      </c>
      <c r="C63" s="11">
        <v>22.63</v>
      </c>
      <c r="D63" s="11">
        <v>22.46</v>
      </c>
      <c r="E63" s="2">
        <f t="shared" si="0"/>
        <v>0.16999999999999815</v>
      </c>
      <c r="F63" s="11">
        <v>0</v>
      </c>
      <c r="G63" s="14">
        <f t="shared" si="1"/>
        <v>7.5121520106053094E-3</v>
      </c>
    </row>
    <row r="64" spans="1:7">
      <c r="A64" s="1">
        <v>31</v>
      </c>
      <c r="B64" s="1" t="s">
        <v>9</v>
      </c>
      <c r="C64" s="11">
        <v>97.882000000000005</v>
      </c>
      <c r="D64" s="11">
        <v>97.14</v>
      </c>
      <c r="E64" s="2">
        <f t="shared" si="0"/>
        <v>0.74200000000000443</v>
      </c>
      <c r="F64" s="11">
        <v>9.1999999999999998E-2</v>
      </c>
      <c r="G64" s="14">
        <f t="shared" si="1"/>
        <v>8.5204634151325506E-3</v>
      </c>
    </row>
    <row r="65" spans="1:7">
      <c r="A65" s="1">
        <v>1</v>
      </c>
      <c r="B65" s="1" t="s">
        <v>10</v>
      </c>
      <c r="C65" s="11">
        <v>0</v>
      </c>
      <c r="D65" s="11">
        <v>0</v>
      </c>
      <c r="E65" s="2">
        <f t="shared" si="0"/>
        <v>0</v>
      </c>
      <c r="F65" s="11">
        <v>0</v>
      </c>
      <c r="G65" s="14" t="e">
        <f t="shared" si="1"/>
        <v>#DIV/0!</v>
      </c>
    </row>
    <row r="66" spans="1:7">
      <c r="A66" s="1">
        <v>2</v>
      </c>
      <c r="B66" s="1" t="s">
        <v>10</v>
      </c>
      <c r="C66" s="11">
        <v>0</v>
      </c>
      <c r="D66" s="11">
        <v>0</v>
      </c>
      <c r="E66" s="2">
        <f t="shared" si="0"/>
        <v>0</v>
      </c>
      <c r="F66" s="11">
        <v>0</v>
      </c>
      <c r="G66" s="14" t="e">
        <f t="shared" si="1"/>
        <v>#DIV/0!</v>
      </c>
    </row>
    <row r="67" spans="1:7">
      <c r="A67" s="1">
        <v>3</v>
      </c>
      <c r="B67" s="1" t="s">
        <v>10</v>
      </c>
      <c r="C67" s="11">
        <v>27.9</v>
      </c>
      <c r="D67" s="11">
        <v>27.57</v>
      </c>
      <c r="E67" s="2">
        <f t="shared" si="0"/>
        <v>0.32999999999999829</v>
      </c>
      <c r="F67" s="11">
        <v>0.41199999999999998</v>
      </c>
      <c r="G67" s="14">
        <f t="shared" si="1"/>
        <v>2.6594982078852983E-2</v>
      </c>
    </row>
    <row r="68" spans="1:7">
      <c r="A68" s="1">
        <v>4</v>
      </c>
      <c r="B68" s="1" t="s">
        <v>10</v>
      </c>
      <c r="C68" s="11">
        <v>0</v>
      </c>
      <c r="D68" s="11">
        <v>0</v>
      </c>
      <c r="E68" s="2">
        <f t="shared" ref="E68:E131" si="2">C68-D68</f>
        <v>0</v>
      </c>
      <c r="F68" s="11">
        <v>0</v>
      </c>
      <c r="G68" s="14" t="e">
        <f t="shared" ref="G68:G131" si="3">(E68+F68)/C68</f>
        <v>#DIV/0!</v>
      </c>
    </row>
    <row r="69" spans="1:7">
      <c r="A69" s="1">
        <v>5</v>
      </c>
      <c r="B69" s="1" t="s">
        <v>10</v>
      </c>
      <c r="C69" s="11">
        <v>0</v>
      </c>
      <c r="D69" s="11">
        <v>0</v>
      </c>
      <c r="E69" s="2">
        <f t="shared" si="2"/>
        <v>0</v>
      </c>
      <c r="F69" s="11">
        <v>0</v>
      </c>
      <c r="G69" s="14" t="e">
        <f t="shared" si="3"/>
        <v>#DIV/0!</v>
      </c>
    </row>
    <row r="70" spans="1:7">
      <c r="A70" s="1">
        <v>6</v>
      </c>
      <c r="B70" s="1" t="s">
        <v>10</v>
      </c>
      <c r="C70" s="11">
        <v>0</v>
      </c>
      <c r="D70" s="11">
        <v>0</v>
      </c>
      <c r="E70" s="2">
        <f t="shared" si="2"/>
        <v>0</v>
      </c>
      <c r="F70" s="11">
        <v>0</v>
      </c>
      <c r="G70" s="14" t="e">
        <f t="shared" si="3"/>
        <v>#DIV/0!</v>
      </c>
    </row>
    <row r="71" spans="1:7">
      <c r="A71" s="1">
        <v>7</v>
      </c>
      <c r="B71" s="1" t="s">
        <v>10</v>
      </c>
      <c r="C71" s="11">
        <v>0</v>
      </c>
      <c r="D71" s="11">
        <v>0</v>
      </c>
      <c r="E71" s="2">
        <f t="shared" si="2"/>
        <v>0</v>
      </c>
      <c r="F71" s="11">
        <v>0</v>
      </c>
      <c r="G71" s="14" t="e">
        <f t="shared" si="3"/>
        <v>#DIV/0!</v>
      </c>
    </row>
    <row r="72" spans="1:7">
      <c r="A72" s="1">
        <v>10</v>
      </c>
      <c r="B72" s="1" t="s">
        <v>10</v>
      </c>
      <c r="C72" s="11">
        <v>23.95</v>
      </c>
      <c r="D72" s="11">
        <v>23.57</v>
      </c>
      <c r="E72" s="2">
        <f t="shared" si="2"/>
        <v>0.37999999999999901</v>
      </c>
      <c r="F72" s="11">
        <v>0.182</v>
      </c>
      <c r="G72" s="14">
        <f t="shared" si="3"/>
        <v>2.3465553235908099E-2</v>
      </c>
    </row>
    <row r="73" spans="1:7">
      <c r="A73" s="1">
        <v>8</v>
      </c>
      <c r="B73" s="1" t="s">
        <v>10</v>
      </c>
      <c r="C73" s="11">
        <v>21.82</v>
      </c>
      <c r="D73" s="11">
        <v>21.64</v>
      </c>
      <c r="E73" s="2">
        <f t="shared" si="2"/>
        <v>0.17999999999999972</v>
      </c>
      <c r="F73" s="11">
        <v>0.23799999999999999</v>
      </c>
      <c r="G73" s="14">
        <f t="shared" si="3"/>
        <v>1.9156736938588437E-2</v>
      </c>
    </row>
    <row r="74" spans="1:7">
      <c r="A74" s="1">
        <v>9</v>
      </c>
      <c r="B74" s="1" t="s">
        <v>10</v>
      </c>
      <c r="C74" s="11">
        <v>26.4</v>
      </c>
      <c r="D74" s="11">
        <v>26.07</v>
      </c>
      <c r="E74" s="2">
        <f t="shared" si="2"/>
        <v>0.32999999999999829</v>
      </c>
      <c r="F74" s="11">
        <v>0</v>
      </c>
      <c r="G74" s="14">
        <f t="shared" si="3"/>
        <v>1.2499999999999937E-2</v>
      </c>
    </row>
    <row r="75" spans="1:7">
      <c r="A75" s="1">
        <v>11</v>
      </c>
      <c r="B75" s="1" t="s">
        <v>10</v>
      </c>
      <c r="C75" s="11">
        <v>73</v>
      </c>
      <c r="D75" s="11">
        <v>72.180000000000007</v>
      </c>
      <c r="E75" s="2">
        <f t="shared" si="2"/>
        <v>0.81999999999999318</v>
      </c>
      <c r="F75" s="11">
        <v>0.311</v>
      </c>
      <c r="G75" s="14">
        <f t="shared" si="3"/>
        <v>1.5493150684931413E-2</v>
      </c>
    </row>
    <row r="76" spans="1:7">
      <c r="A76" s="1">
        <v>12</v>
      </c>
      <c r="B76" s="1" t="s">
        <v>10</v>
      </c>
      <c r="C76" s="11">
        <v>26.1</v>
      </c>
      <c r="D76" s="11">
        <v>25.62</v>
      </c>
      <c r="E76" s="2">
        <f t="shared" si="2"/>
        <v>0.48000000000000043</v>
      </c>
      <c r="F76" s="11">
        <v>0.29599999999999999</v>
      </c>
      <c r="G76" s="14">
        <f t="shared" si="3"/>
        <v>2.9731800766283543E-2</v>
      </c>
    </row>
    <row r="77" spans="1:7">
      <c r="A77" s="1">
        <v>13</v>
      </c>
      <c r="B77" s="1" t="s">
        <v>10</v>
      </c>
      <c r="C77" s="11">
        <v>49.35</v>
      </c>
      <c r="D77" s="11">
        <v>48.61</v>
      </c>
      <c r="E77" s="2">
        <f t="shared" si="2"/>
        <v>0.74000000000000199</v>
      </c>
      <c r="F77" s="11">
        <v>0.32600000000000051</v>
      </c>
      <c r="G77" s="14">
        <f t="shared" si="3"/>
        <v>2.1600810536980798E-2</v>
      </c>
    </row>
    <row r="78" spans="1:7">
      <c r="A78" s="1">
        <v>14</v>
      </c>
      <c r="B78" s="1" t="s">
        <v>10</v>
      </c>
      <c r="C78" s="11">
        <v>50.95</v>
      </c>
      <c r="D78" s="11">
        <v>50.14</v>
      </c>
      <c r="E78" s="2">
        <f t="shared" si="2"/>
        <v>0.81000000000000227</v>
      </c>
      <c r="F78" s="11">
        <v>0.28599999999999998</v>
      </c>
      <c r="G78" s="14">
        <f t="shared" si="3"/>
        <v>2.1511285574092293E-2</v>
      </c>
    </row>
    <row r="79" spans="1:7">
      <c r="A79" s="1">
        <v>15</v>
      </c>
      <c r="B79" s="1" t="s">
        <v>10</v>
      </c>
      <c r="C79" s="11">
        <v>0</v>
      </c>
      <c r="D79" s="11">
        <v>0</v>
      </c>
      <c r="E79" s="2">
        <f t="shared" si="2"/>
        <v>0</v>
      </c>
      <c r="F79" s="11">
        <v>0.26200000000000001</v>
      </c>
      <c r="G79" s="14" t="e">
        <f t="shared" si="3"/>
        <v>#DIV/0!</v>
      </c>
    </row>
    <row r="80" spans="1:7">
      <c r="A80" s="1">
        <v>16</v>
      </c>
      <c r="B80" s="1" t="s">
        <v>10</v>
      </c>
      <c r="C80" s="11">
        <v>53.56</v>
      </c>
      <c r="D80" s="11">
        <v>52.96</v>
      </c>
      <c r="E80" s="2">
        <f t="shared" si="2"/>
        <v>0.60000000000000142</v>
      </c>
      <c r="F80" s="11">
        <v>0.26700000000000002</v>
      </c>
      <c r="G80" s="14">
        <f t="shared" si="3"/>
        <v>1.6187453323375678E-2</v>
      </c>
    </row>
    <row r="81" spans="1:7">
      <c r="A81" s="1">
        <v>17</v>
      </c>
      <c r="B81" s="1" t="s">
        <v>10</v>
      </c>
      <c r="C81" s="11">
        <v>17.149999999999999</v>
      </c>
      <c r="D81" s="11">
        <v>17.079999999999998</v>
      </c>
      <c r="E81" s="2">
        <f t="shared" si="2"/>
        <v>7.0000000000000284E-2</v>
      </c>
      <c r="F81" s="11">
        <v>0.14199999999999999</v>
      </c>
      <c r="G81" s="14">
        <f t="shared" si="3"/>
        <v>1.2361516034985439E-2</v>
      </c>
    </row>
    <row r="82" spans="1:7">
      <c r="A82" s="1">
        <v>18</v>
      </c>
      <c r="B82" s="1" t="s">
        <v>10</v>
      </c>
      <c r="C82" s="11">
        <v>23.1</v>
      </c>
      <c r="D82" s="11">
        <v>22.33</v>
      </c>
      <c r="E82" s="2">
        <f t="shared" si="2"/>
        <v>0.77000000000000313</v>
      </c>
      <c r="F82" s="11">
        <v>0.27600000000000002</v>
      </c>
      <c r="G82" s="14">
        <f t="shared" si="3"/>
        <v>4.5281385281385415E-2</v>
      </c>
    </row>
    <row r="83" spans="1:7">
      <c r="A83" s="1">
        <v>19</v>
      </c>
      <c r="B83" s="1" t="s">
        <v>10</v>
      </c>
      <c r="C83" s="11">
        <v>0</v>
      </c>
      <c r="D83" s="11">
        <v>0</v>
      </c>
      <c r="E83" s="2">
        <f t="shared" si="2"/>
        <v>0</v>
      </c>
      <c r="F83" s="11">
        <v>0.22600000000000001</v>
      </c>
      <c r="G83" s="14" t="e">
        <f t="shared" si="3"/>
        <v>#DIV/0!</v>
      </c>
    </row>
    <row r="84" spans="1:7">
      <c r="A84" s="1">
        <v>20</v>
      </c>
      <c r="B84" s="1" t="s">
        <v>10</v>
      </c>
      <c r="C84" s="11">
        <v>0</v>
      </c>
      <c r="D84" s="11">
        <v>0</v>
      </c>
      <c r="E84" s="2">
        <f t="shared" si="2"/>
        <v>0</v>
      </c>
      <c r="F84" s="11">
        <v>0</v>
      </c>
      <c r="G84" s="14" t="e">
        <f t="shared" si="3"/>
        <v>#DIV/0!</v>
      </c>
    </row>
    <row r="85" spans="1:7">
      <c r="A85" s="1">
        <v>21</v>
      </c>
      <c r="B85" s="1" t="s">
        <v>10</v>
      </c>
      <c r="C85" s="11">
        <v>27.65</v>
      </c>
      <c r="D85" s="11">
        <v>27.23</v>
      </c>
      <c r="E85" s="2">
        <f t="shared" si="2"/>
        <v>0.41999999999999815</v>
      </c>
      <c r="F85" s="11">
        <v>0.27600000000000002</v>
      </c>
      <c r="G85" s="14">
        <f t="shared" si="3"/>
        <v>2.5171790235081308E-2</v>
      </c>
    </row>
    <row r="86" spans="1:7">
      <c r="A86" s="1">
        <v>22</v>
      </c>
      <c r="B86" s="1" t="s">
        <v>10</v>
      </c>
      <c r="C86" s="11">
        <v>20.27</v>
      </c>
      <c r="D86" s="11">
        <v>19.93</v>
      </c>
      <c r="E86" s="2">
        <f t="shared" si="2"/>
        <v>0.33999999999999986</v>
      </c>
      <c r="F86" s="11">
        <v>0.14300000000000099</v>
      </c>
      <c r="G86" s="14">
        <f t="shared" si="3"/>
        <v>2.3828317710902856E-2</v>
      </c>
    </row>
    <row r="87" spans="1:7">
      <c r="A87" s="1">
        <v>23</v>
      </c>
      <c r="B87" s="1" t="s">
        <v>10</v>
      </c>
      <c r="C87" s="11">
        <v>0</v>
      </c>
      <c r="D87" s="11">
        <v>0</v>
      </c>
      <c r="E87" s="2">
        <f t="shared" si="2"/>
        <v>0</v>
      </c>
      <c r="F87" s="11">
        <v>0.16400000000000001</v>
      </c>
      <c r="G87" s="3" t="e">
        <f t="shared" si="3"/>
        <v>#DIV/0!</v>
      </c>
    </row>
    <row r="88" spans="1:7">
      <c r="A88" s="1">
        <v>24</v>
      </c>
      <c r="B88" s="1" t="s">
        <v>10</v>
      </c>
      <c r="C88" s="11">
        <v>0</v>
      </c>
      <c r="D88" s="11">
        <v>0</v>
      </c>
      <c r="E88" s="2">
        <f t="shared" si="2"/>
        <v>0</v>
      </c>
      <c r="F88" s="11">
        <v>0</v>
      </c>
      <c r="G88" s="3" t="e">
        <f t="shared" si="3"/>
        <v>#DIV/0!</v>
      </c>
    </row>
    <row r="89" spans="1:7">
      <c r="A89" s="1">
        <v>25</v>
      </c>
      <c r="B89" s="1" t="s">
        <v>10</v>
      </c>
      <c r="C89" s="11">
        <v>0</v>
      </c>
      <c r="D89" s="11">
        <v>0</v>
      </c>
      <c r="E89" s="2">
        <f t="shared" si="2"/>
        <v>0</v>
      </c>
      <c r="F89" s="11">
        <v>0</v>
      </c>
      <c r="G89" s="3" t="e">
        <f t="shared" si="3"/>
        <v>#DIV/0!</v>
      </c>
    </row>
    <row r="90" spans="1:7">
      <c r="A90" s="1">
        <v>26</v>
      </c>
      <c r="B90" s="1" t="s">
        <v>10</v>
      </c>
      <c r="C90" s="11">
        <v>0</v>
      </c>
      <c r="D90" s="11">
        <v>0</v>
      </c>
      <c r="E90" s="2">
        <f t="shared" si="2"/>
        <v>0</v>
      </c>
      <c r="F90" s="11">
        <v>0</v>
      </c>
      <c r="G90" s="14" t="e">
        <f t="shared" si="3"/>
        <v>#DIV/0!</v>
      </c>
    </row>
    <row r="91" spans="1:7">
      <c r="A91" s="1">
        <v>27</v>
      </c>
      <c r="B91" s="1" t="s">
        <v>10</v>
      </c>
      <c r="C91" s="11">
        <v>0</v>
      </c>
      <c r="D91" s="11">
        <v>0</v>
      </c>
      <c r="E91" s="2">
        <f t="shared" si="2"/>
        <v>0</v>
      </c>
      <c r="F91" s="11">
        <v>0</v>
      </c>
      <c r="G91" s="14" t="e">
        <f t="shared" si="3"/>
        <v>#DIV/0!</v>
      </c>
    </row>
    <row r="92" spans="1:7">
      <c r="A92" s="1">
        <v>28</v>
      </c>
      <c r="B92" s="1" t="s">
        <v>10</v>
      </c>
      <c r="C92" s="11">
        <v>0</v>
      </c>
      <c r="D92" s="11">
        <v>0</v>
      </c>
      <c r="E92" s="2">
        <f t="shared" si="2"/>
        <v>0</v>
      </c>
      <c r="F92" s="11">
        <v>0</v>
      </c>
      <c r="G92" s="14" t="e">
        <f t="shared" si="3"/>
        <v>#DIV/0!</v>
      </c>
    </row>
    <row r="93" spans="1:7">
      <c r="A93" s="1">
        <v>29</v>
      </c>
      <c r="B93" s="1" t="s">
        <v>10</v>
      </c>
      <c r="C93" s="11">
        <v>0</v>
      </c>
      <c r="D93" s="11">
        <v>0</v>
      </c>
      <c r="E93" s="2">
        <f t="shared" si="2"/>
        <v>0</v>
      </c>
      <c r="F93" s="11">
        <v>0</v>
      </c>
      <c r="G93" s="14" t="e">
        <f t="shared" si="3"/>
        <v>#DIV/0!</v>
      </c>
    </row>
    <row r="94" spans="1:7">
      <c r="A94" s="1">
        <v>30</v>
      </c>
      <c r="B94" s="1" t="s">
        <v>10</v>
      </c>
      <c r="C94" s="11">
        <v>18.77</v>
      </c>
      <c r="D94" s="11">
        <v>18.13</v>
      </c>
      <c r="E94" s="2">
        <f t="shared" si="2"/>
        <v>0.64000000000000057</v>
      </c>
      <c r="F94" s="11">
        <v>0</v>
      </c>
      <c r="G94" s="14">
        <f t="shared" si="3"/>
        <v>3.409696323921154E-2</v>
      </c>
    </row>
    <row r="95" spans="1:7">
      <c r="A95" s="1">
        <v>31</v>
      </c>
      <c r="B95" s="1" t="s">
        <v>10</v>
      </c>
      <c r="C95" s="11">
        <v>21.61</v>
      </c>
      <c r="D95" s="11">
        <v>21.29</v>
      </c>
      <c r="E95" s="2">
        <f t="shared" si="2"/>
        <v>0.32000000000000028</v>
      </c>
      <c r="F95" s="11">
        <v>0</v>
      </c>
      <c r="G95" s="14">
        <f t="shared" si="3"/>
        <v>1.4807959278111999E-2</v>
      </c>
    </row>
    <row r="96" spans="1:7">
      <c r="A96" s="1">
        <v>1</v>
      </c>
      <c r="B96" s="1" t="s">
        <v>11</v>
      </c>
      <c r="C96" s="11">
        <v>27.27</v>
      </c>
      <c r="D96" s="11">
        <v>26.96</v>
      </c>
      <c r="E96" s="2">
        <f t="shared" si="2"/>
        <v>0.30999999999999872</v>
      </c>
      <c r="F96" s="11">
        <v>0</v>
      </c>
      <c r="G96" s="14">
        <f t="shared" si="3"/>
        <v>1.1367803447011321E-2</v>
      </c>
    </row>
    <row r="97" spans="1:7">
      <c r="A97" s="1">
        <v>2</v>
      </c>
      <c r="B97" s="1" t="s">
        <v>11</v>
      </c>
      <c r="C97" s="11">
        <v>27.31</v>
      </c>
      <c r="D97" s="11">
        <v>26.94</v>
      </c>
      <c r="E97" s="2">
        <f t="shared" si="2"/>
        <v>0.36999999999999744</v>
      </c>
      <c r="F97" s="11">
        <v>0</v>
      </c>
      <c r="G97" s="14">
        <f t="shared" si="3"/>
        <v>1.354815086049057E-2</v>
      </c>
    </row>
    <row r="98" spans="1:7">
      <c r="A98" s="1">
        <v>3</v>
      </c>
      <c r="B98" s="1" t="s">
        <v>11</v>
      </c>
      <c r="C98" s="11">
        <v>51.43</v>
      </c>
      <c r="D98" s="11">
        <v>51.14</v>
      </c>
      <c r="E98" s="2">
        <f t="shared" si="2"/>
        <v>0.28999999999999915</v>
      </c>
      <c r="F98" s="11">
        <v>0</v>
      </c>
      <c r="G98" s="14">
        <f t="shared" si="3"/>
        <v>5.6387322574372768E-3</v>
      </c>
    </row>
    <row r="99" spans="1:7">
      <c r="A99" s="1">
        <v>4</v>
      </c>
      <c r="B99" s="1" t="s">
        <v>11</v>
      </c>
      <c r="C99" s="11">
        <v>43.11</v>
      </c>
      <c r="D99" s="11">
        <v>42.64</v>
      </c>
      <c r="E99" s="2">
        <f t="shared" si="2"/>
        <v>0.46999999999999886</v>
      </c>
      <c r="F99" s="11">
        <v>0</v>
      </c>
      <c r="G99" s="14">
        <f t="shared" si="3"/>
        <v>1.0902342843887703E-2</v>
      </c>
    </row>
    <row r="100" spans="1:7">
      <c r="A100" s="1">
        <v>5</v>
      </c>
      <c r="B100" s="1" t="s">
        <v>11</v>
      </c>
      <c r="C100" s="11">
        <v>0</v>
      </c>
      <c r="D100" s="11">
        <v>0</v>
      </c>
      <c r="E100" s="2">
        <f t="shared" si="2"/>
        <v>0</v>
      </c>
      <c r="F100" s="11">
        <v>0</v>
      </c>
      <c r="G100" s="14" t="e">
        <f t="shared" si="3"/>
        <v>#DIV/0!</v>
      </c>
    </row>
    <row r="101" spans="1:7">
      <c r="A101" s="1">
        <v>6</v>
      </c>
      <c r="B101" s="1" t="s">
        <v>11</v>
      </c>
      <c r="C101" s="11">
        <v>26.01</v>
      </c>
      <c r="D101" s="11">
        <v>25.8</v>
      </c>
      <c r="E101" s="2">
        <f t="shared" si="2"/>
        <v>0.21000000000000085</v>
      </c>
      <c r="F101" s="11">
        <v>0</v>
      </c>
      <c r="G101" s="14">
        <f t="shared" si="3"/>
        <v>8.0738177623991096E-3</v>
      </c>
    </row>
    <row r="102" spans="1:7">
      <c r="A102" s="1">
        <v>7</v>
      </c>
      <c r="B102" s="1" t="s">
        <v>11</v>
      </c>
      <c r="C102" s="11">
        <v>24.28</v>
      </c>
      <c r="D102" s="11">
        <v>24.14</v>
      </c>
      <c r="E102" s="2">
        <f t="shared" si="2"/>
        <v>0.14000000000000057</v>
      </c>
      <c r="F102" s="11">
        <v>0</v>
      </c>
      <c r="G102" s="14">
        <f t="shared" si="3"/>
        <v>5.7660626029654265E-3</v>
      </c>
    </row>
    <row r="103" spans="1:7">
      <c r="A103" s="1">
        <v>10</v>
      </c>
      <c r="B103" s="1" t="s">
        <v>11</v>
      </c>
      <c r="C103" s="11">
        <v>42.33</v>
      </c>
      <c r="D103" s="11">
        <v>41.94</v>
      </c>
      <c r="E103" s="2">
        <f t="shared" si="2"/>
        <v>0.39000000000000057</v>
      </c>
      <c r="F103" s="11">
        <v>0</v>
      </c>
      <c r="G103" s="14">
        <f t="shared" si="3"/>
        <v>9.2133238837703892E-3</v>
      </c>
    </row>
    <row r="104" spans="1:7">
      <c r="A104" s="1">
        <v>8</v>
      </c>
      <c r="B104" s="1" t="s">
        <v>11</v>
      </c>
      <c r="C104" s="11">
        <v>37.86</v>
      </c>
      <c r="D104" s="11">
        <v>37.619999999999997</v>
      </c>
      <c r="E104" s="2">
        <f t="shared" si="2"/>
        <v>0.24000000000000199</v>
      </c>
      <c r="F104" s="11">
        <v>0</v>
      </c>
      <c r="G104" s="14">
        <f t="shared" si="3"/>
        <v>6.3391442155309556E-3</v>
      </c>
    </row>
    <row r="105" spans="1:7">
      <c r="A105" s="1">
        <v>9</v>
      </c>
      <c r="B105" s="1" t="s">
        <v>11</v>
      </c>
      <c r="C105" s="11">
        <v>26.9</v>
      </c>
      <c r="D105" s="11">
        <v>25.8</v>
      </c>
      <c r="E105" s="2">
        <f t="shared" si="2"/>
        <v>1.0999999999999979</v>
      </c>
      <c r="F105" s="11">
        <v>0</v>
      </c>
      <c r="G105" s="14">
        <f t="shared" si="3"/>
        <v>4.0892193308550109E-2</v>
      </c>
    </row>
    <row r="106" spans="1:7">
      <c r="A106" s="1">
        <v>11</v>
      </c>
      <c r="B106" s="1" t="s">
        <v>11</v>
      </c>
      <c r="C106" s="11">
        <v>25.61</v>
      </c>
      <c r="D106" s="11">
        <v>25.48</v>
      </c>
      <c r="E106" s="2">
        <f t="shared" si="2"/>
        <v>0.12999999999999901</v>
      </c>
      <c r="F106" s="11">
        <v>0</v>
      </c>
      <c r="G106" s="14">
        <f t="shared" si="3"/>
        <v>5.0761421319796569E-3</v>
      </c>
    </row>
    <row r="107" spans="1:7">
      <c r="A107" s="1">
        <v>12</v>
      </c>
      <c r="B107" s="1" t="s">
        <v>11</v>
      </c>
      <c r="C107" s="11">
        <v>0</v>
      </c>
      <c r="D107" s="11">
        <v>0</v>
      </c>
      <c r="E107" s="2">
        <f t="shared" si="2"/>
        <v>0</v>
      </c>
      <c r="F107" s="11">
        <v>0</v>
      </c>
      <c r="G107" s="14" t="e">
        <f t="shared" si="3"/>
        <v>#DIV/0!</v>
      </c>
    </row>
    <row r="108" spans="1:7">
      <c r="A108" s="1">
        <v>13</v>
      </c>
      <c r="B108" s="1" t="s">
        <v>11</v>
      </c>
      <c r="C108" s="11">
        <v>0</v>
      </c>
      <c r="D108" s="11">
        <v>0</v>
      </c>
      <c r="E108" s="2">
        <f t="shared" si="2"/>
        <v>0</v>
      </c>
      <c r="F108" s="11">
        <v>0</v>
      </c>
      <c r="G108" s="14" t="e">
        <f t="shared" si="3"/>
        <v>#DIV/0!</v>
      </c>
    </row>
    <row r="109" spans="1:7">
      <c r="A109" s="1">
        <v>14</v>
      </c>
      <c r="B109" s="1" t="s">
        <v>11</v>
      </c>
      <c r="C109" s="11">
        <v>23.04</v>
      </c>
      <c r="D109" s="11">
        <v>22.7</v>
      </c>
      <c r="E109" s="2">
        <f t="shared" si="2"/>
        <v>0.33999999999999986</v>
      </c>
      <c r="F109" s="11">
        <v>0</v>
      </c>
      <c r="G109" s="14">
        <f t="shared" si="3"/>
        <v>1.4756944444444439E-2</v>
      </c>
    </row>
    <row r="110" spans="1:7">
      <c r="A110" s="1">
        <v>15</v>
      </c>
      <c r="B110" s="1" t="s">
        <v>11</v>
      </c>
      <c r="C110" s="11">
        <v>41.34</v>
      </c>
      <c r="D110" s="11">
        <v>41.1</v>
      </c>
      <c r="E110" s="2">
        <f t="shared" si="2"/>
        <v>0.24000000000000199</v>
      </c>
      <c r="F110" s="11">
        <v>0</v>
      </c>
      <c r="G110" s="14">
        <f t="shared" si="3"/>
        <v>5.8055152394775513E-3</v>
      </c>
    </row>
    <row r="111" spans="1:7">
      <c r="A111" s="1">
        <v>16</v>
      </c>
      <c r="B111" s="1" t="s">
        <v>11</v>
      </c>
      <c r="C111" s="11">
        <v>23.41</v>
      </c>
      <c r="D111" s="11">
        <v>23.36</v>
      </c>
      <c r="E111" s="2">
        <f t="shared" si="2"/>
        <v>5.0000000000000711E-2</v>
      </c>
      <c r="F111" s="11">
        <v>1.556</v>
      </c>
      <c r="G111" s="14">
        <f t="shared" si="3"/>
        <v>6.8603161042289654E-2</v>
      </c>
    </row>
    <row r="112" spans="1:7">
      <c r="A112" s="1">
        <v>17</v>
      </c>
      <c r="B112" s="1" t="s">
        <v>11</v>
      </c>
      <c r="C112" s="11">
        <v>0</v>
      </c>
      <c r="D112" s="11">
        <v>0</v>
      </c>
      <c r="E112" s="2">
        <f t="shared" si="2"/>
        <v>0</v>
      </c>
      <c r="F112" s="11">
        <v>0.42799999999999999</v>
      </c>
      <c r="G112" s="14" t="e">
        <f t="shared" si="3"/>
        <v>#DIV/0!</v>
      </c>
    </row>
    <row r="113" spans="1:7">
      <c r="A113" s="1">
        <v>18</v>
      </c>
      <c r="B113" s="1" t="s">
        <v>11</v>
      </c>
      <c r="C113" s="11">
        <v>30.65</v>
      </c>
      <c r="D113" s="11">
        <v>30.5</v>
      </c>
      <c r="E113" s="2">
        <f t="shared" si="2"/>
        <v>0.14999999999999858</v>
      </c>
      <c r="F113" s="11">
        <v>0</v>
      </c>
      <c r="G113" s="14">
        <f t="shared" si="3"/>
        <v>4.8939641109298068E-3</v>
      </c>
    </row>
    <row r="114" spans="1:7">
      <c r="A114" s="1">
        <v>19</v>
      </c>
      <c r="B114" s="1" t="s">
        <v>11</v>
      </c>
      <c r="C114" s="11">
        <v>22.71</v>
      </c>
      <c r="D114" s="11">
        <v>22.6</v>
      </c>
      <c r="E114" s="2">
        <f t="shared" si="2"/>
        <v>0.10999999999999943</v>
      </c>
      <c r="F114" s="11">
        <v>0</v>
      </c>
      <c r="G114" s="14">
        <f t="shared" si="3"/>
        <v>4.8436811977102343E-3</v>
      </c>
    </row>
    <row r="115" spans="1:7">
      <c r="A115" s="1">
        <v>20</v>
      </c>
      <c r="B115" s="1" t="s">
        <v>11</v>
      </c>
      <c r="C115" s="11">
        <v>37.64</v>
      </c>
      <c r="D115" s="11">
        <v>37.5</v>
      </c>
      <c r="E115" s="2">
        <f t="shared" si="2"/>
        <v>0.14000000000000057</v>
      </c>
      <c r="F115" s="11">
        <v>0</v>
      </c>
      <c r="G115" s="14">
        <f t="shared" si="3"/>
        <v>3.7194473963868377E-3</v>
      </c>
    </row>
    <row r="116" spans="1:7">
      <c r="A116" s="1">
        <v>21</v>
      </c>
      <c r="B116" s="1" t="s">
        <v>11</v>
      </c>
      <c r="C116" s="11">
        <v>26.7</v>
      </c>
      <c r="D116" s="11">
        <v>26.14</v>
      </c>
      <c r="E116" s="2">
        <f t="shared" si="2"/>
        <v>0.55999999999999872</v>
      </c>
      <c r="F116" s="11">
        <v>0</v>
      </c>
      <c r="G116" s="14">
        <f t="shared" si="3"/>
        <v>2.0973782771535533E-2</v>
      </c>
    </row>
    <row r="117" spans="1:7">
      <c r="A117" s="1">
        <v>22</v>
      </c>
      <c r="B117" s="1" t="s">
        <v>11</v>
      </c>
      <c r="C117" s="11">
        <v>0</v>
      </c>
      <c r="D117" s="11">
        <v>0</v>
      </c>
      <c r="E117" s="2">
        <f t="shared" si="2"/>
        <v>0</v>
      </c>
      <c r="F117" s="11">
        <v>0</v>
      </c>
      <c r="G117" s="14" t="e">
        <f t="shared" si="3"/>
        <v>#DIV/0!</v>
      </c>
    </row>
    <row r="118" spans="1:7">
      <c r="A118" s="1">
        <v>23</v>
      </c>
      <c r="B118" s="1" t="s">
        <v>11</v>
      </c>
      <c r="C118" s="11">
        <v>0</v>
      </c>
      <c r="D118" s="11">
        <v>0</v>
      </c>
      <c r="E118" s="2">
        <f t="shared" si="2"/>
        <v>0</v>
      </c>
      <c r="F118" s="11">
        <v>0</v>
      </c>
      <c r="G118" s="3" t="e">
        <f t="shared" si="3"/>
        <v>#DIV/0!</v>
      </c>
    </row>
    <row r="119" spans="1:7">
      <c r="A119" s="1">
        <v>24</v>
      </c>
      <c r="B119" s="1" t="s">
        <v>11</v>
      </c>
      <c r="C119" s="11">
        <v>24.85</v>
      </c>
      <c r="D119" s="11">
        <v>24.82</v>
      </c>
      <c r="E119" s="2">
        <f t="shared" si="2"/>
        <v>3.0000000000001137E-2</v>
      </c>
      <c r="F119" s="11">
        <v>0</v>
      </c>
      <c r="G119" s="3">
        <f t="shared" si="3"/>
        <v>1.2072434607646332E-3</v>
      </c>
    </row>
    <row r="120" spans="1:7">
      <c r="A120" s="1">
        <v>25</v>
      </c>
      <c r="B120" s="1" t="s">
        <v>11</v>
      </c>
      <c r="C120" s="11">
        <v>26.08</v>
      </c>
      <c r="D120" s="11">
        <v>26.04</v>
      </c>
      <c r="E120" s="2">
        <f t="shared" si="2"/>
        <v>3.9999999999999147E-2</v>
      </c>
      <c r="F120" s="11">
        <v>0</v>
      </c>
      <c r="G120" s="3">
        <f t="shared" si="3"/>
        <v>1.5337423312883111E-3</v>
      </c>
    </row>
    <row r="121" spans="1:7">
      <c r="A121" s="1">
        <v>26</v>
      </c>
      <c r="B121" s="1" t="s">
        <v>11</v>
      </c>
      <c r="C121" s="11">
        <v>26.08</v>
      </c>
      <c r="D121" s="11">
        <v>26.04</v>
      </c>
      <c r="E121" s="2">
        <f t="shared" si="2"/>
        <v>3.9999999999999147E-2</v>
      </c>
      <c r="F121" s="11">
        <v>0</v>
      </c>
      <c r="G121" s="14">
        <f t="shared" si="3"/>
        <v>1.5337423312883111E-3</v>
      </c>
    </row>
    <row r="122" spans="1:7">
      <c r="A122" s="1">
        <v>27</v>
      </c>
      <c r="B122" s="1" t="s">
        <v>11</v>
      </c>
      <c r="C122" s="11">
        <v>23.14</v>
      </c>
      <c r="D122" s="11">
        <v>23.08</v>
      </c>
      <c r="E122" s="2">
        <f t="shared" si="2"/>
        <v>6.0000000000002274E-2</v>
      </c>
      <c r="F122" s="11">
        <v>0</v>
      </c>
      <c r="G122" s="14">
        <f t="shared" si="3"/>
        <v>2.5929127052723541E-3</v>
      </c>
    </row>
    <row r="123" spans="1:7">
      <c r="A123" s="1">
        <v>28</v>
      </c>
      <c r="B123" s="1" t="s">
        <v>11</v>
      </c>
      <c r="C123" s="11">
        <v>46.07</v>
      </c>
      <c r="D123" s="11">
        <v>45.7</v>
      </c>
      <c r="E123" s="2">
        <f t="shared" si="2"/>
        <v>0.36999999999999744</v>
      </c>
      <c r="F123" s="11">
        <v>0</v>
      </c>
      <c r="G123" s="14">
        <f t="shared" si="3"/>
        <v>8.031256783156011E-3</v>
      </c>
    </row>
    <row r="124" spans="1:7">
      <c r="A124" s="1">
        <v>29</v>
      </c>
      <c r="B124" s="1" t="s">
        <v>11</v>
      </c>
      <c r="C124" s="11">
        <v>50.36</v>
      </c>
      <c r="D124" s="11">
        <v>50.1</v>
      </c>
      <c r="E124" s="2">
        <f t="shared" si="2"/>
        <v>0.25999999999999801</v>
      </c>
      <c r="F124" s="11">
        <v>0</v>
      </c>
      <c r="G124" s="14">
        <f t="shared" si="3"/>
        <v>5.1628276409848694E-3</v>
      </c>
    </row>
    <row r="125" spans="1:7">
      <c r="A125" s="1">
        <v>30</v>
      </c>
      <c r="B125" s="1" t="s">
        <v>11</v>
      </c>
      <c r="C125" s="11">
        <v>0</v>
      </c>
      <c r="D125" s="11">
        <v>0</v>
      </c>
      <c r="E125" s="2">
        <f t="shared" si="2"/>
        <v>0</v>
      </c>
      <c r="F125" s="11">
        <v>0</v>
      </c>
      <c r="G125" s="14" t="e">
        <f t="shared" si="3"/>
        <v>#DIV/0!</v>
      </c>
    </row>
    <row r="126" spans="1:7">
      <c r="A126" s="1">
        <v>31</v>
      </c>
      <c r="B126" s="1" t="s">
        <v>11</v>
      </c>
      <c r="C126" s="11">
        <v>44.46</v>
      </c>
      <c r="D126" s="11">
        <v>44.1</v>
      </c>
      <c r="E126" s="2">
        <f t="shared" si="2"/>
        <v>0.35999999999999943</v>
      </c>
      <c r="F126" s="11">
        <v>0</v>
      </c>
      <c r="G126" s="14">
        <f t="shared" si="3"/>
        <v>8.0971659919028202E-3</v>
      </c>
    </row>
    <row r="127" spans="1:7">
      <c r="A127" s="1">
        <v>1</v>
      </c>
      <c r="B127" s="1" t="s">
        <v>12</v>
      </c>
      <c r="C127" s="11">
        <v>26.513999999999999</v>
      </c>
      <c r="D127" s="11">
        <v>25.8</v>
      </c>
      <c r="E127" s="2">
        <f t="shared" si="2"/>
        <v>0.71399999999999864</v>
      </c>
      <c r="F127" s="11">
        <v>0.68700000000000472</v>
      </c>
      <c r="G127" s="14">
        <f t="shared" si="3"/>
        <v>5.2840009051821804E-2</v>
      </c>
    </row>
    <row r="128" spans="1:7">
      <c r="A128" s="1">
        <v>2</v>
      </c>
      <c r="B128" s="1" t="s">
        <v>12</v>
      </c>
      <c r="C128" s="11">
        <v>50.64</v>
      </c>
      <c r="D128" s="11">
        <v>50.4</v>
      </c>
      <c r="E128" s="2">
        <f t="shared" si="2"/>
        <v>0.24000000000000199</v>
      </c>
      <c r="F128" s="11">
        <v>1.3480000000000001</v>
      </c>
      <c r="G128" s="14">
        <f t="shared" si="3"/>
        <v>3.1358609794628796E-2</v>
      </c>
    </row>
    <row r="129" spans="1:7">
      <c r="A129" s="1">
        <v>3</v>
      </c>
      <c r="B129" s="1" t="s">
        <v>12</v>
      </c>
      <c r="C129" s="11">
        <v>101.76</v>
      </c>
      <c r="D129" s="11">
        <v>98.85</v>
      </c>
      <c r="E129" s="2">
        <f t="shared" si="2"/>
        <v>2.9100000000000108</v>
      </c>
      <c r="F129" s="11">
        <v>1.3480000000000001</v>
      </c>
      <c r="G129" s="14">
        <f t="shared" si="3"/>
        <v>4.1843553459119602E-2</v>
      </c>
    </row>
    <row r="130" spans="1:7">
      <c r="A130" s="1">
        <v>4</v>
      </c>
      <c r="B130" s="1" t="s">
        <v>12</v>
      </c>
      <c r="C130" s="11">
        <v>25.654</v>
      </c>
      <c r="D130" s="11">
        <v>25.35</v>
      </c>
      <c r="E130" s="2">
        <f t="shared" si="2"/>
        <v>0.30399999999999849</v>
      </c>
      <c r="F130" s="11">
        <v>0.71399999999999153</v>
      </c>
      <c r="G130" s="14">
        <f t="shared" si="3"/>
        <v>3.9681920947999924E-2</v>
      </c>
    </row>
    <row r="131" spans="1:7">
      <c r="A131" s="1">
        <v>5</v>
      </c>
      <c r="B131" s="1" t="s">
        <v>12</v>
      </c>
      <c r="C131" s="11">
        <v>27.13</v>
      </c>
      <c r="D131" s="11">
        <v>26.95</v>
      </c>
      <c r="E131" s="2">
        <f t="shared" si="2"/>
        <v>0.17999999999999972</v>
      </c>
      <c r="F131" s="11">
        <v>1.6779999999999999</v>
      </c>
      <c r="G131" s="14">
        <f t="shared" si="3"/>
        <v>6.8485071876151854E-2</v>
      </c>
    </row>
    <row r="132" spans="1:7">
      <c r="A132" s="1">
        <v>6</v>
      </c>
      <c r="B132" s="1" t="s">
        <v>12</v>
      </c>
      <c r="C132" s="11">
        <v>47.34</v>
      </c>
      <c r="D132" s="11">
        <v>46.95</v>
      </c>
      <c r="E132" s="2">
        <f t="shared" ref="E132:E195" si="4">C132-D132</f>
        <v>0.39000000000000057</v>
      </c>
      <c r="F132" s="11">
        <v>0.99399999999999999</v>
      </c>
      <c r="G132" s="14">
        <f t="shared" ref="G132:G195" si="5">(E132+F132)/C132</f>
        <v>2.9235318969159284E-2</v>
      </c>
    </row>
    <row r="133" spans="1:7">
      <c r="A133" s="1">
        <v>7</v>
      </c>
      <c r="B133" s="1" t="s">
        <v>12</v>
      </c>
      <c r="C133" s="11">
        <v>25.43</v>
      </c>
      <c r="D133" s="11">
        <v>24.4</v>
      </c>
      <c r="E133" s="2">
        <f t="shared" si="4"/>
        <v>1.0300000000000011</v>
      </c>
      <c r="F133" s="11">
        <v>1.6359999999999999</v>
      </c>
      <c r="G133" s="14">
        <f t="shared" si="5"/>
        <v>0.10483680692095955</v>
      </c>
    </row>
    <row r="134" spans="1:7">
      <c r="A134" s="1">
        <v>10</v>
      </c>
      <c r="B134" s="1" t="s">
        <v>12</v>
      </c>
      <c r="C134" s="11">
        <v>42.5</v>
      </c>
      <c r="D134" s="11">
        <v>42.15</v>
      </c>
      <c r="E134" s="2">
        <f t="shared" si="4"/>
        <v>0.35000000000000142</v>
      </c>
      <c r="F134" s="11">
        <v>1.0820000000000007</v>
      </c>
      <c r="G134" s="14">
        <f t="shared" si="5"/>
        <v>3.3694117647058874E-2</v>
      </c>
    </row>
    <row r="135" spans="1:7">
      <c r="A135" s="1">
        <v>8</v>
      </c>
      <c r="B135" s="1" t="s">
        <v>12</v>
      </c>
      <c r="C135" s="11">
        <v>44.35</v>
      </c>
      <c r="D135" s="11">
        <v>43.65</v>
      </c>
      <c r="E135" s="2">
        <f t="shared" si="4"/>
        <v>0.70000000000000284</v>
      </c>
      <c r="F135" s="11">
        <v>1.024</v>
      </c>
      <c r="G135" s="14">
        <f t="shared" si="5"/>
        <v>3.887260428410378E-2</v>
      </c>
    </row>
    <row r="136" spans="1:7">
      <c r="A136" s="1">
        <v>9</v>
      </c>
      <c r="B136" s="1" t="s">
        <v>12</v>
      </c>
      <c r="C136" s="11">
        <v>22.09</v>
      </c>
      <c r="D136" s="11">
        <v>21.95</v>
      </c>
      <c r="E136" s="2">
        <f t="shared" si="4"/>
        <v>0.14000000000000057</v>
      </c>
      <c r="F136" s="11">
        <v>0.35199999999999998</v>
      </c>
      <c r="G136" s="14">
        <f t="shared" si="5"/>
        <v>2.2272521502942531E-2</v>
      </c>
    </row>
    <row r="137" spans="1:7">
      <c r="A137" s="1">
        <v>11</v>
      </c>
      <c r="B137" s="1" t="s">
        <v>12</v>
      </c>
      <c r="C137" s="11">
        <v>22.28</v>
      </c>
      <c r="D137" s="11">
        <v>21.85</v>
      </c>
      <c r="E137" s="2">
        <f t="shared" si="4"/>
        <v>0.42999999999999972</v>
      </c>
      <c r="F137" s="11">
        <v>0.56000000000000005</v>
      </c>
      <c r="G137" s="14">
        <f t="shared" si="5"/>
        <v>4.4434470377019739E-2</v>
      </c>
    </row>
    <row r="138" spans="1:7">
      <c r="A138" s="1">
        <v>12</v>
      </c>
      <c r="B138" s="1" t="s">
        <v>12</v>
      </c>
      <c r="C138" s="11">
        <v>63.45</v>
      </c>
      <c r="D138" s="11">
        <v>61.4</v>
      </c>
      <c r="E138" s="2">
        <f t="shared" si="4"/>
        <v>2.0500000000000043</v>
      </c>
      <c r="F138" s="11">
        <v>2.2280000000000002</v>
      </c>
      <c r="G138" s="14">
        <f t="shared" si="5"/>
        <v>6.7423167848699825E-2</v>
      </c>
    </row>
    <row r="139" spans="1:7">
      <c r="A139" s="1">
        <v>13</v>
      </c>
      <c r="B139" s="1" t="s">
        <v>12</v>
      </c>
      <c r="C139" s="11">
        <v>16.600000000000001</v>
      </c>
      <c r="D139" s="11">
        <v>16.100000000000001</v>
      </c>
      <c r="E139" s="2">
        <f t="shared" si="4"/>
        <v>0.5</v>
      </c>
      <c r="F139" s="11">
        <v>0.71599999999999997</v>
      </c>
      <c r="G139" s="14">
        <f t="shared" si="5"/>
        <v>7.3253012048192762E-2</v>
      </c>
    </row>
    <row r="140" spans="1:7">
      <c r="A140" s="1">
        <v>14</v>
      </c>
      <c r="B140" s="1" t="s">
        <v>12</v>
      </c>
      <c r="C140" s="11">
        <v>22.84</v>
      </c>
      <c r="D140" s="11">
        <v>22.25</v>
      </c>
      <c r="E140" s="2">
        <f t="shared" si="4"/>
        <v>0.58999999999999986</v>
      </c>
      <c r="F140" s="11">
        <v>0.45800000000000002</v>
      </c>
      <c r="G140" s="14">
        <f t="shared" si="5"/>
        <v>4.5884413309982476E-2</v>
      </c>
    </row>
    <row r="141" spans="1:7">
      <c r="A141" s="1">
        <v>15</v>
      </c>
      <c r="B141" s="1" t="s">
        <v>12</v>
      </c>
      <c r="C141" s="11">
        <v>25.43</v>
      </c>
      <c r="D141" s="11">
        <v>25.25</v>
      </c>
      <c r="E141" s="2">
        <f t="shared" si="4"/>
        <v>0.17999999999999972</v>
      </c>
      <c r="F141" s="11">
        <v>0.77700000000000002</v>
      </c>
      <c r="G141" s="14">
        <f t="shared" si="5"/>
        <v>3.7632717263075099E-2</v>
      </c>
    </row>
    <row r="142" spans="1:7">
      <c r="A142" s="1">
        <v>16</v>
      </c>
      <c r="B142" s="1" t="s">
        <v>12</v>
      </c>
      <c r="C142" s="11">
        <v>22.12</v>
      </c>
      <c r="D142" s="11">
        <v>21.85</v>
      </c>
      <c r="E142" s="2">
        <f t="shared" si="4"/>
        <v>0.26999999999999957</v>
      </c>
      <c r="F142" s="11">
        <v>1.556</v>
      </c>
      <c r="G142" s="14">
        <f t="shared" si="5"/>
        <v>8.2549728752260382E-2</v>
      </c>
    </row>
    <row r="143" spans="1:7">
      <c r="A143" s="1">
        <v>17</v>
      </c>
      <c r="B143" s="1" t="s">
        <v>12</v>
      </c>
      <c r="C143" s="11">
        <v>25.53</v>
      </c>
      <c r="D143" s="11">
        <v>24.8</v>
      </c>
      <c r="E143" s="2">
        <f t="shared" si="4"/>
        <v>0.73000000000000043</v>
      </c>
      <c r="F143" s="11">
        <v>0</v>
      </c>
      <c r="G143" s="14">
        <f t="shared" si="5"/>
        <v>2.8593811202506869E-2</v>
      </c>
    </row>
    <row r="144" spans="1:7">
      <c r="A144" s="1">
        <v>18</v>
      </c>
      <c r="B144" s="1" t="s">
        <v>12</v>
      </c>
      <c r="C144" s="11">
        <v>24.48</v>
      </c>
      <c r="D144" s="11">
        <v>23.95</v>
      </c>
      <c r="E144" s="2">
        <f t="shared" si="4"/>
        <v>0.53000000000000114</v>
      </c>
      <c r="F144" s="11">
        <v>0.58899999999999997</v>
      </c>
      <c r="G144" s="14">
        <f t="shared" si="5"/>
        <v>4.5710784313725536E-2</v>
      </c>
    </row>
    <row r="145" spans="1:7">
      <c r="A145" s="1">
        <v>19</v>
      </c>
      <c r="B145" s="1" t="s">
        <v>12</v>
      </c>
      <c r="C145" s="11">
        <v>21.66</v>
      </c>
      <c r="D145" s="11">
        <v>21.3</v>
      </c>
      <c r="E145" s="2">
        <f t="shared" si="4"/>
        <v>0.35999999999999943</v>
      </c>
      <c r="F145" s="11">
        <v>0.70799999999999996</v>
      </c>
      <c r="G145" s="14">
        <f t="shared" si="5"/>
        <v>4.9307479224376706E-2</v>
      </c>
    </row>
    <row r="146" spans="1:7">
      <c r="A146" s="1">
        <v>20</v>
      </c>
      <c r="B146" s="1" t="s">
        <v>12</v>
      </c>
      <c r="C146" s="11">
        <v>58.03</v>
      </c>
      <c r="D146" s="11">
        <v>57.45</v>
      </c>
      <c r="E146" s="2">
        <f t="shared" si="4"/>
        <v>0.57999999999999829</v>
      </c>
      <c r="F146" s="11">
        <v>1.3959999999999999</v>
      </c>
      <c r="G146" s="14">
        <f t="shared" si="5"/>
        <v>3.405135274857829E-2</v>
      </c>
    </row>
    <row r="147" spans="1:7">
      <c r="A147" s="1">
        <v>21</v>
      </c>
      <c r="B147" s="1" t="s">
        <v>12</v>
      </c>
      <c r="C147" s="11">
        <v>0</v>
      </c>
      <c r="D147" s="11">
        <v>0</v>
      </c>
      <c r="E147" s="2">
        <f t="shared" si="4"/>
        <v>0</v>
      </c>
      <c r="F147" s="11">
        <v>0.56200000000000006</v>
      </c>
      <c r="G147" s="14" t="e">
        <f t="shared" si="5"/>
        <v>#DIV/0!</v>
      </c>
    </row>
    <row r="148" spans="1:7">
      <c r="A148" s="1">
        <v>22</v>
      </c>
      <c r="B148" s="1" t="s">
        <v>12</v>
      </c>
      <c r="C148" s="11">
        <v>45.707999999999998</v>
      </c>
      <c r="D148" s="11">
        <v>44.6</v>
      </c>
      <c r="E148" s="2">
        <f t="shared" si="4"/>
        <v>1.107999999999997</v>
      </c>
      <c r="F148" s="11">
        <v>2.6739999999999999</v>
      </c>
      <c r="G148" s="14">
        <f t="shared" si="5"/>
        <v>8.2742627111227735E-2</v>
      </c>
    </row>
    <row r="149" spans="1:7">
      <c r="A149" s="1">
        <v>23</v>
      </c>
      <c r="B149" s="1" t="s">
        <v>12</v>
      </c>
      <c r="C149" s="11">
        <v>0</v>
      </c>
      <c r="D149" s="11">
        <v>0</v>
      </c>
      <c r="E149" s="2">
        <f t="shared" si="4"/>
        <v>0</v>
      </c>
      <c r="F149" s="11">
        <v>0.433</v>
      </c>
      <c r="G149" s="3" t="e">
        <f t="shared" si="5"/>
        <v>#DIV/0!</v>
      </c>
    </row>
    <row r="150" spans="1:7">
      <c r="A150" s="1">
        <v>24</v>
      </c>
      <c r="B150" s="1" t="s">
        <v>12</v>
      </c>
      <c r="C150" s="11">
        <v>27.57</v>
      </c>
      <c r="D150" s="11">
        <v>26.4</v>
      </c>
      <c r="E150" s="2">
        <f t="shared" si="4"/>
        <v>1.1700000000000017</v>
      </c>
      <c r="F150" s="11">
        <v>0.754</v>
      </c>
      <c r="G150" s="3">
        <f t="shared" si="5"/>
        <v>6.9785999274573879E-2</v>
      </c>
    </row>
    <row r="151" spans="1:7">
      <c r="A151" s="1">
        <v>25</v>
      </c>
      <c r="B151" s="1" t="s">
        <v>12</v>
      </c>
      <c r="C151" s="11">
        <v>48.11</v>
      </c>
      <c r="D151" s="11">
        <v>46.4</v>
      </c>
      <c r="E151" s="2">
        <f t="shared" si="4"/>
        <v>1.7100000000000009</v>
      </c>
      <c r="F151" s="11">
        <v>1.024</v>
      </c>
      <c r="G151" s="3">
        <f t="shared" si="5"/>
        <v>5.6828102265641257E-2</v>
      </c>
    </row>
    <row r="152" spans="1:7">
      <c r="A152" s="1">
        <v>26</v>
      </c>
      <c r="B152" s="1" t="s">
        <v>12</v>
      </c>
      <c r="C152" s="11">
        <v>21.35</v>
      </c>
      <c r="D152" s="11">
        <v>20.85</v>
      </c>
      <c r="E152" s="2">
        <f t="shared" si="4"/>
        <v>0.5</v>
      </c>
      <c r="F152" s="11">
        <v>0.44</v>
      </c>
      <c r="G152" s="14">
        <f t="shared" si="5"/>
        <v>4.4028103044496482E-2</v>
      </c>
    </row>
    <row r="153" spans="1:7">
      <c r="A153" s="1">
        <v>27</v>
      </c>
      <c r="B153" s="1" t="s">
        <v>12</v>
      </c>
      <c r="C153" s="11">
        <v>46.18</v>
      </c>
      <c r="D153" s="11">
        <v>45.3</v>
      </c>
      <c r="E153" s="2">
        <f t="shared" si="4"/>
        <v>0.88000000000000256</v>
      </c>
      <c r="F153" s="11">
        <v>0</v>
      </c>
      <c r="G153" s="14">
        <f t="shared" si="5"/>
        <v>1.9055868341273333E-2</v>
      </c>
    </row>
    <row r="154" spans="1:7">
      <c r="A154" s="1">
        <v>28</v>
      </c>
      <c r="B154" s="1" t="s">
        <v>12</v>
      </c>
      <c r="C154" s="11">
        <v>25.8</v>
      </c>
      <c r="D154" s="11">
        <v>24.45</v>
      </c>
      <c r="E154" s="2">
        <f t="shared" si="4"/>
        <v>1.3500000000000014</v>
      </c>
      <c r="F154" s="11">
        <v>0.71099999999999997</v>
      </c>
      <c r="G154" s="14">
        <f t="shared" si="5"/>
        <v>7.9883720930232605E-2</v>
      </c>
    </row>
    <row r="155" spans="1:7">
      <c r="A155" s="1">
        <v>29</v>
      </c>
      <c r="B155" s="1" t="s">
        <v>12</v>
      </c>
      <c r="C155" s="11">
        <v>56.59</v>
      </c>
      <c r="D155" s="11">
        <v>55.9</v>
      </c>
      <c r="E155" s="2">
        <f t="shared" si="4"/>
        <v>0.69000000000000483</v>
      </c>
      <c r="F155" s="11">
        <v>0.61799999999999999</v>
      </c>
      <c r="G155" s="14">
        <f t="shared" si="5"/>
        <v>2.3113624315250127E-2</v>
      </c>
    </row>
    <row r="156" spans="1:7">
      <c r="A156" s="1">
        <v>30</v>
      </c>
      <c r="B156" s="1" t="s">
        <v>12</v>
      </c>
      <c r="C156" s="11">
        <v>37.47</v>
      </c>
      <c r="D156" s="11">
        <v>36.950000000000003</v>
      </c>
      <c r="E156" s="2">
        <f t="shared" si="4"/>
        <v>0.51999999999999602</v>
      </c>
      <c r="F156" s="11">
        <v>0.66400000000000003</v>
      </c>
      <c r="G156" s="14">
        <f t="shared" si="5"/>
        <v>3.1598612223111722E-2</v>
      </c>
    </row>
    <row r="157" spans="1:7">
      <c r="A157" s="1">
        <v>31</v>
      </c>
      <c r="B157" s="1" t="s">
        <v>12</v>
      </c>
      <c r="C157" s="11">
        <v>22.48</v>
      </c>
      <c r="D157" s="11">
        <v>21.6</v>
      </c>
      <c r="E157" s="2">
        <f t="shared" si="4"/>
        <v>0.87999999999999901</v>
      </c>
      <c r="F157" s="11">
        <v>2.0179999999999998</v>
      </c>
      <c r="G157" s="14">
        <f t="shared" si="5"/>
        <v>0.12891459074733091</v>
      </c>
    </row>
    <row r="158" spans="1:7">
      <c r="A158" s="1">
        <v>1</v>
      </c>
      <c r="B158" s="1" t="s">
        <v>13</v>
      </c>
      <c r="C158" s="11">
        <v>29.11</v>
      </c>
      <c r="D158" s="11">
        <v>28.78</v>
      </c>
      <c r="E158" s="2">
        <f t="shared" si="4"/>
        <v>0.32999999999999829</v>
      </c>
      <c r="F158" s="11">
        <v>0</v>
      </c>
      <c r="G158" s="14">
        <f t="shared" si="5"/>
        <v>1.1336310546203996E-2</v>
      </c>
    </row>
    <row r="159" spans="1:7">
      <c r="A159" s="1">
        <v>2</v>
      </c>
      <c r="B159" s="1" t="s">
        <v>13</v>
      </c>
      <c r="C159" s="11">
        <v>98.21</v>
      </c>
      <c r="D159" s="11">
        <v>96.76</v>
      </c>
      <c r="E159" s="2">
        <f t="shared" si="4"/>
        <v>1.4499999999999886</v>
      </c>
      <c r="F159" s="11">
        <v>0</v>
      </c>
      <c r="G159" s="14">
        <f t="shared" si="5"/>
        <v>1.476428062315435E-2</v>
      </c>
    </row>
    <row r="160" spans="1:7">
      <c r="A160" s="1">
        <v>3</v>
      </c>
      <c r="B160" s="1" t="s">
        <v>13</v>
      </c>
      <c r="C160" s="11">
        <v>21.62</v>
      </c>
      <c r="D160" s="11">
        <v>21.26</v>
      </c>
      <c r="E160" s="2">
        <f t="shared" si="4"/>
        <v>0.35999999999999943</v>
      </c>
      <c r="F160" s="11">
        <v>0</v>
      </c>
      <c r="G160" s="14">
        <f t="shared" si="5"/>
        <v>1.6651248843663247E-2</v>
      </c>
    </row>
    <row r="161" spans="1:7">
      <c r="A161" s="1">
        <v>4</v>
      </c>
      <c r="B161" s="1" t="s">
        <v>13</v>
      </c>
      <c r="C161" s="11">
        <v>45.57</v>
      </c>
      <c r="D161" s="11">
        <v>45.04</v>
      </c>
      <c r="E161" s="2">
        <f t="shared" si="4"/>
        <v>0.53000000000000114</v>
      </c>
      <c r="F161" s="11">
        <v>0</v>
      </c>
      <c r="G161" s="14">
        <f t="shared" si="5"/>
        <v>1.1630458635066955E-2</v>
      </c>
    </row>
    <row r="162" spans="1:7">
      <c r="A162" s="1">
        <v>5</v>
      </c>
      <c r="B162" s="1" t="s">
        <v>13</v>
      </c>
      <c r="C162" s="11">
        <v>100.61</v>
      </c>
      <c r="D162" s="11">
        <v>99.4</v>
      </c>
      <c r="E162" s="2">
        <f t="shared" si="4"/>
        <v>1.2099999999999937</v>
      </c>
      <c r="F162" s="11">
        <v>0</v>
      </c>
      <c r="G162" s="14">
        <f t="shared" si="5"/>
        <v>1.2026637511181729E-2</v>
      </c>
    </row>
    <row r="163" spans="1:7">
      <c r="A163" s="1">
        <v>6</v>
      </c>
      <c r="B163" s="1" t="s">
        <v>13</v>
      </c>
      <c r="C163" s="11">
        <v>22.44</v>
      </c>
      <c r="D163" s="11">
        <v>22.02</v>
      </c>
      <c r="E163" s="2">
        <f t="shared" si="4"/>
        <v>0.42000000000000171</v>
      </c>
      <c r="F163" s="11">
        <v>0</v>
      </c>
      <c r="G163" s="14">
        <f t="shared" si="5"/>
        <v>1.8716577540107027E-2</v>
      </c>
    </row>
    <row r="164" spans="1:7">
      <c r="A164" s="1">
        <v>7</v>
      </c>
      <c r="B164" s="1" t="s">
        <v>13</v>
      </c>
      <c r="C164" s="11">
        <v>43.48</v>
      </c>
      <c r="D164" s="11">
        <v>42.92</v>
      </c>
      <c r="E164" s="2">
        <f t="shared" si="4"/>
        <v>0.55999999999999517</v>
      </c>
      <c r="F164" s="11">
        <v>0</v>
      </c>
      <c r="G164" s="14">
        <f t="shared" si="5"/>
        <v>1.2879484820607065E-2</v>
      </c>
    </row>
    <row r="165" spans="1:7">
      <c r="A165" s="1">
        <v>10</v>
      </c>
      <c r="B165" s="1" t="s">
        <v>13</v>
      </c>
      <c r="C165" s="11">
        <v>41.67</v>
      </c>
      <c r="D165" s="11">
        <v>40.74</v>
      </c>
      <c r="E165" s="2">
        <f t="shared" si="4"/>
        <v>0.92999999999999972</v>
      </c>
      <c r="F165" s="11">
        <v>0</v>
      </c>
      <c r="G165" s="14">
        <f t="shared" si="5"/>
        <v>2.2318214542836567E-2</v>
      </c>
    </row>
    <row r="166" spans="1:7">
      <c r="A166" s="1">
        <v>8</v>
      </c>
      <c r="B166" s="1" t="s">
        <v>13</v>
      </c>
      <c r="C166" s="11">
        <v>26.5</v>
      </c>
      <c r="D166" s="11">
        <v>26.28</v>
      </c>
      <c r="E166" s="2">
        <f t="shared" si="4"/>
        <v>0.21999999999999886</v>
      </c>
      <c r="F166" s="11">
        <v>0</v>
      </c>
      <c r="G166" s="14">
        <f t="shared" si="5"/>
        <v>8.3018867924527871E-3</v>
      </c>
    </row>
    <row r="167" spans="1:7">
      <c r="A167" s="1">
        <v>9</v>
      </c>
      <c r="B167" s="1" t="s">
        <v>13</v>
      </c>
      <c r="C167" s="11">
        <v>49.99</v>
      </c>
      <c r="D167" s="11">
        <v>49.16</v>
      </c>
      <c r="E167" s="2">
        <f t="shared" si="4"/>
        <v>0.8300000000000054</v>
      </c>
      <c r="F167" s="11">
        <v>0</v>
      </c>
      <c r="G167" s="14">
        <f t="shared" si="5"/>
        <v>1.6603320664132934E-2</v>
      </c>
    </row>
    <row r="168" spans="1:7">
      <c r="A168" s="1">
        <v>11</v>
      </c>
      <c r="B168" s="1" t="s">
        <v>13</v>
      </c>
      <c r="C168" s="11">
        <v>87.99</v>
      </c>
      <c r="D168" s="11">
        <v>86.64</v>
      </c>
      <c r="E168" s="2">
        <f t="shared" si="4"/>
        <v>1.3499999999999943</v>
      </c>
      <c r="F168" s="11">
        <v>0</v>
      </c>
      <c r="G168" s="14">
        <f t="shared" si="5"/>
        <v>1.5342652574156091E-2</v>
      </c>
    </row>
    <row r="169" spans="1:7">
      <c r="A169" s="1">
        <v>12</v>
      </c>
      <c r="B169" s="1" t="s">
        <v>13</v>
      </c>
      <c r="C169" s="11">
        <v>60.31</v>
      </c>
      <c r="D169" s="11">
        <v>59.32</v>
      </c>
      <c r="E169" s="2">
        <f t="shared" si="4"/>
        <v>0.99000000000000199</v>
      </c>
      <c r="F169" s="11">
        <v>0</v>
      </c>
      <c r="G169" s="14">
        <f t="shared" si="5"/>
        <v>1.6415188194329331E-2</v>
      </c>
    </row>
    <row r="170" spans="1:7">
      <c r="A170" s="1">
        <v>13</v>
      </c>
      <c r="B170" s="1" t="s">
        <v>13</v>
      </c>
      <c r="C170" s="11">
        <v>0</v>
      </c>
      <c r="D170" s="11">
        <v>0</v>
      </c>
      <c r="E170" s="2">
        <f t="shared" si="4"/>
        <v>0</v>
      </c>
      <c r="F170" s="11">
        <v>0</v>
      </c>
      <c r="G170" s="14" t="e">
        <f t="shared" si="5"/>
        <v>#DIV/0!</v>
      </c>
    </row>
    <row r="171" spans="1:7">
      <c r="A171" s="1">
        <v>14</v>
      </c>
      <c r="B171" s="1" t="s">
        <v>13</v>
      </c>
      <c r="C171" s="11">
        <v>73.77</v>
      </c>
      <c r="D171" s="11">
        <v>71.66</v>
      </c>
      <c r="E171" s="2">
        <f t="shared" si="4"/>
        <v>2.1099999999999994</v>
      </c>
      <c r="F171" s="11">
        <v>0</v>
      </c>
      <c r="G171" s="14">
        <f t="shared" si="5"/>
        <v>2.8602412904974915E-2</v>
      </c>
    </row>
    <row r="172" spans="1:7">
      <c r="A172" s="1">
        <v>15</v>
      </c>
      <c r="B172" s="1" t="s">
        <v>13</v>
      </c>
      <c r="C172" s="11">
        <v>71.84</v>
      </c>
      <c r="D172" s="11">
        <v>70.16</v>
      </c>
      <c r="E172" s="2">
        <f t="shared" si="4"/>
        <v>1.6800000000000068</v>
      </c>
      <c r="F172" s="11">
        <v>0</v>
      </c>
      <c r="G172" s="14">
        <f t="shared" si="5"/>
        <v>2.3385300668151542E-2</v>
      </c>
    </row>
    <row r="173" spans="1:7">
      <c r="A173" s="1">
        <v>16</v>
      </c>
      <c r="B173" s="1" t="s">
        <v>13</v>
      </c>
      <c r="C173" s="11">
        <v>18.88</v>
      </c>
      <c r="D173" s="11">
        <v>18.68</v>
      </c>
      <c r="E173" s="2">
        <f t="shared" si="4"/>
        <v>0.19999999999999929</v>
      </c>
      <c r="F173" s="11">
        <v>0.03</v>
      </c>
      <c r="G173" s="14">
        <f t="shared" si="5"/>
        <v>1.2182203389830471E-2</v>
      </c>
    </row>
    <row r="174" spans="1:7">
      <c r="A174" s="1">
        <v>17</v>
      </c>
      <c r="B174" s="1" t="s">
        <v>13</v>
      </c>
      <c r="C174" s="11">
        <v>65.78</v>
      </c>
      <c r="D174" s="11">
        <v>64.680000000000007</v>
      </c>
      <c r="E174" s="2">
        <f t="shared" si="4"/>
        <v>1.0999999999999943</v>
      </c>
      <c r="F174" s="11">
        <v>0</v>
      </c>
      <c r="G174" s="14">
        <f t="shared" si="5"/>
        <v>1.6722408026755765E-2</v>
      </c>
    </row>
    <row r="175" spans="1:7">
      <c r="A175" s="1">
        <v>18</v>
      </c>
      <c r="B175" s="1" t="s">
        <v>13</v>
      </c>
      <c r="C175" s="11">
        <v>41.48</v>
      </c>
      <c r="D175" s="11">
        <v>40.96</v>
      </c>
      <c r="E175" s="2">
        <f t="shared" si="4"/>
        <v>0.51999999999999602</v>
      </c>
      <c r="F175" s="11">
        <v>0</v>
      </c>
      <c r="G175" s="14">
        <f t="shared" si="5"/>
        <v>1.2536162005785827E-2</v>
      </c>
    </row>
    <row r="176" spans="1:7">
      <c r="A176" s="1">
        <v>19</v>
      </c>
      <c r="B176" s="1" t="s">
        <v>13</v>
      </c>
      <c r="C176" s="11">
        <v>94.12</v>
      </c>
      <c r="D176" s="11">
        <v>92.88</v>
      </c>
      <c r="E176" s="2">
        <f t="shared" si="4"/>
        <v>1.2400000000000091</v>
      </c>
      <c r="F176" s="11">
        <v>0</v>
      </c>
      <c r="G176" s="14">
        <f t="shared" si="5"/>
        <v>1.3174670633234265E-2</v>
      </c>
    </row>
    <row r="177" spans="1:7">
      <c r="A177" s="1">
        <v>20</v>
      </c>
      <c r="B177" s="1" t="s">
        <v>13</v>
      </c>
      <c r="C177" s="11">
        <v>22.77</v>
      </c>
      <c r="D177" s="11">
        <v>22.66</v>
      </c>
      <c r="E177" s="2">
        <f t="shared" si="4"/>
        <v>0.10999999999999943</v>
      </c>
      <c r="F177" s="11">
        <v>0</v>
      </c>
      <c r="G177" s="14">
        <f t="shared" si="5"/>
        <v>4.8309178743961107E-3</v>
      </c>
    </row>
    <row r="178" spans="1:7">
      <c r="A178" s="1">
        <v>21</v>
      </c>
      <c r="B178" s="1" t="s">
        <v>13</v>
      </c>
      <c r="C178" s="11">
        <v>0</v>
      </c>
      <c r="D178" s="11">
        <v>0</v>
      </c>
      <c r="E178" s="2">
        <f t="shared" si="4"/>
        <v>0</v>
      </c>
      <c r="F178" s="11">
        <v>0</v>
      </c>
      <c r="G178" s="14" t="e">
        <f t="shared" si="5"/>
        <v>#DIV/0!</v>
      </c>
    </row>
    <row r="179" spans="1:7">
      <c r="A179" s="1">
        <v>22</v>
      </c>
      <c r="B179" s="1" t="s">
        <v>13</v>
      </c>
      <c r="C179" s="11">
        <v>87.04</v>
      </c>
      <c r="D179" s="11">
        <v>86.24</v>
      </c>
      <c r="E179" s="2">
        <f t="shared" si="4"/>
        <v>0.80000000000001137</v>
      </c>
      <c r="F179" s="11">
        <v>0</v>
      </c>
      <c r="G179" s="14">
        <f t="shared" si="5"/>
        <v>9.1911764705883657E-3</v>
      </c>
    </row>
    <row r="180" spans="1:7">
      <c r="A180" s="1">
        <v>23</v>
      </c>
      <c r="B180" s="1" t="s">
        <v>13</v>
      </c>
      <c r="C180" s="11">
        <v>21.41</v>
      </c>
      <c r="D180" s="11">
        <v>21.16</v>
      </c>
      <c r="E180" s="2">
        <f t="shared" si="4"/>
        <v>0.25</v>
      </c>
      <c r="F180" s="11">
        <v>0</v>
      </c>
      <c r="G180" s="3">
        <f t="shared" si="5"/>
        <v>1.1676786548341896E-2</v>
      </c>
    </row>
    <row r="181" spans="1:7">
      <c r="A181" s="1">
        <v>24</v>
      </c>
      <c r="B181" s="1" t="s">
        <v>13</v>
      </c>
      <c r="C181" s="11">
        <v>74.06</v>
      </c>
      <c r="D181" s="11">
        <v>73.239999999999995</v>
      </c>
      <c r="E181" s="2">
        <f t="shared" si="4"/>
        <v>0.82000000000000739</v>
      </c>
      <c r="F181" s="11">
        <v>0</v>
      </c>
      <c r="G181" s="3">
        <f t="shared" si="5"/>
        <v>1.1072103699703044E-2</v>
      </c>
    </row>
    <row r="182" spans="1:7">
      <c r="A182" s="1">
        <v>25</v>
      </c>
      <c r="B182" s="1" t="s">
        <v>13</v>
      </c>
      <c r="C182" s="11">
        <v>79.489999999999995</v>
      </c>
      <c r="D182" s="11">
        <v>78.06</v>
      </c>
      <c r="E182" s="2">
        <f t="shared" si="4"/>
        <v>1.4299999999999926</v>
      </c>
      <c r="F182" s="11">
        <v>0</v>
      </c>
      <c r="G182" s="3">
        <f t="shared" si="5"/>
        <v>1.7989684237010854E-2</v>
      </c>
    </row>
    <row r="183" spans="1:7">
      <c r="A183" s="1">
        <v>26</v>
      </c>
      <c r="B183" s="1" t="s">
        <v>13</v>
      </c>
      <c r="C183" s="11">
        <v>45.3</v>
      </c>
      <c r="D183" s="11">
        <v>44.52</v>
      </c>
      <c r="E183" s="2">
        <f t="shared" si="4"/>
        <v>0.77999999999999403</v>
      </c>
      <c r="F183" s="11">
        <v>0</v>
      </c>
      <c r="G183" s="14">
        <f t="shared" si="5"/>
        <v>1.7218543046357487E-2</v>
      </c>
    </row>
    <row r="184" spans="1:7">
      <c r="A184" s="1">
        <v>27</v>
      </c>
      <c r="B184" s="1" t="s">
        <v>13</v>
      </c>
      <c r="C184" s="11">
        <v>42.35</v>
      </c>
      <c r="D184" s="11">
        <v>41.14</v>
      </c>
      <c r="E184" s="2">
        <f t="shared" si="4"/>
        <v>1.2100000000000009</v>
      </c>
      <c r="F184" s="11">
        <v>0</v>
      </c>
      <c r="G184" s="14">
        <f t="shared" si="5"/>
        <v>2.8571428571428591E-2</v>
      </c>
    </row>
    <row r="185" spans="1:7">
      <c r="A185" s="1">
        <v>28</v>
      </c>
      <c r="B185" s="1" t="s">
        <v>13</v>
      </c>
      <c r="C185" s="11">
        <v>42.93</v>
      </c>
      <c r="D185" s="11">
        <v>41.58</v>
      </c>
      <c r="E185" s="2">
        <f t="shared" si="4"/>
        <v>1.3500000000000014</v>
      </c>
      <c r="F185" s="11">
        <v>0</v>
      </c>
      <c r="G185" s="14">
        <f t="shared" si="5"/>
        <v>3.1446540880503179E-2</v>
      </c>
    </row>
    <row r="186" spans="1:7">
      <c r="A186" s="1">
        <v>29</v>
      </c>
      <c r="B186" s="1" t="s">
        <v>13</v>
      </c>
      <c r="C186" s="11">
        <v>43.67</v>
      </c>
      <c r="D186" s="11">
        <v>41</v>
      </c>
      <c r="E186" s="2">
        <f t="shared" si="4"/>
        <v>2.6700000000000017</v>
      </c>
      <c r="F186" s="11">
        <v>0</v>
      </c>
      <c r="G186" s="14">
        <f t="shared" si="5"/>
        <v>6.1140370964048583E-2</v>
      </c>
    </row>
    <row r="187" spans="1:7">
      <c r="A187" s="1">
        <v>30</v>
      </c>
      <c r="B187" s="1" t="s">
        <v>13</v>
      </c>
      <c r="C187" s="11">
        <v>92.12</v>
      </c>
      <c r="D187" s="11">
        <v>89.66</v>
      </c>
      <c r="E187" s="2">
        <f t="shared" si="4"/>
        <v>2.460000000000008</v>
      </c>
      <c r="F187" s="11">
        <v>0</v>
      </c>
      <c r="G187" s="14">
        <f t="shared" si="5"/>
        <v>2.6704298740772989E-2</v>
      </c>
    </row>
    <row r="188" spans="1:7">
      <c r="A188" s="1">
        <v>31</v>
      </c>
      <c r="B188" s="1" t="s">
        <v>13</v>
      </c>
      <c r="C188" s="11">
        <v>66.41</v>
      </c>
      <c r="D188" s="11">
        <v>62.84</v>
      </c>
      <c r="E188" s="2">
        <f t="shared" si="4"/>
        <v>3.5699999999999932</v>
      </c>
      <c r="F188" s="11">
        <v>0</v>
      </c>
      <c r="G188" s="14">
        <f t="shared" si="5"/>
        <v>5.3756964312603427E-2</v>
      </c>
    </row>
    <row r="189" spans="1:7">
      <c r="A189" s="1">
        <v>1</v>
      </c>
      <c r="B189" s="1" t="s">
        <v>14</v>
      </c>
      <c r="C189" s="11">
        <v>22.83</v>
      </c>
      <c r="D189" s="11">
        <v>21.5</v>
      </c>
      <c r="E189" s="2">
        <f t="shared" si="4"/>
        <v>1.3299999999999983</v>
      </c>
      <c r="F189" s="11">
        <v>0</v>
      </c>
      <c r="G189" s="14">
        <f t="shared" si="5"/>
        <v>5.8256679807271061E-2</v>
      </c>
    </row>
    <row r="190" spans="1:7">
      <c r="A190" s="1">
        <v>2</v>
      </c>
      <c r="B190" s="1" t="s">
        <v>14</v>
      </c>
      <c r="C190" s="11">
        <v>0</v>
      </c>
      <c r="D190" s="11">
        <v>0</v>
      </c>
      <c r="E190" s="2">
        <f t="shared" si="4"/>
        <v>0</v>
      </c>
      <c r="F190" s="11">
        <v>0</v>
      </c>
      <c r="G190" s="14" t="e">
        <f t="shared" si="5"/>
        <v>#DIV/0!</v>
      </c>
    </row>
    <row r="191" spans="1:7">
      <c r="A191" s="1">
        <v>3</v>
      </c>
      <c r="B191" s="1" t="s">
        <v>14</v>
      </c>
      <c r="C191" s="11">
        <v>25.15</v>
      </c>
      <c r="D191" s="11">
        <v>25</v>
      </c>
      <c r="E191" s="2">
        <f t="shared" si="4"/>
        <v>0.14999999999999858</v>
      </c>
      <c r="F191" s="11">
        <v>0</v>
      </c>
      <c r="G191" s="14">
        <f t="shared" si="5"/>
        <v>5.9642147117295657E-3</v>
      </c>
    </row>
    <row r="192" spans="1:7">
      <c r="A192" s="1">
        <v>4</v>
      </c>
      <c r="B192" s="1" t="s">
        <v>14</v>
      </c>
      <c r="C192" s="11">
        <v>0</v>
      </c>
      <c r="D192" s="11">
        <v>0</v>
      </c>
      <c r="E192" s="2">
        <f t="shared" si="4"/>
        <v>0</v>
      </c>
      <c r="F192" s="11">
        <v>0</v>
      </c>
      <c r="G192" s="14" t="e">
        <f t="shared" si="5"/>
        <v>#DIV/0!</v>
      </c>
    </row>
    <row r="193" spans="1:7">
      <c r="A193" s="1">
        <v>5</v>
      </c>
      <c r="B193" s="1" t="s">
        <v>14</v>
      </c>
      <c r="C193" s="11">
        <v>0</v>
      </c>
      <c r="D193" s="11">
        <v>0</v>
      </c>
      <c r="E193" s="2">
        <f t="shared" si="4"/>
        <v>0</v>
      </c>
      <c r="F193" s="11">
        <v>0.10299999999999999</v>
      </c>
      <c r="G193" s="14" t="e">
        <f t="shared" si="5"/>
        <v>#DIV/0!</v>
      </c>
    </row>
    <row r="194" spans="1:7">
      <c r="A194" s="1">
        <v>6</v>
      </c>
      <c r="B194" s="1" t="s">
        <v>14</v>
      </c>
      <c r="C194" s="11">
        <v>0</v>
      </c>
      <c r="D194" s="11">
        <v>0</v>
      </c>
      <c r="E194" s="2">
        <f t="shared" si="4"/>
        <v>0</v>
      </c>
      <c r="F194" s="11">
        <v>0</v>
      </c>
      <c r="G194" s="14" t="e">
        <f t="shared" si="5"/>
        <v>#DIV/0!</v>
      </c>
    </row>
    <row r="195" spans="1:7">
      <c r="A195" s="1">
        <v>7</v>
      </c>
      <c r="B195" s="1" t="s">
        <v>14</v>
      </c>
      <c r="C195" s="11">
        <v>23.31</v>
      </c>
      <c r="D195" s="11">
        <v>23.2</v>
      </c>
      <c r="E195" s="2">
        <f t="shared" si="4"/>
        <v>0.10999999999999943</v>
      </c>
      <c r="F195" s="11">
        <v>0</v>
      </c>
      <c r="G195" s="14">
        <f t="shared" si="5"/>
        <v>4.7190047190046949E-3</v>
      </c>
    </row>
    <row r="196" spans="1:7">
      <c r="A196" s="1">
        <v>10</v>
      </c>
      <c r="B196" s="1" t="s">
        <v>14</v>
      </c>
      <c r="C196" s="11">
        <v>0</v>
      </c>
      <c r="D196" s="11">
        <v>0</v>
      </c>
      <c r="E196" s="2">
        <f t="shared" ref="E196:E259" si="6">C196-D196</f>
        <v>0</v>
      </c>
      <c r="F196" s="11">
        <v>7.6999999999999999E-2</v>
      </c>
      <c r="G196" s="14" t="e">
        <f t="shared" ref="G196:G259" si="7">(E196+F196)/C196</f>
        <v>#DIV/0!</v>
      </c>
    </row>
    <row r="197" spans="1:7">
      <c r="A197" s="1">
        <v>8</v>
      </c>
      <c r="B197" s="1" t="s">
        <v>14</v>
      </c>
      <c r="C197" s="11">
        <v>0</v>
      </c>
      <c r="D197" s="11">
        <v>0</v>
      </c>
      <c r="E197" s="2">
        <f t="shared" si="6"/>
        <v>0</v>
      </c>
      <c r="F197" s="11">
        <v>0.17499999999999999</v>
      </c>
      <c r="G197" s="14" t="e">
        <f t="shared" si="7"/>
        <v>#DIV/0!</v>
      </c>
    </row>
    <row r="198" spans="1:7">
      <c r="A198" s="1">
        <v>9</v>
      </c>
      <c r="B198" s="1" t="s">
        <v>14</v>
      </c>
      <c r="C198" s="11">
        <v>47.04</v>
      </c>
      <c r="D198" s="11">
        <v>46.900000000000006</v>
      </c>
      <c r="E198" s="2">
        <f t="shared" si="6"/>
        <v>0.13999999999999346</v>
      </c>
      <c r="F198" s="11">
        <v>0</v>
      </c>
      <c r="G198" s="14">
        <f t="shared" si="7"/>
        <v>2.9761904761903372E-3</v>
      </c>
    </row>
    <row r="199" spans="1:7">
      <c r="A199" s="1">
        <v>11</v>
      </c>
      <c r="B199" s="1" t="s">
        <v>14</v>
      </c>
      <c r="C199" s="11">
        <v>0</v>
      </c>
      <c r="D199" s="11">
        <v>0</v>
      </c>
      <c r="E199" s="2">
        <f t="shared" si="6"/>
        <v>0</v>
      </c>
      <c r="F199" s="11">
        <v>0</v>
      </c>
      <c r="G199" s="14" t="e">
        <f t="shared" si="7"/>
        <v>#DIV/0!</v>
      </c>
    </row>
    <row r="200" spans="1:7">
      <c r="A200" s="1">
        <v>12</v>
      </c>
      <c r="B200" s="1" t="s">
        <v>14</v>
      </c>
      <c r="C200" s="11">
        <v>18.05</v>
      </c>
      <c r="D200" s="11">
        <v>17.87</v>
      </c>
      <c r="E200" s="2">
        <f t="shared" si="6"/>
        <v>0.17999999999999972</v>
      </c>
      <c r="F200" s="11">
        <v>0.183</v>
      </c>
      <c r="G200" s="14">
        <f t="shared" si="7"/>
        <v>2.0110803324099705E-2</v>
      </c>
    </row>
    <row r="201" spans="1:7">
      <c r="A201" s="1">
        <v>13</v>
      </c>
      <c r="B201" s="1" t="s">
        <v>14</v>
      </c>
      <c r="C201" s="11">
        <v>0</v>
      </c>
      <c r="D201" s="11">
        <v>0</v>
      </c>
      <c r="E201" s="2">
        <f t="shared" si="6"/>
        <v>0</v>
      </c>
      <c r="F201" s="11">
        <v>0</v>
      </c>
      <c r="G201" s="14" t="e">
        <f t="shared" si="7"/>
        <v>#DIV/0!</v>
      </c>
    </row>
    <row r="202" spans="1:7">
      <c r="A202" s="1">
        <v>14</v>
      </c>
      <c r="B202" s="1" t="s">
        <v>14</v>
      </c>
      <c r="C202" s="11">
        <v>0</v>
      </c>
      <c r="D202" s="11">
        <v>0</v>
      </c>
      <c r="E202" s="2">
        <f t="shared" si="6"/>
        <v>0</v>
      </c>
      <c r="F202" s="11">
        <v>0.05</v>
      </c>
      <c r="G202" s="14" t="e">
        <f t="shared" si="7"/>
        <v>#DIV/0!</v>
      </c>
    </row>
    <row r="203" spans="1:7">
      <c r="A203" s="1">
        <v>15</v>
      </c>
      <c r="B203" s="1" t="s">
        <v>14</v>
      </c>
      <c r="C203" s="11">
        <v>25.3</v>
      </c>
      <c r="D203" s="11">
        <v>24.1</v>
      </c>
      <c r="E203" s="2">
        <f t="shared" si="6"/>
        <v>1.1999999999999993</v>
      </c>
      <c r="F203" s="11">
        <v>0</v>
      </c>
      <c r="G203" s="14">
        <f t="shared" si="7"/>
        <v>4.7430830039525661E-2</v>
      </c>
    </row>
    <row r="204" spans="1:7">
      <c r="A204" s="1">
        <v>16</v>
      </c>
      <c r="B204" s="1" t="s">
        <v>14</v>
      </c>
      <c r="C204" s="11">
        <v>23.69</v>
      </c>
      <c r="D204" s="11">
        <v>23.58</v>
      </c>
      <c r="E204" s="2">
        <f t="shared" si="6"/>
        <v>0.11000000000000298</v>
      </c>
      <c r="F204" s="11">
        <v>0.22500000000000001</v>
      </c>
      <c r="G204" s="14">
        <f t="shared" si="7"/>
        <v>1.4140987758548034E-2</v>
      </c>
    </row>
    <row r="205" spans="1:7">
      <c r="A205" s="1">
        <v>17</v>
      </c>
      <c r="B205" s="1" t="s">
        <v>14</v>
      </c>
      <c r="C205" s="11">
        <v>20.09</v>
      </c>
      <c r="D205" s="11">
        <v>19.7</v>
      </c>
      <c r="E205" s="2">
        <f t="shared" si="6"/>
        <v>0.39000000000000057</v>
      </c>
      <c r="F205" s="11">
        <v>0.159</v>
      </c>
      <c r="G205" s="14">
        <f t="shared" si="7"/>
        <v>2.732702837232457E-2</v>
      </c>
    </row>
    <row r="206" spans="1:7">
      <c r="A206" s="1">
        <v>18</v>
      </c>
      <c r="B206" s="1" t="s">
        <v>14</v>
      </c>
      <c r="C206" s="11">
        <v>90.51</v>
      </c>
      <c r="D206" s="11">
        <v>90.52</v>
      </c>
      <c r="E206" s="2">
        <f t="shared" si="6"/>
        <v>-9.9999999999909051E-3</v>
      </c>
      <c r="F206" s="11">
        <v>0.66</v>
      </c>
      <c r="G206" s="14">
        <f t="shared" si="7"/>
        <v>7.1815269031047296E-3</v>
      </c>
    </row>
    <row r="207" spans="1:7">
      <c r="A207" s="1">
        <v>19</v>
      </c>
      <c r="B207" s="1" t="s">
        <v>14</v>
      </c>
      <c r="C207" s="11">
        <v>0</v>
      </c>
      <c r="D207" s="11">
        <v>0</v>
      </c>
      <c r="E207" s="2">
        <f t="shared" si="6"/>
        <v>0</v>
      </c>
      <c r="F207" s="11">
        <v>-6.1879999999999997</v>
      </c>
      <c r="G207" s="14" t="e">
        <f t="shared" si="7"/>
        <v>#DIV/0!</v>
      </c>
    </row>
    <row r="208" spans="1:7">
      <c r="A208" s="1">
        <v>20</v>
      </c>
      <c r="B208" s="1" t="s">
        <v>14</v>
      </c>
      <c r="C208" s="11">
        <v>0</v>
      </c>
      <c r="D208" s="11">
        <v>0</v>
      </c>
      <c r="E208" s="2">
        <f t="shared" si="6"/>
        <v>0</v>
      </c>
      <c r="F208" s="11">
        <v>0</v>
      </c>
      <c r="G208" s="14" t="e">
        <f t="shared" si="7"/>
        <v>#DIV/0!</v>
      </c>
    </row>
    <row r="209" spans="1:7">
      <c r="A209" s="1">
        <v>21</v>
      </c>
      <c r="B209" s="1" t="s">
        <v>14</v>
      </c>
      <c r="C209" s="11">
        <v>0</v>
      </c>
      <c r="D209" s="11">
        <v>0</v>
      </c>
      <c r="E209" s="2">
        <f t="shared" si="6"/>
        <v>0</v>
      </c>
      <c r="F209" s="11">
        <v>0.124</v>
      </c>
      <c r="G209" s="14" t="e">
        <f t="shared" si="7"/>
        <v>#DIV/0!</v>
      </c>
    </row>
    <row r="210" spans="1:7">
      <c r="A210" s="1">
        <v>22</v>
      </c>
      <c r="B210" s="1" t="s">
        <v>14</v>
      </c>
      <c r="C210" s="11">
        <v>0</v>
      </c>
      <c r="D210" s="11">
        <v>0</v>
      </c>
      <c r="E210" s="2">
        <f t="shared" si="6"/>
        <v>0</v>
      </c>
      <c r="F210" s="11">
        <v>0</v>
      </c>
      <c r="G210" s="14" t="e">
        <f t="shared" si="7"/>
        <v>#DIV/0!</v>
      </c>
    </row>
    <row r="211" spans="1:7">
      <c r="A211" s="1">
        <v>23</v>
      </c>
      <c r="B211" s="1" t="s">
        <v>14</v>
      </c>
      <c r="C211" s="11">
        <v>0</v>
      </c>
      <c r="D211" s="11">
        <v>0</v>
      </c>
      <c r="E211" s="2">
        <f t="shared" si="6"/>
        <v>0</v>
      </c>
      <c r="F211" s="11">
        <v>0.11</v>
      </c>
      <c r="G211" s="3" t="e">
        <f t="shared" si="7"/>
        <v>#DIV/0!</v>
      </c>
    </row>
    <row r="212" spans="1:7">
      <c r="A212" s="1">
        <v>24</v>
      </c>
      <c r="B212" s="1" t="s">
        <v>14</v>
      </c>
      <c r="C212" s="11">
        <v>27.89</v>
      </c>
      <c r="D212" s="11">
        <v>27.7</v>
      </c>
      <c r="E212" s="2">
        <f t="shared" si="6"/>
        <v>0.19000000000000128</v>
      </c>
      <c r="F212" s="11">
        <v>0</v>
      </c>
      <c r="G212" s="3">
        <f t="shared" si="7"/>
        <v>6.8124775905342872E-3</v>
      </c>
    </row>
    <row r="213" spans="1:7">
      <c r="A213" s="1">
        <v>25</v>
      </c>
      <c r="B213" s="1" t="s">
        <v>14</v>
      </c>
      <c r="C213" s="11">
        <v>0</v>
      </c>
      <c r="D213" s="11">
        <v>0</v>
      </c>
      <c r="E213" s="2">
        <f t="shared" si="6"/>
        <v>0</v>
      </c>
      <c r="F213" s="11">
        <v>8.7999999999999995E-2</v>
      </c>
      <c r="G213" s="3" t="e">
        <f t="shared" si="7"/>
        <v>#DIV/0!</v>
      </c>
    </row>
    <row r="214" spans="1:7">
      <c r="A214" s="1">
        <v>26</v>
      </c>
      <c r="B214" s="1" t="s">
        <v>14</v>
      </c>
      <c r="C214" s="11">
        <v>0</v>
      </c>
      <c r="D214" s="11">
        <v>0</v>
      </c>
      <c r="E214" s="2">
        <f t="shared" si="6"/>
        <v>0</v>
      </c>
      <c r="F214" s="11">
        <v>0</v>
      </c>
      <c r="G214" s="14" t="e">
        <f t="shared" si="7"/>
        <v>#DIV/0!</v>
      </c>
    </row>
    <row r="215" spans="1:7">
      <c r="A215" s="1">
        <v>27</v>
      </c>
      <c r="B215" s="1" t="s">
        <v>14</v>
      </c>
      <c r="C215" s="11">
        <v>22.84</v>
      </c>
      <c r="D215" s="11">
        <v>22.8</v>
      </c>
      <c r="E215" s="2">
        <f t="shared" si="6"/>
        <v>3.9999999999999147E-2</v>
      </c>
      <c r="F215" s="11">
        <v>0</v>
      </c>
      <c r="G215" s="14">
        <f t="shared" si="7"/>
        <v>1.7513134851137981E-3</v>
      </c>
    </row>
    <row r="216" spans="1:7">
      <c r="A216" s="1">
        <v>28</v>
      </c>
      <c r="B216" s="1" t="s">
        <v>14</v>
      </c>
      <c r="C216" s="11">
        <v>109.44</v>
      </c>
      <c r="D216" s="11">
        <v>108.54</v>
      </c>
      <c r="E216" s="2">
        <f t="shared" si="6"/>
        <v>0.89999999999999147</v>
      </c>
      <c r="F216" s="11">
        <v>0.05</v>
      </c>
      <c r="G216" s="14">
        <f t="shared" si="7"/>
        <v>8.6805555555554779E-3</v>
      </c>
    </row>
    <row r="217" spans="1:7">
      <c r="A217" s="1">
        <v>29</v>
      </c>
      <c r="B217" s="1" t="s">
        <v>14</v>
      </c>
      <c r="C217" s="11">
        <v>20.82</v>
      </c>
      <c r="D217" s="11">
        <v>20.8</v>
      </c>
      <c r="E217" s="2">
        <f t="shared" si="6"/>
        <v>1.9999999999999574E-2</v>
      </c>
      <c r="F217" s="11">
        <v>5.8000000000000003E-2</v>
      </c>
      <c r="G217" s="14">
        <f t="shared" si="7"/>
        <v>3.7463976945244751E-3</v>
      </c>
    </row>
    <row r="218" spans="1:7">
      <c r="A218" s="1">
        <v>30</v>
      </c>
      <c r="B218" s="1" t="s">
        <v>14</v>
      </c>
      <c r="C218" s="11">
        <v>0</v>
      </c>
      <c r="D218" s="11">
        <v>0</v>
      </c>
      <c r="E218" s="2">
        <f t="shared" si="6"/>
        <v>0</v>
      </c>
      <c r="F218" s="11">
        <v>0.10199999999999854</v>
      </c>
      <c r="G218" s="14" t="e">
        <f t="shared" si="7"/>
        <v>#DIV/0!</v>
      </c>
    </row>
    <row r="219" spans="1:7">
      <c r="A219" s="1">
        <v>31</v>
      </c>
      <c r="B219" s="1" t="s">
        <v>14</v>
      </c>
      <c r="C219" s="11">
        <v>0</v>
      </c>
      <c r="D219" s="11">
        <v>0</v>
      </c>
      <c r="E219" s="2">
        <f t="shared" si="6"/>
        <v>0</v>
      </c>
      <c r="F219" s="11">
        <v>6.2E-2</v>
      </c>
      <c r="G219" s="14" t="e">
        <f t="shared" si="7"/>
        <v>#DIV/0!</v>
      </c>
    </row>
    <row r="220" spans="1:7">
      <c r="A220" s="1">
        <v>1</v>
      </c>
      <c r="B220" s="1" t="s">
        <v>15</v>
      </c>
      <c r="C220" s="11">
        <v>0</v>
      </c>
      <c r="D220" s="11">
        <v>0</v>
      </c>
      <c r="E220" s="2">
        <f t="shared" si="6"/>
        <v>0</v>
      </c>
      <c r="F220" s="11">
        <v>0</v>
      </c>
      <c r="G220" s="14" t="e">
        <f t="shared" si="7"/>
        <v>#DIV/0!</v>
      </c>
    </row>
    <row r="221" spans="1:7">
      <c r="A221" s="1">
        <v>2</v>
      </c>
      <c r="B221" s="1" t="s">
        <v>15</v>
      </c>
      <c r="C221" s="11">
        <v>0</v>
      </c>
      <c r="D221" s="11">
        <v>0</v>
      </c>
      <c r="E221" s="2">
        <f t="shared" si="6"/>
        <v>0</v>
      </c>
      <c r="F221" s="11">
        <v>0</v>
      </c>
      <c r="G221" s="14" t="e">
        <f t="shared" si="7"/>
        <v>#DIV/0!</v>
      </c>
    </row>
    <row r="222" spans="1:7">
      <c r="A222" s="1">
        <v>3</v>
      </c>
      <c r="B222" s="1" t="s">
        <v>15</v>
      </c>
      <c r="C222" s="11">
        <v>0</v>
      </c>
      <c r="D222" s="11">
        <v>0</v>
      </c>
      <c r="E222" s="2">
        <f t="shared" si="6"/>
        <v>0</v>
      </c>
      <c r="F222" s="11">
        <v>0</v>
      </c>
      <c r="G222" s="14" t="e">
        <f t="shared" si="7"/>
        <v>#DIV/0!</v>
      </c>
    </row>
    <row r="223" spans="1:7">
      <c r="A223" s="1">
        <v>4</v>
      </c>
      <c r="B223" s="1" t="s">
        <v>15</v>
      </c>
      <c r="C223" s="11">
        <v>25.01</v>
      </c>
      <c r="D223" s="11">
        <v>24.82</v>
      </c>
      <c r="E223" s="2">
        <f t="shared" si="6"/>
        <v>0.19000000000000128</v>
      </c>
      <c r="F223" s="11">
        <v>0</v>
      </c>
      <c r="G223" s="14">
        <f t="shared" si="7"/>
        <v>7.5969612155138448E-3</v>
      </c>
    </row>
    <row r="224" spans="1:7">
      <c r="A224" s="1">
        <v>5</v>
      </c>
      <c r="B224" s="1" t="s">
        <v>15</v>
      </c>
      <c r="C224" s="11">
        <v>0</v>
      </c>
      <c r="D224" s="11">
        <v>0</v>
      </c>
      <c r="E224" s="2">
        <f t="shared" si="6"/>
        <v>0</v>
      </c>
      <c r="F224" s="11">
        <v>0</v>
      </c>
      <c r="G224" s="14" t="e">
        <f t="shared" si="7"/>
        <v>#DIV/0!</v>
      </c>
    </row>
    <row r="225" spans="1:7">
      <c r="A225" s="1">
        <v>6</v>
      </c>
      <c r="B225" s="1" t="s">
        <v>15</v>
      </c>
      <c r="C225" s="11">
        <v>0</v>
      </c>
      <c r="D225" s="11">
        <v>0</v>
      </c>
      <c r="E225" s="2">
        <f t="shared" si="6"/>
        <v>0</v>
      </c>
      <c r="F225" s="11">
        <v>0</v>
      </c>
      <c r="G225" s="14" t="e">
        <f t="shared" si="7"/>
        <v>#DIV/0!</v>
      </c>
    </row>
    <row r="226" spans="1:7">
      <c r="A226" s="1">
        <v>7</v>
      </c>
      <c r="B226" s="1" t="s">
        <v>15</v>
      </c>
      <c r="C226" s="11">
        <v>22.35</v>
      </c>
      <c r="D226" s="11">
        <v>21.84</v>
      </c>
      <c r="E226" s="2">
        <f t="shared" si="6"/>
        <v>0.51000000000000156</v>
      </c>
      <c r="F226" s="11">
        <v>0</v>
      </c>
      <c r="G226" s="14">
        <f t="shared" si="7"/>
        <v>2.2818791946308793E-2</v>
      </c>
    </row>
    <row r="227" spans="1:7">
      <c r="A227" s="1">
        <v>10</v>
      </c>
      <c r="B227" s="1" t="s">
        <v>15</v>
      </c>
      <c r="C227" s="11">
        <v>0</v>
      </c>
      <c r="D227" s="11">
        <v>0</v>
      </c>
      <c r="E227" s="2">
        <f t="shared" si="6"/>
        <v>0</v>
      </c>
      <c r="F227" s="11">
        <v>0</v>
      </c>
      <c r="G227" s="14" t="e">
        <f t="shared" si="7"/>
        <v>#DIV/0!</v>
      </c>
    </row>
    <row r="228" spans="1:7">
      <c r="A228" s="1">
        <v>8</v>
      </c>
      <c r="B228" s="1" t="s">
        <v>15</v>
      </c>
      <c r="C228" s="11">
        <v>0</v>
      </c>
      <c r="D228" s="11">
        <v>0</v>
      </c>
      <c r="E228" s="2">
        <f t="shared" si="6"/>
        <v>0</v>
      </c>
      <c r="F228" s="11">
        <v>0</v>
      </c>
      <c r="G228" s="14" t="e">
        <f t="shared" si="7"/>
        <v>#DIV/0!</v>
      </c>
    </row>
    <row r="229" spans="1:7">
      <c r="A229" s="1">
        <v>9</v>
      </c>
      <c r="B229" s="1" t="s">
        <v>15</v>
      </c>
      <c r="C229" s="11">
        <v>0</v>
      </c>
      <c r="D229" s="11">
        <v>0</v>
      </c>
      <c r="E229" s="2">
        <f t="shared" si="6"/>
        <v>0</v>
      </c>
      <c r="F229" s="11">
        <v>0</v>
      </c>
      <c r="G229" s="14" t="e">
        <f t="shared" si="7"/>
        <v>#DIV/0!</v>
      </c>
    </row>
    <row r="230" spans="1:7">
      <c r="A230" s="1">
        <v>11</v>
      </c>
      <c r="B230" s="1" t="s">
        <v>15</v>
      </c>
      <c r="C230" s="11">
        <v>0</v>
      </c>
      <c r="D230" s="11">
        <v>0</v>
      </c>
      <c r="E230" s="2">
        <f t="shared" si="6"/>
        <v>0</v>
      </c>
      <c r="F230" s="11">
        <v>0</v>
      </c>
      <c r="G230" s="14" t="e">
        <f t="shared" si="7"/>
        <v>#DIV/0!</v>
      </c>
    </row>
    <row r="231" spans="1:7">
      <c r="A231" s="1">
        <v>12</v>
      </c>
      <c r="B231" s="1" t="s">
        <v>15</v>
      </c>
      <c r="C231" s="11">
        <v>0</v>
      </c>
      <c r="D231" s="11">
        <v>0</v>
      </c>
      <c r="E231" s="2">
        <f t="shared" si="6"/>
        <v>0</v>
      </c>
      <c r="F231" s="11">
        <v>0</v>
      </c>
      <c r="G231" s="14" t="e">
        <f t="shared" si="7"/>
        <v>#DIV/0!</v>
      </c>
    </row>
    <row r="232" spans="1:7">
      <c r="A232" s="1">
        <v>13</v>
      </c>
      <c r="B232" s="1" t="s">
        <v>15</v>
      </c>
      <c r="C232" s="11">
        <v>0</v>
      </c>
      <c r="D232" s="11">
        <v>0</v>
      </c>
      <c r="E232" s="2">
        <f t="shared" si="6"/>
        <v>0</v>
      </c>
      <c r="F232" s="11">
        <v>0</v>
      </c>
      <c r="G232" s="14" t="e">
        <f t="shared" si="7"/>
        <v>#DIV/0!</v>
      </c>
    </row>
    <row r="233" spans="1:7">
      <c r="A233" s="1">
        <v>14</v>
      </c>
      <c r="B233" s="1" t="s">
        <v>15</v>
      </c>
      <c r="C233" s="11">
        <v>0</v>
      </c>
      <c r="D233" s="11">
        <v>0</v>
      </c>
      <c r="E233" s="2">
        <f t="shared" si="6"/>
        <v>0</v>
      </c>
      <c r="F233" s="11">
        <v>0</v>
      </c>
      <c r="G233" s="14" t="e">
        <f t="shared" si="7"/>
        <v>#DIV/0!</v>
      </c>
    </row>
    <row r="234" spans="1:7">
      <c r="A234" s="1">
        <v>15</v>
      </c>
      <c r="B234" s="1" t="s">
        <v>15</v>
      </c>
      <c r="C234" s="11">
        <v>0</v>
      </c>
      <c r="D234" s="11">
        <v>0</v>
      </c>
      <c r="E234" s="2">
        <f t="shared" si="6"/>
        <v>0</v>
      </c>
      <c r="F234" s="11">
        <v>0</v>
      </c>
      <c r="G234" s="14" t="e">
        <f t="shared" si="7"/>
        <v>#DIV/0!</v>
      </c>
    </row>
    <row r="235" spans="1:7">
      <c r="A235" s="1">
        <v>16</v>
      </c>
      <c r="B235" s="1" t="s">
        <v>15</v>
      </c>
      <c r="C235" s="11">
        <v>0</v>
      </c>
      <c r="D235" s="11">
        <v>0</v>
      </c>
      <c r="E235" s="2">
        <f t="shared" si="6"/>
        <v>0</v>
      </c>
      <c r="F235" s="11">
        <v>0</v>
      </c>
      <c r="G235" s="14" t="e">
        <f t="shared" si="7"/>
        <v>#DIV/0!</v>
      </c>
    </row>
    <row r="236" spans="1:7">
      <c r="A236" s="1">
        <v>17</v>
      </c>
      <c r="B236" s="1" t="s">
        <v>15</v>
      </c>
      <c r="C236" s="11">
        <v>0</v>
      </c>
      <c r="D236" s="11">
        <v>0</v>
      </c>
      <c r="E236" s="2">
        <f t="shared" si="6"/>
        <v>0</v>
      </c>
      <c r="F236" s="11">
        <v>0</v>
      </c>
      <c r="G236" s="14" t="e">
        <f t="shared" si="7"/>
        <v>#DIV/0!</v>
      </c>
    </row>
    <row r="237" spans="1:7">
      <c r="A237" s="1">
        <v>18</v>
      </c>
      <c r="B237" s="1" t="s">
        <v>15</v>
      </c>
      <c r="C237" s="11">
        <v>0</v>
      </c>
      <c r="D237" s="11">
        <v>0</v>
      </c>
      <c r="E237" s="2">
        <f t="shared" si="6"/>
        <v>0</v>
      </c>
      <c r="F237" s="11">
        <v>0</v>
      </c>
      <c r="G237" s="14" t="e">
        <f t="shared" si="7"/>
        <v>#DIV/0!</v>
      </c>
    </row>
    <row r="238" spans="1:7">
      <c r="A238" s="1">
        <v>19</v>
      </c>
      <c r="B238" s="1" t="s">
        <v>15</v>
      </c>
      <c r="C238" s="11">
        <v>0</v>
      </c>
      <c r="D238" s="11">
        <v>0</v>
      </c>
      <c r="E238" s="2">
        <f t="shared" si="6"/>
        <v>0</v>
      </c>
      <c r="F238" s="11">
        <v>0</v>
      </c>
      <c r="G238" s="14" t="e">
        <f t="shared" si="7"/>
        <v>#DIV/0!</v>
      </c>
    </row>
    <row r="239" spans="1:7">
      <c r="A239" s="1">
        <v>20</v>
      </c>
      <c r="B239" s="1" t="s">
        <v>15</v>
      </c>
      <c r="C239" s="11">
        <v>19.18</v>
      </c>
      <c r="D239" s="11">
        <v>18.96</v>
      </c>
      <c r="E239" s="2">
        <f t="shared" si="6"/>
        <v>0.21999999999999886</v>
      </c>
      <c r="F239" s="11">
        <v>0</v>
      </c>
      <c r="G239" s="14">
        <f t="shared" si="7"/>
        <v>1.1470281543274185E-2</v>
      </c>
    </row>
    <row r="240" spans="1:7">
      <c r="A240" s="1">
        <v>21</v>
      </c>
      <c r="B240" s="1" t="s">
        <v>15</v>
      </c>
      <c r="C240" s="11">
        <v>0</v>
      </c>
      <c r="D240" s="11">
        <v>0</v>
      </c>
      <c r="E240" s="2">
        <f t="shared" si="6"/>
        <v>0</v>
      </c>
      <c r="F240" s="11">
        <v>0</v>
      </c>
      <c r="G240" s="14" t="e">
        <f t="shared" si="7"/>
        <v>#DIV/0!</v>
      </c>
    </row>
    <row r="241" spans="1:7">
      <c r="A241" s="1">
        <v>22</v>
      </c>
      <c r="B241" s="1" t="s">
        <v>15</v>
      </c>
      <c r="C241" s="11">
        <v>0</v>
      </c>
      <c r="D241" s="11">
        <v>0</v>
      </c>
      <c r="E241" s="2">
        <f t="shared" si="6"/>
        <v>0</v>
      </c>
      <c r="F241" s="11">
        <v>0</v>
      </c>
      <c r="G241" s="14" t="e">
        <f t="shared" si="7"/>
        <v>#DIV/0!</v>
      </c>
    </row>
    <row r="242" spans="1:7">
      <c r="A242" s="1">
        <v>23</v>
      </c>
      <c r="B242" s="1" t="s">
        <v>15</v>
      </c>
      <c r="C242" s="11">
        <v>0</v>
      </c>
      <c r="D242" s="11">
        <v>0</v>
      </c>
      <c r="E242" s="2">
        <f t="shared" si="6"/>
        <v>0</v>
      </c>
      <c r="F242" s="11">
        <v>0</v>
      </c>
      <c r="G242" s="3" t="e">
        <f t="shared" si="7"/>
        <v>#DIV/0!</v>
      </c>
    </row>
    <row r="243" spans="1:7">
      <c r="A243" s="1">
        <v>24</v>
      </c>
      <c r="B243" s="1" t="s">
        <v>15</v>
      </c>
      <c r="C243" s="11">
        <v>0</v>
      </c>
      <c r="D243" s="11">
        <v>0</v>
      </c>
      <c r="E243" s="2">
        <f t="shared" si="6"/>
        <v>0</v>
      </c>
      <c r="F243" s="11">
        <v>0</v>
      </c>
      <c r="G243" s="3" t="e">
        <f t="shared" si="7"/>
        <v>#DIV/0!</v>
      </c>
    </row>
    <row r="244" spans="1:7">
      <c r="A244" s="1">
        <v>25</v>
      </c>
      <c r="B244" s="1" t="s">
        <v>15</v>
      </c>
      <c r="C244" s="11">
        <v>20.53</v>
      </c>
      <c r="D244" s="11">
        <v>20.37</v>
      </c>
      <c r="E244" s="2">
        <f t="shared" si="6"/>
        <v>0.16000000000000014</v>
      </c>
      <c r="F244" s="11">
        <v>0</v>
      </c>
      <c r="G244" s="3">
        <f t="shared" si="7"/>
        <v>7.7934729663906542E-3</v>
      </c>
    </row>
    <row r="245" spans="1:7">
      <c r="A245" s="1">
        <v>26</v>
      </c>
      <c r="B245" s="1" t="s">
        <v>15</v>
      </c>
      <c r="C245" s="11">
        <v>0</v>
      </c>
      <c r="D245" s="11">
        <v>0</v>
      </c>
      <c r="E245" s="2">
        <f t="shared" si="6"/>
        <v>0</v>
      </c>
      <c r="F245" s="11">
        <v>0</v>
      </c>
      <c r="G245" s="14" t="e">
        <f t="shared" si="7"/>
        <v>#DIV/0!</v>
      </c>
    </row>
    <row r="246" spans="1:7">
      <c r="A246" s="1">
        <v>27</v>
      </c>
      <c r="B246" s="1" t="s">
        <v>15</v>
      </c>
      <c r="C246" s="11">
        <v>0</v>
      </c>
      <c r="D246" s="11">
        <v>0</v>
      </c>
      <c r="E246" s="2">
        <f t="shared" si="6"/>
        <v>0</v>
      </c>
      <c r="F246" s="11">
        <v>0</v>
      </c>
      <c r="G246" s="14" t="e">
        <f t="shared" si="7"/>
        <v>#DIV/0!</v>
      </c>
    </row>
    <row r="247" spans="1:7">
      <c r="A247" s="1">
        <v>28</v>
      </c>
      <c r="B247" s="1" t="s">
        <v>15</v>
      </c>
      <c r="C247" s="11">
        <v>0</v>
      </c>
      <c r="D247" s="11">
        <v>0</v>
      </c>
      <c r="E247" s="2">
        <f t="shared" si="6"/>
        <v>0</v>
      </c>
      <c r="F247" s="11">
        <v>0</v>
      </c>
      <c r="G247" s="14" t="e">
        <f t="shared" si="7"/>
        <v>#DIV/0!</v>
      </c>
    </row>
    <row r="248" spans="1:7">
      <c r="A248" s="1">
        <v>29</v>
      </c>
      <c r="B248" s="1" t="s">
        <v>15</v>
      </c>
      <c r="C248" s="11">
        <v>0</v>
      </c>
      <c r="D248" s="11">
        <v>0</v>
      </c>
      <c r="E248" s="2">
        <f t="shared" si="6"/>
        <v>0</v>
      </c>
      <c r="F248" s="11">
        <v>0</v>
      </c>
      <c r="G248" s="14" t="e">
        <f t="shared" si="7"/>
        <v>#DIV/0!</v>
      </c>
    </row>
    <row r="249" spans="1:7">
      <c r="A249" s="1">
        <v>30</v>
      </c>
      <c r="B249" s="1" t="s">
        <v>15</v>
      </c>
      <c r="C249" s="11">
        <v>20.45</v>
      </c>
      <c r="D249" s="11">
        <v>20.21</v>
      </c>
      <c r="E249" s="2">
        <f t="shared" si="6"/>
        <v>0.23999999999999844</v>
      </c>
      <c r="F249" s="11">
        <v>0</v>
      </c>
      <c r="G249" s="14">
        <f t="shared" si="7"/>
        <v>1.1735941320293323E-2</v>
      </c>
    </row>
    <row r="250" spans="1:7">
      <c r="A250" s="1">
        <v>31</v>
      </c>
      <c r="B250" s="1" t="s">
        <v>15</v>
      </c>
      <c r="C250" s="11">
        <v>0</v>
      </c>
      <c r="D250" s="11">
        <v>0</v>
      </c>
      <c r="E250" s="2">
        <f t="shared" si="6"/>
        <v>0</v>
      </c>
      <c r="F250" s="11">
        <v>0</v>
      </c>
      <c r="G250" s="14" t="e">
        <f t="shared" si="7"/>
        <v>#DIV/0!</v>
      </c>
    </row>
    <row r="251" spans="1:7">
      <c r="A251" s="1">
        <v>1</v>
      </c>
      <c r="B251" s="1" t="s">
        <v>16</v>
      </c>
      <c r="C251" s="11">
        <v>0</v>
      </c>
      <c r="D251" s="11">
        <v>0</v>
      </c>
      <c r="E251" s="2">
        <f t="shared" si="6"/>
        <v>0</v>
      </c>
      <c r="F251" s="11">
        <v>0</v>
      </c>
      <c r="G251" s="14" t="e">
        <f t="shared" si="7"/>
        <v>#DIV/0!</v>
      </c>
    </row>
    <row r="252" spans="1:7">
      <c r="A252" s="1">
        <v>2</v>
      </c>
      <c r="B252" s="1" t="s">
        <v>16</v>
      </c>
      <c r="C252" s="11">
        <v>22.88</v>
      </c>
      <c r="D252" s="11">
        <v>22.5</v>
      </c>
      <c r="E252" s="2">
        <f t="shared" si="6"/>
        <v>0.37999999999999901</v>
      </c>
      <c r="F252" s="11">
        <v>0.17799999999999999</v>
      </c>
      <c r="G252" s="14">
        <f t="shared" si="7"/>
        <v>2.4388111888111842E-2</v>
      </c>
    </row>
    <row r="253" spans="1:7">
      <c r="A253" s="1">
        <v>3</v>
      </c>
      <c r="B253" s="1" t="s">
        <v>16</v>
      </c>
      <c r="C253" s="11">
        <v>50.74</v>
      </c>
      <c r="D253" s="11">
        <v>50.06</v>
      </c>
      <c r="E253" s="2">
        <f t="shared" si="6"/>
        <v>0.67999999999999972</v>
      </c>
      <c r="F253" s="11">
        <v>0.17</v>
      </c>
      <c r="G253" s="14">
        <f t="shared" si="7"/>
        <v>1.6752069373275516E-2</v>
      </c>
    </row>
    <row r="254" spans="1:7">
      <c r="A254" s="1">
        <v>4</v>
      </c>
      <c r="B254" s="1" t="s">
        <v>16</v>
      </c>
      <c r="C254" s="11">
        <v>28.42</v>
      </c>
      <c r="D254" s="11">
        <v>27.83</v>
      </c>
      <c r="E254" s="2">
        <f t="shared" si="6"/>
        <v>0.59000000000000341</v>
      </c>
      <c r="F254" s="11">
        <v>0</v>
      </c>
      <c r="G254" s="14">
        <f t="shared" si="7"/>
        <v>2.076002814919083E-2</v>
      </c>
    </row>
    <row r="255" spans="1:7">
      <c r="A255" s="1">
        <v>5</v>
      </c>
      <c r="B255" s="1" t="s">
        <v>16</v>
      </c>
      <c r="C255" s="11">
        <v>26.43</v>
      </c>
      <c r="D255" s="11">
        <v>26.12</v>
      </c>
      <c r="E255" s="2">
        <f t="shared" si="6"/>
        <v>0.30999999999999872</v>
      </c>
      <c r="F255" s="11">
        <v>0.12</v>
      </c>
      <c r="G255" s="14">
        <f t="shared" si="7"/>
        <v>1.626939084373813E-2</v>
      </c>
    </row>
    <row r="256" spans="1:7">
      <c r="A256" s="1">
        <v>6</v>
      </c>
      <c r="B256" s="1" t="s">
        <v>16</v>
      </c>
      <c r="C256" s="11">
        <v>0</v>
      </c>
      <c r="D256" s="11">
        <v>0</v>
      </c>
      <c r="E256" s="2">
        <f t="shared" si="6"/>
        <v>0</v>
      </c>
      <c r="F256" s="11">
        <v>0.23400000000000001</v>
      </c>
      <c r="G256" s="14" t="e">
        <f t="shared" si="7"/>
        <v>#DIV/0!</v>
      </c>
    </row>
    <row r="257" spans="1:7">
      <c r="A257" s="1">
        <v>7</v>
      </c>
      <c r="B257" s="1" t="s">
        <v>16</v>
      </c>
      <c r="C257" s="11">
        <v>0</v>
      </c>
      <c r="D257" s="11">
        <v>0</v>
      </c>
      <c r="E257" s="2">
        <f t="shared" si="6"/>
        <v>0</v>
      </c>
      <c r="F257" s="11">
        <v>0</v>
      </c>
      <c r="G257" s="14" t="e">
        <f t="shared" si="7"/>
        <v>#DIV/0!</v>
      </c>
    </row>
    <row r="258" spans="1:7">
      <c r="A258" s="1">
        <v>10</v>
      </c>
      <c r="B258" s="1" t="s">
        <v>16</v>
      </c>
      <c r="C258" s="11">
        <v>0</v>
      </c>
      <c r="D258" s="11">
        <v>0</v>
      </c>
      <c r="E258" s="2">
        <f t="shared" si="6"/>
        <v>0</v>
      </c>
      <c r="F258" s="11">
        <v>0.23799999999999999</v>
      </c>
      <c r="G258" s="14" t="e">
        <f t="shared" si="7"/>
        <v>#DIV/0!</v>
      </c>
    </row>
    <row r="259" spans="1:7">
      <c r="A259" s="1">
        <v>8</v>
      </c>
      <c r="B259" s="1" t="s">
        <v>16</v>
      </c>
      <c r="C259" s="11">
        <v>20.97</v>
      </c>
      <c r="D259" s="11">
        <v>20.36</v>
      </c>
      <c r="E259" s="2">
        <f t="shared" si="6"/>
        <v>0.60999999999999943</v>
      </c>
      <c r="F259" s="11">
        <v>0.21</v>
      </c>
      <c r="G259" s="14">
        <f t="shared" si="7"/>
        <v>3.9103481163566975E-2</v>
      </c>
    </row>
    <row r="260" spans="1:7">
      <c r="A260" s="1">
        <v>9</v>
      </c>
      <c r="B260" s="1" t="s">
        <v>16</v>
      </c>
      <c r="C260" s="11">
        <v>22.86</v>
      </c>
      <c r="D260" s="11">
        <v>22.47</v>
      </c>
      <c r="E260" s="2">
        <f t="shared" ref="E260:E323" si="8">C260-D260</f>
        <v>0.39000000000000057</v>
      </c>
      <c r="F260" s="11">
        <v>0</v>
      </c>
      <c r="G260" s="14">
        <f t="shared" ref="G260:G312" si="9">(E260+F260)/C260</f>
        <v>1.7060367454068266E-2</v>
      </c>
    </row>
    <row r="261" spans="1:7">
      <c r="A261" s="1">
        <v>11</v>
      </c>
      <c r="B261" s="1" t="s">
        <v>16</v>
      </c>
      <c r="C261" s="11">
        <v>0</v>
      </c>
      <c r="D261" s="11">
        <v>0</v>
      </c>
      <c r="E261" s="2">
        <f t="shared" si="8"/>
        <v>0</v>
      </c>
      <c r="F261" s="11">
        <v>0.20599999999999999</v>
      </c>
      <c r="G261" s="14" t="e">
        <f t="shared" si="9"/>
        <v>#DIV/0!</v>
      </c>
    </row>
    <row r="262" spans="1:7">
      <c r="A262" s="1">
        <v>12</v>
      </c>
      <c r="B262" s="1" t="s">
        <v>16</v>
      </c>
      <c r="C262" s="11">
        <v>23.14</v>
      </c>
      <c r="D262" s="11">
        <v>22.78</v>
      </c>
      <c r="E262" s="2">
        <f t="shared" si="8"/>
        <v>0.35999999999999943</v>
      </c>
      <c r="F262" s="11">
        <v>0.1</v>
      </c>
      <c r="G262" s="14">
        <f t="shared" si="9"/>
        <v>1.9878997407087269E-2</v>
      </c>
    </row>
    <row r="263" spans="1:7">
      <c r="A263" s="1">
        <v>13</v>
      </c>
      <c r="B263" s="1" t="s">
        <v>16</v>
      </c>
      <c r="C263" s="11">
        <v>0</v>
      </c>
      <c r="D263" s="11">
        <v>0</v>
      </c>
      <c r="E263" s="2">
        <f t="shared" si="8"/>
        <v>0</v>
      </c>
      <c r="F263" s="11">
        <v>0.19400000000000001</v>
      </c>
      <c r="G263" s="14" t="e">
        <f t="shared" si="9"/>
        <v>#DIV/0!</v>
      </c>
    </row>
    <row r="264" spans="1:7">
      <c r="A264" s="1">
        <v>14</v>
      </c>
      <c r="B264" s="1" t="s">
        <v>16</v>
      </c>
      <c r="C264" s="11">
        <v>0</v>
      </c>
      <c r="D264" s="11">
        <v>0</v>
      </c>
      <c r="E264" s="2">
        <f t="shared" si="8"/>
        <v>0</v>
      </c>
      <c r="F264" s="11">
        <v>0.21199999999999999</v>
      </c>
      <c r="G264" s="14" t="e">
        <f t="shared" si="9"/>
        <v>#DIV/0!</v>
      </c>
    </row>
    <row r="265" spans="1:7">
      <c r="A265" s="1">
        <v>15</v>
      </c>
      <c r="B265" s="1" t="s">
        <v>16</v>
      </c>
      <c r="C265" s="11">
        <v>19.940000000000001</v>
      </c>
      <c r="D265" s="11">
        <v>19.82</v>
      </c>
      <c r="E265" s="2">
        <f t="shared" si="8"/>
        <v>0.12000000000000099</v>
      </c>
      <c r="F265" s="11">
        <v>0.25</v>
      </c>
      <c r="G265" s="14">
        <f t="shared" si="9"/>
        <v>1.8555667001003057E-2</v>
      </c>
    </row>
    <row r="266" spans="1:7">
      <c r="A266" s="1">
        <v>16</v>
      </c>
      <c r="B266" s="1" t="s">
        <v>16</v>
      </c>
      <c r="C266" s="11">
        <v>0</v>
      </c>
      <c r="D266" s="11">
        <v>0</v>
      </c>
      <c r="E266" s="2">
        <f t="shared" si="8"/>
        <v>0</v>
      </c>
      <c r="F266" s="11">
        <v>0</v>
      </c>
      <c r="G266" s="14" t="e">
        <f t="shared" si="9"/>
        <v>#DIV/0!</v>
      </c>
    </row>
    <row r="267" spans="1:7">
      <c r="A267" s="1">
        <v>17</v>
      </c>
      <c r="B267" s="1" t="s">
        <v>16</v>
      </c>
      <c r="C267" s="11">
        <v>0</v>
      </c>
      <c r="D267" s="11">
        <v>0</v>
      </c>
      <c r="E267" s="2">
        <f t="shared" si="8"/>
        <v>0</v>
      </c>
      <c r="F267" s="11">
        <v>0.20300000000000001</v>
      </c>
      <c r="G267" s="14" t="e">
        <f t="shared" si="9"/>
        <v>#DIV/0!</v>
      </c>
    </row>
    <row r="268" spans="1:7">
      <c r="A268" s="1">
        <v>18</v>
      </c>
      <c r="B268" s="1" t="s">
        <v>16</v>
      </c>
      <c r="C268" s="11">
        <v>28.11</v>
      </c>
      <c r="D268" s="11">
        <v>27.71</v>
      </c>
      <c r="E268" s="2">
        <f t="shared" si="8"/>
        <v>0.39999999999999858</v>
      </c>
      <c r="F268" s="11">
        <v>0.122</v>
      </c>
      <c r="G268" s="14">
        <f t="shared" si="9"/>
        <v>1.8569903948772629E-2</v>
      </c>
    </row>
    <row r="269" spans="1:7">
      <c r="A269" s="1">
        <v>19</v>
      </c>
      <c r="B269" s="1" t="s">
        <v>16</v>
      </c>
      <c r="C269" s="11">
        <v>0</v>
      </c>
      <c r="D269" s="11">
        <v>0</v>
      </c>
      <c r="E269" s="2">
        <f t="shared" si="8"/>
        <v>0</v>
      </c>
      <c r="F269" s="11">
        <v>0</v>
      </c>
      <c r="G269" s="14" t="e">
        <f t="shared" si="9"/>
        <v>#DIV/0!</v>
      </c>
    </row>
    <row r="270" spans="1:7">
      <c r="A270" s="1">
        <v>20</v>
      </c>
      <c r="B270" s="1" t="s">
        <v>16</v>
      </c>
      <c r="C270" s="11">
        <v>20.46</v>
      </c>
      <c r="D270" s="11">
        <v>20.25</v>
      </c>
      <c r="E270" s="2">
        <f t="shared" si="8"/>
        <v>0.21000000000000085</v>
      </c>
      <c r="F270" s="11">
        <v>0.218</v>
      </c>
      <c r="G270" s="14">
        <f t="shared" si="9"/>
        <v>2.0918866080156442E-2</v>
      </c>
    </row>
    <row r="271" spans="1:7">
      <c r="A271" s="1">
        <v>21</v>
      </c>
      <c r="B271" s="1" t="s">
        <v>16</v>
      </c>
      <c r="C271" s="11">
        <v>22.138000000000002</v>
      </c>
      <c r="D271" s="11">
        <v>21.88</v>
      </c>
      <c r="E271" s="2">
        <f t="shared" si="8"/>
        <v>0.25800000000000267</v>
      </c>
      <c r="F271" s="11">
        <v>0.17399999999999999</v>
      </c>
      <c r="G271" s="14">
        <f t="shared" si="9"/>
        <v>1.9513957900442795E-2</v>
      </c>
    </row>
    <row r="272" spans="1:7">
      <c r="A272" s="1">
        <v>22</v>
      </c>
      <c r="B272" s="1" t="s">
        <v>16</v>
      </c>
      <c r="C272" s="11">
        <v>19.98</v>
      </c>
      <c r="D272" s="11">
        <v>19.71</v>
      </c>
      <c r="E272" s="2">
        <f t="shared" si="8"/>
        <v>0.26999999999999957</v>
      </c>
      <c r="F272" s="11">
        <v>0.20600000000000299</v>
      </c>
      <c r="G272" s="14">
        <f t="shared" si="9"/>
        <v>2.3823823823823951E-2</v>
      </c>
    </row>
    <row r="273" spans="1:7">
      <c r="A273" s="1">
        <v>23</v>
      </c>
      <c r="B273" s="1" t="s">
        <v>16</v>
      </c>
      <c r="C273" s="11">
        <v>0</v>
      </c>
      <c r="D273" s="11">
        <v>0</v>
      </c>
      <c r="E273" s="2">
        <f t="shared" si="8"/>
        <v>0</v>
      </c>
      <c r="F273" s="11">
        <v>0</v>
      </c>
      <c r="G273" s="3" t="e">
        <f t="shared" si="9"/>
        <v>#DIV/0!</v>
      </c>
    </row>
    <row r="274" spans="1:7">
      <c r="A274" s="1">
        <v>24</v>
      </c>
      <c r="B274" s="1" t="s">
        <v>16</v>
      </c>
      <c r="C274" s="11">
        <v>0</v>
      </c>
      <c r="D274" s="11">
        <v>0</v>
      </c>
      <c r="E274" s="2">
        <f t="shared" si="8"/>
        <v>0</v>
      </c>
      <c r="F274" s="11">
        <v>0.186</v>
      </c>
      <c r="G274" s="3" t="e">
        <f t="shared" si="9"/>
        <v>#DIV/0!</v>
      </c>
    </row>
    <row r="275" spans="1:7">
      <c r="A275" s="1">
        <v>25</v>
      </c>
      <c r="B275" s="1" t="s">
        <v>16</v>
      </c>
      <c r="C275" s="11">
        <v>26.42</v>
      </c>
      <c r="D275" s="11">
        <v>25.99</v>
      </c>
      <c r="E275" s="2">
        <f t="shared" si="8"/>
        <v>0.43000000000000327</v>
      </c>
      <c r="F275" s="11">
        <v>0.23300000000000001</v>
      </c>
      <c r="G275" s="3">
        <f t="shared" si="9"/>
        <v>2.5094625283875974E-2</v>
      </c>
    </row>
    <row r="276" spans="1:7">
      <c r="A276" s="1">
        <v>26</v>
      </c>
      <c r="B276" s="1" t="s">
        <v>16</v>
      </c>
      <c r="C276" s="11">
        <v>19.86</v>
      </c>
      <c r="D276" s="11">
        <v>19.59</v>
      </c>
      <c r="E276" s="2">
        <f t="shared" si="8"/>
        <v>0.26999999999999957</v>
      </c>
      <c r="F276" s="11">
        <v>0.21199999999999999</v>
      </c>
      <c r="G276" s="14">
        <f t="shared" si="9"/>
        <v>2.4269889224571982E-2</v>
      </c>
    </row>
    <row r="277" spans="1:7">
      <c r="A277" s="1">
        <v>27</v>
      </c>
      <c r="B277" s="1" t="s">
        <v>16</v>
      </c>
      <c r="C277" s="11">
        <v>0</v>
      </c>
      <c r="D277" s="11">
        <v>0</v>
      </c>
      <c r="E277" s="2">
        <f t="shared" si="8"/>
        <v>0</v>
      </c>
      <c r="F277" s="11">
        <v>0</v>
      </c>
      <c r="G277" s="14" t="e">
        <f t="shared" si="9"/>
        <v>#DIV/0!</v>
      </c>
    </row>
    <row r="278" spans="1:7">
      <c r="A278" s="1">
        <v>28</v>
      </c>
      <c r="B278" s="1" t="s">
        <v>16</v>
      </c>
      <c r="C278" s="11">
        <v>26.14</v>
      </c>
      <c r="D278" s="11">
        <v>25.74</v>
      </c>
      <c r="E278" s="2">
        <f t="shared" si="8"/>
        <v>0.40000000000000213</v>
      </c>
      <c r="F278" s="11">
        <v>0.214</v>
      </c>
      <c r="G278" s="14">
        <f t="shared" si="9"/>
        <v>2.3488905891354325E-2</v>
      </c>
    </row>
    <row r="279" spans="1:7">
      <c r="A279" s="1">
        <v>29</v>
      </c>
      <c r="B279" s="1" t="s">
        <v>16</v>
      </c>
      <c r="C279" s="11">
        <v>23.52</v>
      </c>
      <c r="D279" s="11">
        <v>23.13</v>
      </c>
      <c r="E279" s="2">
        <f t="shared" si="8"/>
        <v>0.39000000000000057</v>
      </c>
      <c r="F279" s="11">
        <v>0.24199999999999999</v>
      </c>
      <c r="G279" s="14">
        <f t="shared" si="9"/>
        <v>2.6870748299319753E-2</v>
      </c>
    </row>
    <row r="280" spans="1:7">
      <c r="A280" s="1">
        <v>30</v>
      </c>
      <c r="B280" s="1" t="s">
        <v>16</v>
      </c>
      <c r="C280" s="11">
        <v>24.92</v>
      </c>
      <c r="D280" s="11">
        <v>24.51</v>
      </c>
      <c r="E280" s="2">
        <f t="shared" si="8"/>
        <v>0.41000000000000014</v>
      </c>
      <c r="F280" s="11">
        <v>0.20799999999999999</v>
      </c>
      <c r="G280" s="14">
        <f t="shared" si="9"/>
        <v>2.4799357945425364E-2</v>
      </c>
    </row>
    <row r="281" spans="1:7">
      <c r="A281" s="1">
        <v>31</v>
      </c>
      <c r="B281" s="1" t="s">
        <v>16</v>
      </c>
      <c r="C281" s="11">
        <v>0</v>
      </c>
      <c r="D281" s="11">
        <v>0</v>
      </c>
      <c r="E281" s="2">
        <f t="shared" si="8"/>
        <v>0</v>
      </c>
      <c r="F281" s="11">
        <v>0.24399999999999999</v>
      </c>
      <c r="G281" s="14" t="e">
        <f t="shared" si="9"/>
        <v>#DIV/0!</v>
      </c>
    </row>
    <row r="282" spans="1:7">
      <c r="A282" s="1">
        <v>1</v>
      </c>
      <c r="B282" s="1" t="s">
        <v>17</v>
      </c>
      <c r="C282" s="11">
        <v>23.55</v>
      </c>
      <c r="D282" s="11">
        <v>23.41</v>
      </c>
      <c r="E282" s="2">
        <f t="shared" si="8"/>
        <v>0.14000000000000057</v>
      </c>
      <c r="F282" s="11">
        <v>0</v>
      </c>
      <c r="G282" s="14">
        <f t="shared" si="9"/>
        <v>5.9447983014862234E-3</v>
      </c>
    </row>
    <row r="283" spans="1:7">
      <c r="A283" s="1">
        <v>2</v>
      </c>
      <c r="B283" s="1" t="s">
        <v>17</v>
      </c>
      <c r="C283" s="11">
        <v>0</v>
      </c>
      <c r="D283" s="11">
        <v>0</v>
      </c>
      <c r="E283" s="2">
        <f t="shared" si="8"/>
        <v>0</v>
      </c>
      <c r="F283" s="11">
        <v>0</v>
      </c>
      <c r="G283" s="14" t="e">
        <f t="shared" si="9"/>
        <v>#DIV/0!</v>
      </c>
    </row>
    <row r="284" spans="1:7">
      <c r="A284" s="1">
        <v>3</v>
      </c>
      <c r="B284" s="1" t="s">
        <v>17</v>
      </c>
      <c r="C284" s="11">
        <v>24.82</v>
      </c>
      <c r="D284" s="11">
        <v>24.64</v>
      </c>
      <c r="E284" s="2">
        <f t="shared" si="8"/>
        <v>0.17999999999999972</v>
      </c>
      <c r="F284" s="11">
        <v>0</v>
      </c>
      <c r="G284" s="14">
        <f t="shared" si="9"/>
        <v>7.2522159548750889E-3</v>
      </c>
    </row>
    <row r="285" spans="1:7">
      <c r="A285" s="1">
        <v>4</v>
      </c>
      <c r="B285" s="1" t="s">
        <v>17</v>
      </c>
      <c r="C285" s="11">
        <v>29.36</v>
      </c>
      <c r="D285" s="11">
        <v>29.18</v>
      </c>
      <c r="E285" s="2">
        <f t="shared" si="8"/>
        <v>0.17999999999999972</v>
      </c>
      <c r="F285" s="11">
        <v>0</v>
      </c>
      <c r="G285" s="14">
        <f t="shared" si="9"/>
        <v>6.1307901907356856E-3</v>
      </c>
    </row>
    <row r="286" spans="1:7">
      <c r="A286" s="1">
        <v>5</v>
      </c>
      <c r="B286" s="1" t="s">
        <v>17</v>
      </c>
      <c r="C286" s="11">
        <v>27.44</v>
      </c>
      <c r="D286" s="11">
        <v>27.32</v>
      </c>
      <c r="E286" s="2">
        <f t="shared" si="8"/>
        <v>0.12000000000000099</v>
      </c>
      <c r="F286" s="11">
        <v>0</v>
      </c>
      <c r="G286" s="14">
        <f t="shared" si="9"/>
        <v>4.3731778425656334E-3</v>
      </c>
    </row>
    <row r="287" spans="1:7">
      <c r="A287" s="1">
        <v>6</v>
      </c>
      <c r="B287" s="1" t="s">
        <v>17</v>
      </c>
      <c r="C287" s="11">
        <v>23.654</v>
      </c>
      <c r="D287" s="11">
        <v>23.52</v>
      </c>
      <c r="E287" s="2">
        <f t="shared" si="8"/>
        <v>0.13400000000000034</v>
      </c>
      <c r="F287" s="11">
        <v>0</v>
      </c>
      <c r="G287" s="14">
        <f t="shared" si="9"/>
        <v>5.665003804853316E-3</v>
      </c>
    </row>
    <row r="288" spans="1:7">
      <c r="A288" s="1">
        <v>7</v>
      </c>
      <c r="B288" s="1" t="s">
        <v>17</v>
      </c>
      <c r="C288" s="11">
        <v>57.616</v>
      </c>
      <c r="D288" s="11">
        <v>57.33</v>
      </c>
      <c r="E288" s="2">
        <f t="shared" si="8"/>
        <v>0.28600000000000136</v>
      </c>
      <c r="F288" s="11">
        <v>0</v>
      </c>
      <c r="G288" s="14">
        <f t="shared" si="9"/>
        <v>4.9638989169675327E-3</v>
      </c>
    </row>
    <row r="289" spans="1:7">
      <c r="A289" s="1">
        <v>10</v>
      </c>
      <c r="B289" s="1" t="s">
        <v>17</v>
      </c>
      <c r="C289" s="11">
        <v>0</v>
      </c>
      <c r="D289" s="11">
        <v>0</v>
      </c>
      <c r="E289" s="2">
        <f t="shared" si="8"/>
        <v>0</v>
      </c>
      <c r="F289" s="11">
        <v>0</v>
      </c>
      <c r="G289" s="14" t="e">
        <f t="shared" si="9"/>
        <v>#DIV/0!</v>
      </c>
    </row>
    <row r="290" spans="1:7">
      <c r="A290" s="1">
        <v>8</v>
      </c>
      <c r="B290" s="1" t="s">
        <v>17</v>
      </c>
      <c r="C290" s="11">
        <v>26.47</v>
      </c>
      <c r="D290" s="11">
        <v>26.34</v>
      </c>
      <c r="E290" s="2">
        <f t="shared" si="8"/>
        <v>0.12999999999999901</v>
      </c>
      <c r="F290" s="11">
        <v>0</v>
      </c>
      <c r="G290" s="14">
        <f t="shared" si="9"/>
        <v>4.9112202493388369E-3</v>
      </c>
    </row>
    <row r="291" spans="1:7">
      <c r="A291" s="1">
        <v>9</v>
      </c>
      <c r="B291" s="1" t="s">
        <v>17</v>
      </c>
      <c r="C291" s="11">
        <v>24.47</v>
      </c>
      <c r="D291" s="11">
        <v>24.37</v>
      </c>
      <c r="E291" s="2">
        <f t="shared" si="8"/>
        <v>9.9999999999997868E-2</v>
      </c>
      <c r="F291" s="11">
        <v>0</v>
      </c>
      <c r="G291" s="14">
        <f t="shared" si="9"/>
        <v>4.0866366979974613E-3</v>
      </c>
    </row>
    <row r="292" spans="1:7">
      <c r="A292" s="1">
        <v>11</v>
      </c>
      <c r="B292" s="1" t="s">
        <v>17</v>
      </c>
      <c r="C292" s="11">
        <v>17.46</v>
      </c>
      <c r="D292" s="11">
        <v>17.329999999999998</v>
      </c>
      <c r="E292" s="2">
        <f t="shared" si="8"/>
        <v>0.13000000000000256</v>
      </c>
      <c r="F292" s="11">
        <v>0</v>
      </c>
      <c r="G292" s="14">
        <f t="shared" si="9"/>
        <v>7.4455899198168701E-3</v>
      </c>
    </row>
    <row r="293" spans="1:7">
      <c r="A293" s="1">
        <v>12</v>
      </c>
      <c r="B293" s="1" t="s">
        <v>17</v>
      </c>
      <c r="C293" s="11">
        <v>22.27</v>
      </c>
      <c r="D293" s="11">
        <v>22.15</v>
      </c>
      <c r="E293" s="2">
        <f t="shared" si="8"/>
        <v>0.12000000000000099</v>
      </c>
      <c r="F293" s="11">
        <v>0</v>
      </c>
      <c r="G293" s="14">
        <f t="shared" si="9"/>
        <v>5.3884149079479566E-3</v>
      </c>
    </row>
    <row r="294" spans="1:7">
      <c r="A294" s="1">
        <v>13</v>
      </c>
      <c r="B294" s="1" t="s">
        <v>17</v>
      </c>
      <c r="C294" s="11">
        <v>23.35</v>
      </c>
      <c r="D294" s="11">
        <v>23.22</v>
      </c>
      <c r="E294" s="2">
        <f t="shared" si="8"/>
        <v>0.13000000000000256</v>
      </c>
      <c r="F294" s="11">
        <v>0</v>
      </c>
      <c r="G294" s="14">
        <f t="shared" si="9"/>
        <v>5.5674518201285885E-3</v>
      </c>
    </row>
    <row r="295" spans="1:7">
      <c r="A295" s="1">
        <v>14</v>
      </c>
      <c r="B295" s="1" t="s">
        <v>17</v>
      </c>
      <c r="C295" s="11">
        <v>21.76</v>
      </c>
      <c r="D295" s="11">
        <v>21.64</v>
      </c>
      <c r="E295" s="2">
        <f t="shared" si="8"/>
        <v>0.12000000000000099</v>
      </c>
      <c r="F295" s="11">
        <v>0</v>
      </c>
      <c r="G295" s="14">
        <f t="shared" si="9"/>
        <v>5.5147058823529866E-3</v>
      </c>
    </row>
    <row r="296" spans="1:7">
      <c r="A296" s="1">
        <v>15</v>
      </c>
      <c r="B296" s="1" t="s">
        <v>17</v>
      </c>
      <c r="C296" s="11">
        <v>0</v>
      </c>
      <c r="D296" s="11">
        <v>0</v>
      </c>
      <c r="E296" s="2">
        <f t="shared" si="8"/>
        <v>0</v>
      </c>
      <c r="F296" s="11">
        <v>0</v>
      </c>
      <c r="G296" s="14" t="e">
        <f t="shared" si="9"/>
        <v>#DIV/0!</v>
      </c>
    </row>
    <row r="297" spans="1:7">
      <c r="A297" s="1">
        <v>16</v>
      </c>
      <c r="B297" s="1" t="s">
        <v>17</v>
      </c>
      <c r="C297" s="11">
        <v>0</v>
      </c>
      <c r="D297" s="11">
        <v>0</v>
      </c>
      <c r="E297" s="2">
        <f t="shared" si="8"/>
        <v>0</v>
      </c>
      <c r="F297" s="11">
        <v>0</v>
      </c>
      <c r="G297" s="14" t="e">
        <f t="shared" si="9"/>
        <v>#DIV/0!</v>
      </c>
    </row>
    <row r="298" spans="1:7">
      <c r="A298" s="1">
        <v>17</v>
      </c>
      <c r="B298" s="1" t="s">
        <v>17</v>
      </c>
      <c r="C298" s="11">
        <v>88.75</v>
      </c>
      <c r="D298" s="11">
        <v>88.2</v>
      </c>
      <c r="E298" s="2">
        <f t="shared" si="8"/>
        <v>0.54999999999999716</v>
      </c>
      <c r="F298" s="11">
        <v>0</v>
      </c>
      <c r="G298" s="14">
        <f t="shared" si="9"/>
        <v>6.1971830985915171E-3</v>
      </c>
    </row>
    <row r="299" spans="1:7">
      <c r="A299" s="1">
        <v>18</v>
      </c>
      <c r="B299" s="1" t="s">
        <v>17</v>
      </c>
      <c r="C299" s="11">
        <v>88.75</v>
      </c>
      <c r="D299" s="11">
        <v>88.2</v>
      </c>
      <c r="E299" s="2">
        <f t="shared" si="8"/>
        <v>0.54999999999999716</v>
      </c>
      <c r="F299" s="11">
        <v>0</v>
      </c>
      <c r="G299" s="14">
        <f t="shared" si="9"/>
        <v>6.1971830985915171E-3</v>
      </c>
    </row>
    <row r="300" spans="1:7">
      <c r="A300" s="1">
        <v>19</v>
      </c>
      <c r="B300" s="1" t="s">
        <v>17</v>
      </c>
      <c r="C300" s="11">
        <v>23.92</v>
      </c>
      <c r="D300" s="11">
        <v>23.79</v>
      </c>
      <c r="E300" s="2">
        <f t="shared" si="8"/>
        <v>0.13000000000000256</v>
      </c>
      <c r="F300" s="11">
        <v>0</v>
      </c>
      <c r="G300" s="14">
        <f t="shared" si="9"/>
        <v>5.4347826086957587E-3</v>
      </c>
    </row>
    <row r="301" spans="1:7">
      <c r="A301" s="1">
        <v>20</v>
      </c>
      <c r="B301" s="1" t="s">
        <v>17</v>
      </c>
      <c r="C301" s="11">
        <v>18.66</v>
      </c>
      <c r="D301" s="11">
        <v>18.54</v>
      </c>
      <c r="E301" s="2">
        <f t="shared" si="8"/>
        <v>0.12000000000000099</v>
      </c>
      <c r="F301" s="11">
        <v>0</v>
      </c>
      <c r="G301" s="14">
        <f t="shared" si="9"/>
        <v>6.4308681672026252E-3</v>
      </c>
    </row>
    <row r="302" spans="1:7">
      <c r="A302" s="1">
        <v>21</v>
      </c>
      <c r="B302" s="1" t="s">
        <v>17</v>
      </c>
      <c r="C302" s="11">
        <v>0</v>
      </c>
      <c r="D302" s="11">
        <v>0</v>
      </c>
      <c r="E302" s="2">
        <f t="shared" si="8"/>
        <v>0</v>
      </c>
      <c r="F302" s="11">
        <v>0</v>
      </c>
      <c r="G302" s="14" t="e">
        <f t="shared" si="9"/>
        <v>#DIV/0!</v>
      </c>
    </row>
    <row r="303" spans="1:7">
      <c r="A303" s="1">
        <v>22</v>
      </c>
      <c r="B303" s="1" t="s">
        <v>17</v>
      </c>
      <c r="C303" s="11">
        <v>22.05</v>
      </c>
      <c r="D303" s="11">
        <v>21.87</v>
      </c>
      <c r="E303" s="2">
        <f t="shared" si="8"/>
        <v>0.17999999999999972</v>
      </c>
      <c r="F303" s="11">
        <v>0</v>
      </c>
      <c r="G303" s="14">
        <f t="shared" si="9"/>
        <v>8.1632653061224358E-3</v>
      </c>
    </row>
    <row r="304" spans="1:7">
      <c r="A304" s="1">
        <v>23</v>
      </c>
      <c r="B304" s="1" t="s">
        <v>17</v>
      </c>
      <c r="C304" s="11">
        <v>21.698</v>
      </c>
      <c r="D304" s="11">
        <v>21.47</v>
      </c>
      <c r="E304" s="2">
        <f t="shared" si="8"/>
        <v>0.22800000000000153</v>
      </c>
      <c r="F304" s="11">
        <v>0</v>
      </c>
      <c r="G304" s="3">
        <f t="shared" si="9"/>
        <v>1.0507880910683083E-2</v>
      </c>
    </row>
    <row r="305" spans="1:7">
      <c r="A305" s="1">
        <v>24</v>
      </c>
      <c r="B305" s="1" t="s">
        <v>17</v>
      </c>
      <c r="C305" s="11">
        <v>22.65</v>
      </c>
      <c r="D305" s="11">
        <v>22.49</v>
      </c>
      <c r="E305" s="2">
        <f t="shared" si="8"/>
        <v>0.16000000000000014</v>
      </c>
      <c r="F305" s="11">
        <v>0</v>
      </c>
      <c r="G305" s="3">
        <f t="shared" si="9"/>
        <v>7.064017660044157E-3</v>
      </c>
    </row>
    <row r="306" spans="1:7">
      <c r="A306" s="1">
        <v>25</v>
      </c>
      <c r="B306" s="1" t="s">
        <v>17</v>
      </c>
      <c r="C306" s="11">
        <v>0</v>
      </c>
      <c r="D306" s="11">
        <v>0</v>
      </c>
      <c r="E306" s="2">
        <f t="shared" si="8"/>
        <v>0</v>
      </c>
      <c r="F306" s="11">
        <v>0</v>
      </c>
      <c r="G306" s="3" t="e">
        <f t="shared" si="9"/>
        <v>#DIV/0!</v>
      </c>
    </row>
    <row r="307" spans="1:7">
      <c r="A307" s="1">
        <v>26</v>
      </c>
      <c r="B307" s="1" t="s">
        <v>17</v>
      </c>
      <c r="C307" s="11">
        <v>38</v>
      </c>
      <c r="D307" s="11">
        <v>37.65</v>
      </c>
      <c r="E307" s="2">
        <f t="shared" si="8"/>
        <v>0.35000000000000142</v>
      </c>
      <c r="F307" s="11">
        <v>0</v>
      </c>
      <c r="G307" s="14">
        <f t="shared" si="9"/>
        <v>9.210526315789511E-3</v>
      </c>
    </row>
    <row r="308" spans="1:7">
      <c r="A308" s="1">
        <v>27</v>
      </c>
      <c r="B308" s="1" t="s">
        <v>17</v>
      </c>
      <c r="C308" s="11">
        <v>0</v>
      </c>
      <c r="D308" s="11">
        <v>0</v>
      </c>
      <c r="E308" s="2">
        <f t="shared" si="8"/>
        <v>0</v>
      </c>
      <c r="F308" s="11">
        <v>0</v>
      </c>
      <c r="G308" s="14" t="e">
        <f t="shared" si="9"/>
        <v>#DIV/0!</v>
      </c>
    </row>
    <row r="309" spans="1:7">
      <c r="A309" s="1">
        <v>28</v>
      </c>
      <c r="B309" s="1" t="s">
        <v>17</v>
      </c>
      <c r="C309" s="11">
        <v>43.56</v>
      </c>
      <c r="D309" s="11">
        <v>43.3</v>
      </c>
      <c r="E309" s="2">
        <f t="shared" si="8"/>
        <v>0.26000000000000512</v>
      </c>
      <c r="F309" s="11">
        <v>0</v>
      </c>
      <c r="G309" s="14">
        <f t="shared" si="9"/>
        <v>5.9687786960515403E-3</v>
      </c>
    </row>
    <row r="310" spans="1:7">
      <c r="A310" s="1">
        <v>29</v>
      </c>
      <c r="B310" s="1" t="s">
        <v>17</v>
      </c>
      <c r="C310" s="11">
        <v>22.33</v>
      </c>
      <c r="D310" s="11">
        <v>22.21</v>
      </c>
      <c r="E310" s="2">
        <f t="shared" si="8"/>
        <v>0.11999999999999744</v>
      </c>
      <c r="F310" s="11">
        <v>0</v>
      </c>
      <c r="G310" s="14">
        <f t="shared" si="9"/>
        <v>5.3739364084190531E-3</v>
      </c>
    </row>
    <row r="311" spans="1:7">
      <c r="A311" s="1">
        <v>30</v>
      </c>
      <c r="B311" s="1" t="s">
        <v>17</v>
      </c>
      <c r="C311" s="11">
        <v>18.54</v>
      </c>
      <c r="D311" s="11">
        <v>18.43</v>
      </c>
      <c r="E311" s="2">
        <f t="shared" si="8"/>
        <v>0.10999999999999943</v>
      </c>
      <c r="F311" s="11">
        <v>0</v>
      </c>
      <c r="G311" s="14">
        <f t="shared" si="9"/>
        <v>5.9331175836029905E-3</v>
      </c>
    </row>
    <row r="312" spans="1:7">
      <c r="A312" s="1">
        <v>31</v>
      </c>
      <c r="B312" s="1" t="s">
        <v>17</v>
      </c>
      <c r="C312" s="11">
        <v>25.091999999999999</v>
      </c>
      <c r="D312" s="11">
        <v>24.9</v>
      </c>
      <c r="E312" s="2">
        <f t="shared" si="8"/>
        <v>0.19200000000000017</v>
      </c>
      <c r="F312" s="11">
        <v>0</v>
      </c>
      <c r="G312" s="14">
        <f t="shared" si="9"/>
        <v>7.6518412242946032E-3</v>
      </c>
    </row>
    <row r="313" spans="1:7">
      <c r="A313" s="1">
        <v>1</v>
      </c>
      <c r="B313" s="1" t="s">
        <v>18</v>
      </c>
      <c r="C313" s="11">
        <v>25.93</v>
      </c>
      <c r="D313" s="11">
        <v>25.73</v>
      </c>
      <c r="E313" s="2">
        <f t="shared" si="8"/>
        <v>0.19999999999999929</v>
      </c>
      <c r="F313" s="11">
        <v>0</v>
      </c>
      <c r="G313" s="14">
        <f t="shared" ref="G313:G356" si="10">(E313+F313)/C313</f>
        <v>7.7130736598534245E-3</v>
      </c>
    </row>
    <row r="314" spans="1:7">
      <c r="A314" s="1">
        <v>2</v>
      </c>
      <c r="B314" s="1" t="s">
        <v>18</v>
      </c>
      <c r="C314" s="11">
        <v>0</v>
      </c>
      <c r="D314" s="11">
        <v>0</v>
      </c>
      <c r="E314" s="2">
        <f t="shared" si="8"/>
        <v>0</v>
      </c>
      <c r="F314" s="11">
        <v>0</v>
      </c>
      <c r="G314" s="14" t="e">
        <f t="shared" si="10"/>
        <v>#DIV/0!</v>
      </c>
    </row>
    <row r="315" spans="1:7">
      <c r="A315" s="1">
        <v>3</v>
      </c>
      <c r="B315" s="1" t="s">
        <v>18</v>
      </c>
      <c r="C315" s="11">
        <v>0</v>
      </c>
      <c r="D315" s="11">
        <v>0</v>
      </c>
      <c r="E315" s="2">
        <f t="shared" si="8"/>
        <v>0</v>
      </c>
      <c r="F315" s="11">
        <v>0</v>
      </c>
      <c r="G315" s="14" t="e">
        <f t="shared" si="10"/>
        <v>#DIV/0!</v>
      </c>
    </row>
    <row r="316" spans="1:7">
      <c r="A316" s="1">
        <v>4</v>
      </c>
      <c r="B316" s="1" t="s">
        <v>18</v>
      </c>
      <c r="C316" s="11">
        <v>23.77</v>
      </c>
      <c r="D316" s="11">
        <v>23.4</v>
      </c>
      <c r="E316" s="2">
        <f t="shared" si="8"/>
        <v>0.37000000000000099</v>
      </c>
      <c r="F316" s="11">
        <v>0</v>
      </c>
      <c r="G316" s="14">
        <f t="shared" si="10"/>
        <v>1.5565839293226798E-2</v>
      </c>
    </row>
    <row r="317" spans="1:7">
      <c r="A317" s="1">
        <v>5</v>
      </c>
      <c r="B317" s="1" t="s">
        <v>18</v>
      </c>
      <c r="C317" s="11">
        <v>26.85</v>
      </c>
      <c r="D317" s="11">
        <v>26.32</v>
      </c>
      <c r="E317" s="2">
        <f t="shared" si="8"/>
        <v>0.53000000000000114</v>
      </c>
      <c r="F317" s="11">
        <v>0</v>
      </c>
      <c r="G317" s="14">
        <f t="shared" si="10"/>
        <v>1.9739292364990731E-2</v>
      </c>
    </row>
    <row r="318" spans="1:7">
      <c r="A318" s="1">
        <v>6</v>
      </c>
      <c r="B318" s="1" t="s">
        <v>18</v>
      </c>
      <c r="C318" s="11">
        <v>26.38</v>
      </c>
      <c r="D318" s="11">
        <v>26.26</v>
      </c>
      <c r="E318" s="2">
        <f t="shared" si="8"/>
        <v>0.11999999999999744</v>
      </c>
      <c r="F318" s="11">
        <v>0</v>
      </c>
      <c r="G318" s="14">
        <f t="shared" si="10"/>
        <v>4.5489006823350052E-3</v>
      </c>
    </row>
    <row r="319" spans="1:7">
      <c r="A319" s="1">
        <v>7</v>
      </c>
      <c r="B319" s="1" t="s">
        <v>18</v>
      </c>
      <c r="C319" s="11">
        <v>0</v>
      </c>
      <c r="D319" s="11">
        <v>0</v>
      </c>
      <c r="E319" s="2">
        <f t="shared" si="8"/>
        <v>0</v>
      </c>
      <c r="F319" s="11">
        <v>0</v>
      </c>
      <c r="G319" s="14" t="e">
        <f t="shared" si="10"/>
        <v>#DIV/0!</v>
      </c>
    </row>
    <row r="320" spans="1:7">
      <c r="A320" s="1">
        <v>10</v>
      </c>
      <c r="B320" s="1" t="s">
        <v>18</v>
      </c>
      <c r="C320" s="11">
        <v>22.03</v>
      </c>
      <c r="D320" s="11">
        <v>21.95</v>
      </c>
      <c r="E320" s="2">
        <f t="shared" si="8"/>
        <v>8.0000000000001847E-2</v>
      </c>
      <c r="F320" s="11">
        <v>0</v>
      </c>
      <c r="G320" s="14">
        <f t="shared" si="10"/>
        <v>3.6314117113028527E-3</v>
      </c>
    </row>
    <row r="321" spans="1:7">
      <c r="A321" s="1">
        <v>8</v>
      </c>
      <c r="B321" s="1" t="s">
        <v>18</v>
      </c>
      <c r="C321" s="11">
        <v>20.57</v>
      </c>
      <c r="D321" s="11">
        <v>20.39</v>
      </c>
      <c r="E321" s="2">
        <f t="shared" si="8"/>
        <v>0.17999999999999972</v>
      </c>
      <c r="F321" s="11">
        <v>0</v>
      </c>
      <c r="G321" s="14">
        <f t="shared" si="10"/>
        <v>8.7506076810889514E-3</v>
      </c>
    </row>
    <row r="322" spans="1:7">
      <c r="A322" s="1">
        <v>9</v>
      </c>
      <c r="B322" s="1" t="s">
        <v>18</v>
      </c>
      <c r="C322" s="11">
        <v>0</v>
      </c>
      <c r="D322" s="11">
        <v>0</v>
      </c>
      <c r="E322" s="2">
        <f t="shared" si="8"/>
        <v>0</v>
      </c>
      <c r="F322" s="11">
        <v>0</v>
      </c>
      <c r="G322" s="14" t="e">
        <f t="shared" si="10"/>
        <v>#DIV/0!</v>
      </c>
    </row>
    <row r="323" spans="1:7">
      <c r="A323" s="1">
        <v>11</v>
      </c>
      <c r="B323" s="1" t="s">
        <v>18</v>
      </c>
      <c r="C323" s="11">
        <v>0</v>
      </c>
      <c r="D323" s="11">
        <v>0</v>
      </c>
      <c r="E323" s="2">
        <f t="shared" si="8"/>
        <v>0</v>
      </c>
      <c r="F323" s="11">
        <v>0</v>
      </c>
      <c r="G323" s="14" t="e">
        <f t="shared" si="10"/>
        <v>#DIV/0!</v>
      </c>
    </row>
    <row r="324" spans="1:7">
      <c r="A324" s="1">
        <v>12</v>
      </c>
      <c r="B324" s="1" t="s">
        <v>18</v>
      </c>
      <c r="C324" s="11">
        <v>25.33</v>
      </c>
      <c r="D324" s="11">
        <v>25.2</v>
      </c>
      <c r="E324" s="2">
        <f t="shared" ref="E324:E387" si="11">C324-D324</f>
        <v>0.12999999999999901</v>
      </c>
      <c r="F324" s="11">
        <v>0</v>
      </c>
      <c r="G324" s="14">
        <f t="shared" si="10"/>
        <v>5.1322542439794323E-3</v>
      </c>
    </row>
    <row r="325" spans="1:7">
      <c r="A325" s="1">
        <v>13</v>
      </c>
      <c r="B325" s="1" t="s">
        <v>18</v>
      </c>
      <c r="C325" s="11">
        <v>25.44</v>
      </c>
      <c r="D325" s="11">
        <v>25.38</v>
      </c>
      <c r="E325" s="2">
        <f t="shared" si="11"/>
        <v>6.0000000000002274E-2</v>
      </c>
      <c r="F325" s="11">
        <v>0</v>
      </c>
      <c r="G325" s="14">
        <f t="shared" si="10"/>
        <v>2.3584905660378251E-3</v>
      </c>
    </row>
    <row r="326" spans="1:7">
      <c r="A326" s="1">
        <v>14</v>
      </c>
      <c r="B326" s="1" t="s">
        <v>18</v>
      </c>
      <c r="C326" s="11">
        <v>0</v>
      </c>
      <c r="D326" s="11">
        <v>0</v>
      </c>
      <c r="E326" s="2">
        <f t="shared" si="11"/>
        <v>0</v>
      </c>
      <c r="F326" s="11">
        <v>0</v>
      </c>
      <c r="G326" s="14" t="e">
        <f t="shared" si="10"/>
        <v>#DIV/0!</v>
      </c>
    </row>
    <row r="327" spans="1:7">
      <c r="A327" s="1">
        <v>15</v>
      </c>
      <c r="B327" s="1" t="s">
        <v>18</v>
      </c>
      <c r="C327" s="11">
        <v>25.24</v>
      </c>
      <c r="D327" s="11">
        <v>25.15</v>
      </c>
      <c r="E327" s="2">
        <f t="shared" si="11"/>
        <v>8.9999999999999858E-2</v>
      </c>
      <c r="F327" s="11">
        <v>0</v>
      </c>
      <c r="G327" s="14">
        <f t="shared" si="10"/>
        <v>3.5657686212361276E-3</v>
      </c>
    </row>
    <row r="328" spans="1:7">
      <c r="A328" s="1">
        <v>16</v>
      </c>
      <c r="B328" s="1" t="s">
        <v>18</v>
      </c>
      <c r="C328" s="11">
        <v>38.92</v>
      </c>
      <c r="D328" s="11">
        <v>38.85</v>
      </c>
      <c r="E328" s="2">
        <f t="shared" si="11"/>
        <v>7.0000000000000284E-2</v>
      </c>
      <c r="F328" s="11">
        <v>0</v>
      </c>
      <c r="G328" s="14">
        <f t="shared" si="10"/>
        <v>1.7985611510791439E-3</v>
      </c>
    </row>
    <row r="329" spans="1:7">
      <c r="A329" s="1">
        <v>17</v>
      </c>
      <c r="B329" s="1" t="s">
        <v>18</v>
      </c>
      <c r="C329" s="11">
        <v>26.95</v>
      </c>
      <c r="D329" s="11">
        <v>26.68</v>
      </c>
      <c r="E329" s="2">
        <f t="shared" si="11"/>
        <v>0.26999999999999957</v>
      </c>
      <c r="F329" s="11">
        <v>0</v>
      </c>
      <c r="G329" s="14">
        <f t="shared" si="10"/>
        <v>1.0018552875695717E-2</v>
      </c>
    </row>
    <row r="330" spans="1:7">
      <c r="A330" s="1">
        <v>18</v>
      </c>
      <c r="B330" s="1" t="s">
        <v>18</v>
      </c>
      <c r="C330" s="11">
        <v>0</v>
      </c>
      <c r="D330" s="11">
        <v>0</v>
      </c>
      <c r="E330" s="2">
        <f t="shared" si="11"/>
        <v>0</v>
      </c>
      <c r="F330" s="11">
        <v>0</v>
      </c>
      <c r="G330" s="14" t="e">
        <f t="shared" si="10"/>
        <v>#DIV/0!</v>
      </c>
    </row>
    <row r="331" spans="1:7">
      <c r="A331" s="1">
        <v>19</v>
      </c>
      <c r="B331" s="1" t="s">
        <v>18</v>
      </c>
      <c r="C331" s="11">
        <v>22.158000000000001</v>
      </c>
      <c r="D331" s="11">
        <v>21.9</v>
      </c>
      <c r="E331" s="2">
        <f t="shared" si="11"/>
        <v>0.25800000000000267</v>
      </c>
      <c r="F331" s="11">
        <v>0</v>
      </c>
      <c r="G331" s="14">
        <f t="shared" si="10"/>
        <v>1.164365014893053E-2</v>
      </c>
    </row>
    <row r="332" spans="1:7">
      <c r="A332" s="1">
        <v>20</v>
      </c>
      <c r="B332" s="1" t="s">
        <v>18</v>
      </c>
      <c r="C332" s="11">
        <v>0</v>
      </c>
      <c r="D332" s="11">
        <v>0</v>
      </c>
      <c r="E332" s="2">
        <f t="shared" si="11"/>
        <v>0</v>
      </c>
      <c r="F332" s="11">
        <v>0</v>
      </c>
      <c r="G332" s="14" t="e">
        <f t="shared" si="10"/>
        <v>#DIV/0!</v>
      </c>
    </row>
    <row r="333" spans="1:7">
      <c r="A333" s="1">
        <v>21</v>
      </c>
      <c r="B333" s="1" t="s">
        <v>18</v>
      </c>
      <c r="C333" s="11">
        <v>46.46</v>
      </c>
      <c r="D333" s="11">
        <v>46.13</v>
      </c>
      <c r="E333" s="2">
        <f t="shared" si="11"/>
        <v>0.32999999999999829</v>
      </c>
      <c r="F333" s="11">
        <v>0</v>
      </c>
      <c r="G333" s="14">
        <f t="shared" si="10"/>
        <v>7.1028842014635874E-3</v>
      </c>
    </row>
    <row r="334" spans="1:7">
      <c r="A334" s="1">
        <v>22</v>
      </c>
      <c r="B334" s="1" t="s">
        <v>18</v>
      </c>
      <c r="C334" s="11">
        <v>0</v>
      </c>
      <c r="D334" s="11">
        <v>0</v>
      </c>
      <c r="E334" s="2">
        <f t="shared" si="11"/>
        <v>0</v>
      </c>
      <c r="F334" s="11">
        <v>0</v>
      </c>
      <c r="G334" s="14" t="e">
        <f t="shared" si="10"/>
        <v>#DIV/0!</v>
      </c>
    </row>
    <row r="335" spans="1:7">
      <c r="A335" s="1">
        <v>23</v>
      </c>
      <c r="B335" s="1" t="s">
        <v>18</v>
      </c>
      <c r="C335" s="11">
        <v>25.55</v>
      </c>
      <c r="D335" s="11">
        <v>25.49</v>
      </c>
      <c r="E335" s="2">
        <f t="shared" si="11"/>
        <v>6.0000000000002274E-2</v>
      </c>
      <c r="F335" s="11">
        <v>0</v>
      </c>
      <c r="G335" s="3">
        <f t="shared" si="10"/>
        <v>2.3483365949120262E-3</v>
      </c>
    </row>
    <row r="336" spans="1:7">
      <c r="A336" s="1">
        <v>24</v>
      </c>
      <c r="B336" s="1" t="s">
        <v>18</v>
      </c>
      <c r="C336" s="11">
        <v>22.28</v>
      </c>
      <c r="D336" s="11">
        <v>22.14</v>
      </c>
      <c r="E336" s="2">
        <f t="shared" si="11"/>
        <v>0.14000000000000057</v>
      </c>
      <c r="F336" s="11">
        <v>0</v>
      </c>
      <c r="G336" s="3">
        <f t="shared" si="10"/>
        <v>6.2836624775583737E-3</v>
      </c>
    </row>
    <row r="337" spans="1:7">
      <c r="A337" s="1">
        <v>25</v>
      </c>
      <c r="B337" s="1" t="s">
        <v>18</v>
      </c>
      <c r="C337" s="11">
        <v>24.74</v>
      </c>
      <c r="D337" s="11">
        <v>24.47</v>
      </c>
      <c r="E337" s="2">
        <f t="shared" si="11"/>
        <v>0.26999999999999957</v>
      </c>
      <c r="F337" s="11">
        <v>0</v>
      </c>
      <c r="G337" s="3">
        <f t="shared" si="10"/>
        <v>1.0913500404203701E-2</v>
      </c>
    </row>
    <row r="338" spans="1:7">
      <c r="A338" s="1">
        <v>26</v>
      </c>
      <c r="B338" s="1" t="s">
        <v>18</v>
      </c>
      <c r="C338" s="11">
        <v>22.17</v>
      </c>
      <c r="D338" s="11">
        <v>22.01</v>
      </c>
      <c r="E338" s="2">
        <f t="shared" si="11"/>
        <v>0.16000000000000014</v>
      </c>
      <c r="F338" s="11">
        <v>0</v>
      </c>
      <c r="G338" s="14">
        <f t="shared" si="10"/>
        <v>7.2169598556608089E-3</v>
      </c>
    </row>
    <row r="339" spans="1:7">
      <c r="A339" s="1">
        <v>27</v>
      </c>
      <c r="B339" s="1" t="s">
        <v>18</v>
      </c>
      <c r="C339" s="11">
        <v>25.17</v>
      </c>
      <c r="D339" s="11">
        <v>24.94</v>
      </c>
      <c r="E339" s="2">
        <f t="shared" si="11"/>
        <v>0.23000000000000043</v>
      </c>
      <c r="F339" s="11">
        <v>0</v>
      </c>
      <c r="G339" s="14">
        <f t="shared" si="10"/>
        <v>9.1378625347636241E-3</v>
      </c>
    </row>
    <row r="340" spans="1:7">
      <c r="A340" s="1">
        <v>28</v>
      </c>
      <c r="B340" s="1" t="s">
        <v>18</v>
      </c>
      <c r="C340" s="11">
        <v>24.63</v>
      </c>
      <c r="D340" s="11">
        <v>24.45</v>
      </c>
      <c r="E340" s="2">
        <f t="shared" si="11"/>
        <v>0.17999999999999972</v>
      </c>
      <c r="F340" s="11">
        <v>0</v>
      </c>
      <c r="G340" s="14">
        <f t="shared" si="10"/>
        <v>7.3081607795371381E-3</v>
      </c>
    </row>
    <row r="341" spans="1:7">
      <c r="A341" s="1">
        <v>29</v>
      </c>
      <c r="B341" s="1" t="s">
        <v>18</v>
      </c>
      <c r="C341" s="11">
        <v>28.95</v>
      </c>
      <c r="D341" s="11">
        <v>28.85</v>
      </c>
      <c r="E341" s="2">
        <f t="shared" si="11"/>
        <v>9.9999999999997868E-2</v>
      </c>
      <c r="F341" s="11">
        <v>0</v>
      </c>
      <c r="G341" s="14">
        <f t="shared" si="10"/>
        <v>3.4542314335059715E-3</v>
      </c>
    </row>
    <row r="342" spans="1:7">
      <c r="A342" s="1">
        <v>30</v>
      </c>
      <c r="B342" s="1" t="s">
        <v>18</v>
      </c>
      <c r="C342" s="11">
        <v>26.12</v>
      </c>
      <c r="D342" s="11">
        <v>25.83</v>
      </c>
      <c r="E342" s="2">
        <f t="shared" si="11"/>
        <v>0.2900000000000027</v>
      </c>
      <c r="F342" s="11">
        <v>0</v>
      </c>
      <c r="G342" s="14">
        <f t="shared" si="10"/>
        <v>1.1102603369065952E-2</v>
      </c>
    </row>
    <row r="343" spans="1:7">
      <c r="A343" s="1">
        <v>31</v>
      </c>
      <c r="B343" s="1" t="s">
        <v>18</v>
      </c>
      <c r="C343" s="11">
        <v>21.25</v>
      </c>
      <c r="D343" s="11">
        <v>20.98</v>
      </c>
      <c r="E343" s="2">
        <f t="shared" si="11"/>
        <v>0.26999999999999957</v>
      </c>
      <c r="F343" s="11">
        <v>0</v>
      </c>
      <c r="G343" s="14">
        <f t="shared" si="10"/>
        <v>1.2705882352941157E-2</v>
      </c>
    </row>
    <row r="344" spans="1:7">
      <c r="A344" s="1">
        <v>1</v>
      </c>
      <c r="B344" s="1" t="s">
        <v>19</v>
      </c>
      <c r="C344" s="11">
        <v>24.84</v>
      </c>
      <c r="D344" s="11">
        <v>24.37</v>
      </c>
      <c r="E344" s="2">
        <f t="shared" si="11"/>
        <v>0.46999999999999886</v>
      </c>
      <c r="F344" s="11">
        <v>0.152</v>
      </c>
      <c r="G344" s="14">
        <f t="shared" si="10"/>
        <v>2.5040257648953256E-2</v>
      </c>
    </row>
    <row r="345" spans="1:7">
      <c r="A345" s="1">
        <v>2</v>
      </c>
      <c r="B345" s="1" t="s">
        <v>19</v>
      </c>
      <c r="C345" s="11">
        <v>51</v>
      </c>
      <c r="D345" s="11">
        <v>50.29</v>
      </c>
      <c r="E345" s="2">
        <f t="shared" si="11"/>
        <v>0.71000000000000085</v>
      </c>
      <c r="F345" s="11">
        <v>0.11</v>
      </c>
      <c r="G345" s="14">
        <f t="shared" si="10"/>
        <v>1.6078431372549037E-2</v>
      </c>
    </row>
    <row r="346" spans="1:7">
      <c r="A346" s="1">
        <v>3</v>
      </c>
      <c r="B346" s="1" t="s">
        <v>19</v>
      </c>
      <c r="C346" s="11">
        <v>26.95</v>
      </c>
      <c r="D346" s="11">
        <v>26.6</v>
      </c>
      <c r="E346" s="2">
        <f t="shared" si="11"/>
        <v>0.34999999999999787</v>
      </c>
      <c r="F346" s="11">
        <v>0.115</v>
      </c>
      <c r="G346" s="14">
        <f t="shared" si="10"/>
        <v>1.725417439703146E-2</v>
      </c>
    </row>
    <row r="347" spans="1:7">
      <c r="A347" s="1">
        <v>4</v>
      </c>
      <c r="B347" s="1" t="s">
        <v>19</v>
      </c>
      <c r="C347" s="11">
        <v>24.04</v>
      </c>
      <c r="D347" s="11">
        <v>23.69</v>
      </c>
      <c r="E347" s="2">
        <f t="shared" si="11"/>
        <v>0.34999999999999787</v>
      </c>
      <c r="F347" s="11">
        <v>0.122</v>
      </c>
      <c r="G347" s="14">
        <f t="shared" si="10"/>
        <v>1.9633943427620544E-2</v>
      </c>
    </row>
    <row r="348" spans="1:7">
      <c r="A348" s="1">
        <v>5</v>
      </c>
      <c r="B348" s="1" t="s">
        <v>19</v>
      </c>
      <c r="C348" s="11">
        <v>24.68</v>
      </c>
      <c r="D348" s="11">
        <v>24.07</v>
      </c>
      <c r="E348" s="2">
        <f t="shared" si="11"/>
        <v>0.60999999999999943</v>
      </c>
      <c r="F348" s="11">
        <v>0</v>
      </c>
      <c r="G348" s="14">
        <f t="shared" si="10"/>
        <v>2.4716369529983771E-2</v>
      </c>
    </row>
    <row r="349" spans="1:7">
      <c r="A349" s="1">
        <v>6</v>
      </c>
      <c r="B349" s="1" t="s">
        <v>19</v>
      </c>
      <c r="C349" s="11">
        <v>25.4</v>
      </c>
      <c r="D349" s="11">
        <v>25.05</v>
      </c>
      <c r="E349" s="2">
        <f t="shared" si="11"/>
        <v>0.34999999999999787</v>
      </c>
      <c r="F349" s="11">
        <v>0</v>
      </c>
      <c r="G349" s="14">
        <f t="shared" si="10"/>
        <v>1.3779527559055035E-2</v>
      </c>
    </row>
    <row r="350" spans="1:7">
      <c r="A350" s="1">
        <v>7</v>
      </c>
      <c r="B350" s="1" t="s">
        <v>19</v>
      </c>
      <c r="C350" s="11">
        <v>22.48</v>
      </c>
      <c r="D350" s="11">
        <v>22.23</v>
      </c>
      <c r="E350" s="2">
        <f t="shared" si="11"/>
        <v>0.25</v>
      </c>
      <c r="F350" s="11">
        <v>0</v>
      </c>
      <c r="G350" s="14">
        <f t="shared" si="10"/>
        <v>1.1120996441281139E-2</v>
      </c>
    </row>
    <row r="351" spans="1:7">
      <c r="A351" s="1">
        <v>10</v>
      </c>
      <c r="B351" s="1" t="s">
        <v>19</v>
      </c>
      <c r="C351" s="11">
        <v>21.5</v>
      </c>
      <c r="D351" s="11">
        <v>21.09</v>
      </c>
      <c r="E351" s="2">
        <f t="shared" si="11"/>
        <v>0.41000000000000014</v>
      </c>
      <c r="F351" s="11">
        <v>0.115</v>
      </c>
      <c r="G351" s="14">
        <f t="shared" si="10"/>
        <v>2.4418604651162797E-2</v>
      </c>
    </row>
    <row r="352" spans="1:7">
      <c r="A352" s="1">
        <v>8</v>
      </c>
      <c r="B352" s="1" t="s">
        <v>19</v>
      </c>
      <c r="C352" s="11">
        <v>19.739999999999998</v>
      </c>
      <c r="D352" s="11">
        <v>19.43</v>
      </c>
      <c r="E352" s="2">
        <f t="shared" si="11"/>
        <v>0.30999999999999872</v>
      </c>
      <c r="F352" s="11">
        <v>0.152</v>
      </c>
      <c r="G352" s="14">
        <f t="shared" si="10"/>
        <v>2.3404255319148873E-2</v>
      </c>
    </row>
    <row r="353" spans="1:7">
      <c r="A353" s="1">
        <v>9</v>
      </c>
      <c r="B353" s="1" t="s">
        <v>19</v>
      </c>
      <c r="C353" s="11">
        <v>45.64</v>
      </c>
      <c r="D353" s="11">
        <v>44.57</v>
      </c>
      <c r="E353" s="2">
        <f t="shared" si="11"/>
        <v>1.0700000000000003</v>
      </c>
      <c r="F353" s="11">
        <v>0.123</v>
      </c>
      <c r="G353" s="14">
        <f t="shared" si="10"/>
        <v>2.6139351446099919E-2</v>
      </c>
    </row>
    <row r="354" spans="1:7">
      <c r="A354" s="1">
        <v>11</v>
      </c>
      <c r="B354" s="1" t="s">
        <v>19</v>
      </c>
      <c r="C354" s="11">
        <v>44.26</v>
      </c>
      <c r="D354" s="11">
        <v>43.71</v>
      </c>
      <c r="E354" s="2">
        <f t="shared" si="11"/>
        <v>0.54999999999999716</v>
      </c>
      <c r="F354" s="11">
        <v>0.115</v>
      </c>
      <c r="G354" s="14">
        <f t="shared" si="10"/>
        <v>1.5024853140533149E-2</v>
      </c>
    </row>
    <row r="355" spans="1:7">
      <c r="A355" s="1">
        <v>12</v>
      </c>
      <c r="B355" s="1" t="s">
        <v>19</v>
      </c>
      <c r="C355" s="11">
        <v>25.3</v>
      </c>
      <c r="D355" s="11">
        <v>24.66</v>
      </c>
      <c r="E355" s="2">
        <f t="shared" si="11"/>
        <v>0.64000000000000057</v>
      </c>
      <c r="F355" s="11">
        <v>0.115</v>
      </c>
      <c r="G355" s="14">
        <f t="shared" si="10"/>
        <v>2.9841897233201603E-2</v>
      </c>
    </row>
    <row r="356" spans="1:7">
      <c r="A356" s="1">
        <v>13</v>
      </c>
      <c r="B356" s="1" t="s">
        <v>19</v>
      </c>
      <c r="C356" s="11">
        <v>23.6</v>
      </c>
      <c r="D356" s="11">
        <v>23.24</v>
      </c>
      <c r="E356" s="2">
        <f t="shared" si="11"/>
        <v>0.36000000000000298</v>
      </c>
      <c r="F356" s="11">
        <v>0.121</v>
      </c>
      <c r="G356" s="14">
        <f t="shared" si="10"/>
        <v>2.0381355932203516E-2</v>
      </c>
    </row>
    <row r="357" spans="1:7">
      <c r="A357" s="1">
        <v>14</v>
      </c>
      <c r="B357" s="1" t="s">
        <v>19</v>
      </c>
      <c r="C357" s="11">
        <v>39.979999999999997</v>
      </c>
      <c r="D357" s="11">
        <v>39.18</v>
      </c>
      <c r="E357" s="2">
        <f t="shared" si="11"/>
        <v>0.79999999999999716</v>
      </c>
      <c r="F357" s="11">
        <v>0.115</v>
      </c>
      <c r="G357" s="14">
        <f t="shared" ref="G357:G420" si="12">(E357+F357)/C357</f>
        <v>2.2886443221610736E-2</v>
      </c>
    </row>
    <row r="358" spans="1:7">
      <c r="A358" s="1">
        <v>15</v>
      </c>
      <c r="B358" s="1" t="s">
        <v>19</v>
      </c>
      <c r="C358" s="11">
        <v>28.48</v>
      </c>
      <c r="D358" s="11">
        <v>28.02</v>
      </c>
      <c r="E358" s="2">
        <f t="shared" si="11"/>
        <v>0.46000000000000085</v>
      </c>
      <c r="F358" s="11">
        <v>0.21199999999999999</v>
      </c>
      <c r="G358" s="14">
        <f t="shared" si="12"/>
        <v>2.3595505617977557E-2</v>
      </c>
    </row>
    <row r="359" spans="1:7">
      <c r="A359" s="1">
        <v>16</v>
      </c>
      <c r="B359" s="1" t="s">
        <v>19</v>
      </c>
      <c r="C359" s="11">
        <v>23.9</v>
      </c>
      <c r="D359" s="11">
        <v>23.6</v>
      </c>
      <c r="E359" s="2">
        <f t="shared" si="11"/>
        <v>0.29999999999999716</v>
      </c>
      <c r="F359" s="11">
        <v>0.115</v>
      </c>
      <c r="G359" s="14">
        <f t="shared" si="12"/>
        <v>1.7364016736401554E-2</v>
      </c>
    </row>
    <row r="360" spans="1:7">
      <c r="A360" s="1">
        <v>17</v>
      </c>
      <c r="B360" s="1" t="s">
        <v>19</v>
      </c>
      <c r="C360" s="11">
        <v>34.4</v>
      </c>
      <c r="D360" s="11">
        <v>34.020000000000003</v>
      </c>
      <c r="E360" s="2">
        <f t="shared" si="11"/>
        <v>0.37999999999999545</v>
      </c>
      <c r="F360" s="11">
        <v>0.188</v>
      </c>
      <c r="G360" s="14">
        <f t="shared" si="12"/>
        <v>1.6511627906976609E-2</v>
      </c>
    </row>
    <row r="361" spans="1:7">
      <c r="A361" s="1">
        <v>18</v>
      </c>
      <c r="B361" s="1" t="s">
        <v>19</v>
      </c>
      <c r="C361" s="11">
        <v>85.06</v>
      </c>
      <c r="D361" s="11">
        <v>83.81</v>
      </c>
      <c r="E361" s="2">
        <f t="shared" si="11"/>
        <v>1.25</v>
      </c>
      <c r="F361" s="11">
        <v>0.215</v>
      </c>
      <c r="G361" s="14">
        <f t="shared" si="12"/>
        <v>1.7223136609452152E-2</v>
      </c>
    </row>
    <row r="362" spans="1:7">
      <c r="A362" s="1">
        <v>19</v>
      </c>
      <c r="B362" s="1" t="s">
        <v>19</v>
      </c>
      <c r="C362" s="11">
        <v>22.6</v>
      </c>
      <c r="D362" s="11">
        <v>22.16</v>
      </c>
      <c r="E362" s="2">
        <f t="shared" si="11"/>
        <v>0.44000000000000128</v>
      </c>
      <c r="F362" s="11">
        <v>0.20200000000000001</v>
      </c>
      <c r="G362" s="14">
        <f t="shared" si="12"/>
        <v>2.8407079646017751E-2</v>
      </c>
    </row>
    <row r="363" spans="1:7">
      <c r="A363" s="1">
        <v>20</v>
      </c>
      <c r="B363" s="1" t="s">
        <v>19</v>
      </c>
      <c r="C363" s="11">
        <v>23.72</v>
      </c>
      <c r="D363" s="11">
        <v>23.4</v>
      </c>
      <c r="E363" s="2">
        <f t="shared" si="11"/>
        <v>0.32000000000000028</v>
      </c>
      <c r="F363" s="11">
        <v>0.188</v>
      </c>
      <c r="G363" s="14">
        <f t="shared" si="12"/>
        <v>2.1416526138279945E-2</v>
      </c>
    </row>
    <row r="364" spans="1:7">
      <c r="A364" s="1">
        <v>21</v>
      </c>
      <c r="B364" s="1" t="s">
        <v>19</v>
      </c>
      <c r="C364" s="11">
        <v>30.73</v>
      </c>
      <c r="D364" s="11">
        <v>30.41</v>
      </c>
      <c r="E364" s="2">
        <f t="shared" si="11"/>
        <v>0.32000000000000028</v>
      </c>
      <c r="F364" s="11">
        <v>0.13200000000000001</v>
      </c>
      <c r="G364" s="14">
        <f t="shared" si="12"/>
        <v>1.470875366091768E-2</v>
      </c>
    </row>
    <row r="365" spans="1:7">
      <c r="A365" s="1">
        <v>22</v>
      </c>
      <c r="B365" s="1" t="s">
        <v>19</v>
      </c>
      <c r="C365" s="11">
        <v>23.41</v>
      </c>
      <c r="D365" s="11">
        <v>23.21</v>
      </c>
      <c r="E365" s="2">
        <f t="shared" si="11"/>
        <v>0.19999999999999929</v>
      </c>
      <c r="F365" s="11">
        <v>0.154</v>
      </c>
      <c r="G365" s="14">
        <f t="shared" si="12"/>
        <v>1.5121742844938032E-2</v>
      </c>
    </row>
    <row r="366" spans="1:7">
      <c r="A366" s="1">
        <v>23</v>
      </c>
      <c r="B366" s="1" t="s">
        <v>19</v>
      </c>
      <c r="C366" s="11">
        <v>20.7</v>
      </c>
      <c r="D366" s="11">
        <v>20.329999999999998</v>
      </c>
      <c r="E366" s="2">
        <f t="shared" si="11"/>
        <v>0.37000000000000099</v>
      </c>
      <c r="F366" s="11">
        <v>0.128</v>
      </c>
      <c r="G366" s="3">
        <f t="shared" si="12"/>
        <v>2.4057971014492804E-2</v>
      </c>
    </row>
    <row r="367" spans="1:7">
      <c r="A367" s="1">
        <v>24</v>
      </c>
      <c r="B367" s="1" t="s">
        <v>19</v>
      </c>
      <c r="C367" s="11">
        <v>61.67</v>
      </c>
      <c r="D367" s="11">
        <v>60.97</v>
      </c>
      <c r="E367" s="2">
        <f t="shared" si="11"/>
        <v>0.70000000000000284</v>
      </c>
      <c r="F367" s="11">
        <v>0.11</v>
      </c>
      <c r="G367" s="3">
        <f t="shared" si="12"/>
        <v>1.3134425166207277E-2</v>
      </c>
    </row>
    <row r="368" spans="1:7">
      <c r="A368" s="1">
        <v>25</v>
      </c>
      <c r="B368" s="1" t="s">
        <v>19</v>
      </c>
      <c r="C368" s="11">
        <v>43.75</v>
      </c>
      <c r="D368" s="11">
        <v>43.02</v>
      </c>
      <c r="E368" s="2">
        <f t="shared" si="11"/>
        <v>0.72999999999999687</v>
      </c>
      <c r="F368" s="11">
        <v>0.13500000000000001</v>
      </c>
      <c r="G368" s="3">
        <f t="shared" si="12"/>
        <v>1.9771428571428499E-2</v>
      </c>
    </row>
    <row r="369" spans="1:7">
      <c r="A369" s="1">
        <v>26</v>
      </c>
      <c r="B369" s="1" t="s">
        <v>19</v>
      </c>
      <c r="C369" s="11">
        <v>13.66</v>
      </c>
      <c r="D369" s="11">
        <v>13.55</v>
      </c>
      <c r="E369" s="2">
        <f t="shared" si="11"/>
        <v>0.10999999999999943</v>
      </c>
      <c r="F369" s="11">
        <v>0.151</v>
      </c>
      <c r="G369" s="14">
        <f t="shared" si="12"/>
        <v>1.9106881405563648E-2</v>
      </c>
    </row>
    <row r="370" spans="1:7">
      <c r="A370" s="1">
        <v>27</v>
      </c>
      <c r="B370" s="1" t="s">
        <v>19</v>
      </c>
      <c r="C370" s="11">
        <v>12.78</v>
      </c>
      <c r="D370" s="11">
        <v>12.63</v>
      </c>
      <c r="E370" s="2">
        <f t="shared" si="11"/>
        <v>0.14999999999999858</v>
      </c>
      <c r="F370" s="11">
        <v>0.115</v>
      </c>
      <c r="G370" s="14">
        <f t="shared" si="12"/>
        <v>2.0735524256650907E-2</v>
      </c>
    </row>
    <row r="371" spans="1:7">
      <c r="A371" s="1">
        <v>28</v>
      </c>
      <c r="B371" s="1" t="s">
        <v>19</v>
      </c>
      <c r="C371" s="11">
        <v>19.899999999999999</v>
      </c>
      <c r="D371" s="11">
        <v>19.559999999999999</v>
      </c>
      <c r="E371" s="2">
        <f t="shared" si="11"/>
        <v>0.33999999999999986</v>
      </c>
      <c r="F371" s="11">
        <v>0.13500000000000001</v>
      </c>
      <c r="G371" s="14">
        <f t="shared" si="12"/>
        <v>2.3869346733668338E-2</v>
      </c>
    </row>
    <row r="372" spans="1:7">
      <c r="A372" s="1">
        <v>29</v>
      </c>
      <c r="B372" s="1" t="s">
        <v>19</v>
      </c>
      <c r="C372" s="11">
        <v>42.43</v>
      </c>
      <c r="D372" s="11">
        <v>42.06</v>
      </c>
      <c r="E372" s="2">
        <f t="shared" si="11"/>
        <v>0.36999999999999744</v>
      </c>
      <c r="F372" s="11">
        <v>0.125</v>
      </c>
      <c r="G372" s="14">
        <f t="shared" si="12"/>
        <v>1.1666273862832841E-2</v>
      </c>
    </row>
    <row r="373" spans="1:7">
      <c r="A373" s="1">
        <v>30</v>
      </c>
      <c r="B373" s="1" t="s">
        <v>19</v>
      </c>
      <c r="C373" s="11">
        <v>20.78</v>
      </c>
      <c r="D373" s="11">
        <v>20.41</v>
      </c>
      <c r="E373" s="2">
        <f t="shared" si="11"/>
        <v>0.37000000000000099</v>
      </c>
      <c r="F373" s="11">
        <v>0.15</v>
      </c>
      <c r="G373" s="14">
        <f t="shared" si="12"/>
        <v>2.5024061597690134E-2</v>
      </c>
    </row>
    <row r="374" spans="1:7">
      <c r="A374" s="1">
        <v>31</v>
      </c>
      <c r="B374" s="1" t="s">
        <v>19</v>
      </c>
      <c r="C374" s="11">
        <v>97.69</v>
      </c>
      <c r="D374" s="11">
        <v>96.82</v>
      </c>
      <c r="E374" s="2">
        <f t="shared" si="11"/>
        <v>0.87000000000000455</v>
      </c>
      <c r="F374" s="11">
        <v>0.125</v>
      </c>
      <c r="G374" s="14">
        <f t="shared" si="12"/>
        <v>1.0185279967243367E-2</v>
      </c>
    </row>
    <row r="375" spans="1:7">
      <c r="A375" s="1">
        <v>1</v>
      </c>
      <c r="B375" s="1" t="s">
        <v>20</v>
      </c>
      <c r="C375" s="11">
        <v>0</v>
      </c>
      <c r="D375" s="11">
        <v>0</v>
      </c>
      <c r="E375" s="2">
        <f t="shared" si="11"/>
        <v>0</v>
      </c>
      <c r="F375" s="11">
        <v>0</v>
      </c>
      <c r="G375" s="14" t="e">
        <f t="shared" si="12"/>
        <v>#DIV/0!</v>
      </c>
    </row>
    <row r="376" spans="1:7">
      <c r="A376" s="1">
        <v>2</v>
      </c>
      <c r="B376" s="1" t="s">
        <v>20</v>
      </c>
      <c r="C376" s="11">
        <v>0</v>
      </c>
      <c r="D376" s="11">
        <v>0</v>
      </c>
      <c r="E376" s="2">
        <f t="shared" si="11"/>
        <v>0</v>
      </c>
      <c r="F376" s="11">
        <v>0</v>
      </c>
      <c r="G376" s="14" t="e">
        <f t="shared" si="12"/>
        <v>#DIV/0!</v>
      </c>
    </row>
    <row r="377" spans="1:7">
      <c r="A377" s="1">
        <v>3</v>
      </c>
      <c r="B377" s="1" t="s">
        <v>20</v>
      </c>
      <c r="C377" s="11">
        <v>0</v>
      </c>
      <c r="D377" s="11">
        <v>0</v>
      </c>
      <c r="E377" s="2">
        <f t="shared" si="11"/>
        <v>0</v>
      </c>
      <c r="F377" s="11">
        <v>0</v>
      </c>
      <c r="G377" s="14" t="e">
        <f t="shared" si="12"/>
        <v>#DIV/0!</v>
      </c>
    </row>
    <row r="378" spans="1:7">
      <c r="A378" s="1">
        <v>4</v>
      </c>
      <c r="B378" s="1" t="s">
        <v>20</v>
      </c>
      <c r="C378" s="11">
        <v>0</v>
      </c>
      <c r="D378" s="11">
        <v>0</v>
      </c>
      <c r="E378" s="2">
        <f t="shared" si="11"/>
        <v>0</v>
      </c>
      <c r="F378" s="11">
        <v>0</v>
      </c>
      <c r="G378" s="14" t="e">
        <f t="shared" si="12"/>
        <v>#DIV/0!</v>
      </c>
    </row>
    <row r="379" spans="1:7">
      <c r="A379" s="1">
        <v>5</v>
      </c>
      <c r="B379" s="1" t="s">
        <v>20</v>
      </c>
      <c r="C379" s="11">
        <v>0</v>
      </c>
      <c r="D379" s="11">
        <v>0</v>
      </c>
      <c r="E379" s="2">
        <f t="shared" si="11"/>
        <v>0</v>
      </c>
      <c r="F379" s="11">
        <v>0</v>
      </c>
      <c r="G379" s="14" t="e">
        <f t="shared" si="12"/>
        <v>#DIV/0!</v>
      </c>
    </row>
    <row r="380" spans="1:7">
      <c r="A380" s="1">
        <v>6</v>
      </c>
      <c r="B380" s="1" t="s">
        <v>20</v>
      </c>
      <c r="C380" s="11">
        <v>0</v>
      </c>
      <c r="D380" s="11">
        <v>0</v>
      </c>
      <c r="E380" s="2">
        <f t="shared" si="11"/>
        <v>0</v>
      </c>
      <c r="F380" s="11">
        <v>0</v>
      </c>
      <c r="G380" s="14" t="e">
        <f t="shared" si="12"/>
        <v>#DIV/0!</v>
      </c>
    </row>
    <row r="381" spans="1:7">
      <c r="A381" s="1">
        <v>7</v>
      </c>
      <c r="B381" s="1" t="s">
        <v>20</v>
      </c>
      <c r="C381" s="11">
        <v>0</v>
      </c>
      <c r="D381" s="11">
        <v>0</v>
      </c>
      <c r="E381" s="2">
        <f t="shared" si="11"/>
        <v>0</v>
      </c>
      <c r="F381" s="11">
        <v>0</v>
      </c>
      <c r="G381" s="14" t="e">
        <f t="shared" si="12"/>
        <v>#DIV/0!</v>
      </c>
    </row>
    <row r="382" spans="1:7">
      <c r="A382" s="1">
        <v>10</v>
      </c>
      <c r="B382" s="1" t="s">
        <v>20</v>
      </c>
      <c r="C382" s="11">
        <v>0</v>
      </c>
      <c r="D382" s="11">
        <v>0</v>
      </c>
      <c r="E382" s="2">
        <f t="shared" si="11"/>
        <v>0</v>
      </c>
      <c r="F382" s="11">
        <v>1</v>
      </c>
      <c r="G382" s="14" t="e">
        <f t="shared" si="12"/>
        <v>#DIV/0!</v>
      </c>
    </row>
    <row r="383" spans="1:7">
      <c r="A383" s="1">
        <v>8</v>
      </c>
      <c r="B383" s="1" t="s">
        <v>20</v>
      </c>
      <c r="C383" s="11">
        <v>0</v>
      </c>
      <c r="D383" s="11">
        <v>0</v>
      </c>
      <c r="E383" s="2">
        <f t="shared" si="11"/>
        <v>0</v>
      </c>
      <c r="F383" s="11">
        <v>0</v>
      </c>
      <c r="G383" s="14" t="e">
        <f t="shared" si="12"/>
        <v>#DIV/0!</v>
      </c>
    </row>
    <row r="384" spans="1:7">
      <c r="A384" s="1">
        <v>9</v>
      </c>
      <c r="B384" s="1" t="s">
        <v>20</v>
      </c>
      <c r="C384" s="11">
        <v>0</v>
      </c>
      <c r="D384" s="11">
        <v>0</v>
      </c>
      <c r="E384" s="2">
        <f t="shared" si="11"/>
        <v>0</v>
      </c>
      <c r="F384" s="11">
        <v>0</v>
      </c>
      <c r="G384" s="14" t="e">
        <f t="shared" si="12"/>
        <v>#DIV/0!</v>
      </c>
    </row>
    <row r="385" spans="1:7">
      <c r="A385" s="1">
        <v>11</v>
      </c>
      <c r="B385" s="1" t="s">
        <v>20</v>
      </c>
      <c r="C385" s="11">
        <v>0</v>
      </c>
      <c r="D385" s="11">
        <v>0</v>
      </c>
      <c r="E385" s="2">
        <f t="shared" si="11"/>
        <v>0</v>
      </c>
      <c r="F385" s="11">
        <v>0</v>
      </c>
      <c r="G385" s="14" t="e">
        <f t="shared" si="12"/>
        <v>#DIV/0!</v>
      </c>
    </row>
    <row r="386" spans="1:7">
      <c r="A386" s="1">
        <v>12</v>
      </c>
      <c r="B386" s="1" t="s">
        <v>20</v>
      </c>
      <c r="C386" s="11">
        <v>0</v>
      </c>
      <c r="D386" s="11">
        <v>0</v>
      </c>
      <c r="E386" s="2">
        <f t="shared" si="11"/>
        <v>0</v>
      </c>
      <c r="F386" s="11">
        <v>0</v>
      </c>
      <c r="G386" s="14" t="e">
        <f t="shared" si="12"/>
        <v>#DIV/0!</v>
      </c>
    </row>
    <row r="387" spans="1:7">
      <c r="A387" s="1">
        <v>13</v>
      </c>
      <c r="B387" s="1" t="s">
        <v>20</v>
      </c>
      <c r="C387" s="11">
        <v>0</v>
      </c>
      <c r="D387" s="11">
        <v>0</v>
      </c>
      <c r="E387" s="2">
        <f t="shared" si="11"/>
        <v>0</v>
      </c>
      <c r="F387" s="11">
        <v>0</v>
      </c>
      <c r="G387" s="14" t="e">
        <f t="shared" si="12"/>
        <v>#DIV/0!</v>
      </c>
    </row>
    <row r="388" spans="1:7">
      <c r="A388" s="1">
        <v>14</v>
      </c>
      <c r="B388" s="1" t="s">
        <v>20</v>
      </c>
      <c r="C388" s="11">
        <v>0</v>
      </c>
      <c r="D388" s="11">
        <v>0</v>
      </c>
      <c r="E388" s="2">
        <f t="shared" ref="E388:E451" si="13">C388-D388</f>
        <v>0</v>
      </c>
      <c r="F388" s="11">
        <v>0</v>
      </c>
      <c r="G388" s="14" t="e">
        <f t="shared" si="12"/>
        <v>#DIV/0!</v>
      </c>
    </row>
    <row r="389" spans="1:7">
      <c r="A389" s="1">
        <v>15</v>
      </c>
      <c r="B389" s="1" t="s">
        <v>20</v>
      </c>
      <c r="C389" s="11">
        <v>23.776</v>
      </c>
      <c r="D389" s="11">
        <v>23.36</v>
      </c>
      <c r="E389" s="2">
        <f t="shared" si="13"/>
        <v>0.41600000000000037</v>
      </c>
      <c r="F389" s="11">
        <v>3.2000000000000001E-2</v>
      </c>
      <c r="G389" s="14">
        <f t="shared" si="12"/>
        <v>1.8842530282637972E-2</v>
      </c>
    </row>
    <row r="390" spans="1:7">
      <c r="A390" s="1">
        <v>16</v>
      </c>
      <c r="B390" s="1" t="s">
        <v>20</v>
      </c>
      <c r="C390" s="11">
        <v>0</v>
      </c>
      <c r="D390" s="11">
        <v>0</v>
      </c>
      <c r="E390" s="2">
        <f t="shared" si="13"/>
        <v>0</v>
      </c>
      <c r="F390" s="11">
        <v>2.3E-2</v>
      </c>
      <c r="G390" s="14" t="e">
        <f t="shared" si="12"/>
        <v>#DIV/0!</v>
      </c>
    </row>
    <row r="391" spans="1:7">
      <c r="A391" s="1">
        <v>17</v>
      </c>
      <c r="B391" s="1" t="s">
        <v>20</v>
      </c>
      <c r="C391" s="11">
        <v>22.47</v>
      </c>
      <c r="D391" s="11">
        <v>22.16</v>
      </c>
      <c r="E391" s="2">
        <f t="shared" si="13"/>
        <v>0.30999999999999872</v>
      </c>
      <c r="F391" s="11">
        <v>0</v>
      </c>
      <c r="G391" s="14">
        <f t="shared" si="12"/>
        <v>1.3796172674677292E-2</v>
      </c>
    </row>
    <row r="392" spans="1:7">
      <c r="A392" s="1">
        <v>18</v>
      </c>
      <c r="B392" s="1" t="s">
        <v>20</v>
      </c>
      <c r="C392" s="11">
        <v>0</v>
      </c>
      <c r="D392" s="11">
        <v>0</v>
      </c>
      <c r="E392" s="2">
        <f t="shared" si="13"/>
        <v>0</v>
      </c>
      <c r="F392" s="11">
        <v>0</v>
      </c>
      <c r="G392" s="14" t="e">
        <f t="shared" si="12"/>
        <v>#DIV/0!</v>
      </c>
    </row>
    <row r="393" spans="1:7">
      <c r="A393" s="1">
        <v>19</v>
      </c>
      <c r="B393" s="1" t="s">
        <v>20</v>
      </c>
      <c r="C393" s="11">
        <v>0</v>
      </c>
      <c r="D393" s="11">
        <v>0</v>
      </c>
      <c r="E393" s="2">
        <f t="shared" si="13"/>
        <v>0</v>
      </c>
      <c r="F393" s="11">
        <v>9.0999999999999304E-2</v>
      </c>
      <c r="G393" s="14" t="e">
        <f t="shared" si="12"/>
        <v>#DIV/0!</v>
      </c>
    </row>
    <row r="394" spans="1:7">
      <c r="A394" s="1">
        <v>20</v>
      </c>
      <c r="B394" s="1" t="s">
        <v>20</v>
      </c>
      <c r="C394" s="11">
        <v>0</v>
      </c>
      <c r="D394" s="11">
        <v>0</v>
      </c>
      <c r="E394" s="2">
        <f t="shared" si="13"/>
        <v>0</v>
      </c>
      <c r="F394" s="11">
        <v>3.5999999999999588E-2</v>
      </c>
      <c r="G394" s="14" t="e">
        <f t="shared" si="12"/>
        <v>#DIV/0!</v>
      </c>
    </row>
    <row r="395" spans="1:7">
      <c r="A395" s="1">
        <v>21</v>
      </c>
      <c r="B395" s="1" t="s">
        <v>20</v>
      </c>
      <c r="C395" s="11">
        <v>0</v>
      </c>
      <c r="D395" s="11">
        <v>0</v>
      </c>
      <c r="E395" s="2">
        <f t="shared" si="13"/>
        <v>0</v>
      </c>
      <c r="F395" s="11">
        <v>0.21099999999999999</v>
      </c>
      <c r="G395" s="14" t="e">
        <f t="shared" si="12"/>
        <v>#DIV/0!</v>
      </c>
    </row>
    <row r="396" spans="1:7">
      <c r="A396" s="1">
        <v>22</v>
      </c>
      <c r="B396" s="1" t="s">
        <v>20</v>
      </c>
      <c r="C396" s="11">
        <v>0</v>
      </c>
      <c r="D396" s="11">
        <v>0</v>
      </c>
      <c r="E396" s="2">
        <f t="shared" si="13"/>
        <v>0</v>
      </c>
      <c r="F396" s="11">
        <v>0</v>
      </c>
      <c r="G396" s="14" t="e">
        <f t="shared" si="12"/>
        <v>#DIV/0!</v>
      </c>
    </row>
    <row r="397" spans="1:7">
      <c r="A397" s="1">
        <v>23</v>
      </c>
      <c r="B397" s="1" t="s">
        <v>20</v>
      </c>
      <c r="C397" s="11">
        <v>0</v>
      </c>
      <c r="D397" s="11">
        <v>0</v>
      </c>
      <c r="E397" s="2">
        <f t="shared" si="13"/>
        <v>0</v>
      </c>
      <c r="F397" s="11">
        <v>0</v>
      </c>
      <c r="G397" s="3" t="e">
        <f t="shared" si="12"/>
        <v>#DIV/0!</v>
      </c>
    </row>
    <row r="398" spans="1:7">
      <c r="A398" s="1">
        <v>24</v>
      </c>
      <c r="B398" s="1" t="s">
        <v>20</v>
      </c>
      <c r="C398" s="11">
        <v>0</v>
      </c>
      <c r="D398" s="11">
        <v>0</v>
      </c>
      <c r="E398" s="2">
        <f t="shared" si="13"/>
        <v>0</v>
      </c>
      <c r="F398" s="11">
        <v>0</v>
      </c>
      <c r="G398" s="3" t="e">
        <f t="shared" si="12"/>
        <v>#DIV/0!</v>
      </c>
    </row>
    <row r="399" spans="1:7">
      <c r="A399" s="1">
        <v>25</v>
      </c>
      <c r="B399" s="1" t="s">
        <v>20</v>
      </c>
      <c r="C399" s="11">
        <v>0</v>
      </c>
      <c r="D399" s="11">
        <v>0</v>
      </c>
      <c r="E399" s="2">
        <f t="shared" si="13"/>
        <v>0</v>
      </c>
      <c r="F399" s="11">
        <v>0</v>
      </c>
      <c r="G399" s="3" t="e">
        <f t="shared" si="12"/>
        <v>#DIV/0!</v>
      </c>
    </row>
    <row r="400" spans="1:7">
      <c r="A400" s="1">
        <v>26</v>
      </c>
      <c r="B400" s="1" t="s">
        <v>20</v>
      </c>
      <c r="C400" s="11">
        <v>0</v>
      </c>
      <c r="D400" s="11">
        <v>0</v>
      </c>
      <c r="E400" s="2">
        <f t="shared" si="13"/>
        <v>0</v>
      </c>
      <c r="F400" s="11">
        <v>0</v>
      </c>
      <c r="G400" s="14" t="e">
        <f t="shared" si="12"/>
        <v>#DIV/0!</v>
      </c>
    </row>
    <row r="401" spans="1:7">
      <c r="A401" s="1">
        <v>27</v>
      </c>
      <c r="B401" s="1" t="s">
        <v>20</v>
      </c>
      <c r="C401" s="11">
        <v>0</v>
      </c>
      <c r="D401" s="11">
        <v>0</v>
      </c>
      <c r="E401" s="2">
        <f t="shared" si="13"/>
        <v>0</v>
      </c>
      <c r="F401" s="11">
        <v>0</v>
      </c>
      <c r="G401" s="14" t="e">
        <f t="shared" si="12"/>
        <v>#DIV/0!</v>
      </c>
    </row>
    <row r="402" spans="1:7">
      <c r="A402" s="1">
        <v>28</v>
      </c>
      <c r="B402" s="1" t="s">
        <v>20</v>
      </c>
      <c r="C402" s="11">
        <v>0</v>
      </c>
      <c r="D402" s="11">
        <v>0</v>
      </c>
      <c r="E402" s="2">
        <f t="shared" si="13"/>
        <v>0</v>
      </c>
      <c r="F402" s="11">
        <v>0</v>
      </c>
      <c r="G402" s="14" t="e">
        <f t="shared" si="12"/>
        <v>#DIV/0!</v>
      </c>
    </row>
    <row r="403" spans="1:7">
      <c r="A403" s="1">
        <v>29</v>
      </c>
      <c r="B403" s="1" t="s">
        <v>20</v>
      </c>
      <c r="C403" s="11">
        <v>0</v>
      </c>
      <c r="D403" s="11">
        <v>0</v>
      </c>
      <c r="E403" s="2">
        <f t="shared" si="13"/>
        <v>0</v>
      </c>
      <c r="F403" s="11">
        <v>0</v>
      </c>
      <c r="G403" s="14" t="e">
        <f t="shared" si="12"/>
        <v>#DIV/0!</v>
      </c>
    </row>
    <row r="404" spans="1:7">
      <c r="A404" s="1">
        <v>30</v>
      </c>
      <c r="B404" s="1" t="s">
        <v>20</v>
      </c>
      <c r="C404" s="11">
        <v>0</v>
      </c>
      <c r="D404" s="11">
        <v>0</v>
      </c>
      <c r="E404" s="2">
        <f t="shared" si="13"/>
        <v>0</v>
      </c>
      <c r="F404" s="11">
        <v>0</v>
      </c>
      <c r="G404" s="14" t="e">
        <f t="shared" si="12"/>
        <v>#DIV/0!</v>
      </c>
    </row>
    <row r="405" spans="1:7">
      <c r="A405" s="1">
        <v>31</v>
      </c>
      <c r="B405" s="1" t="s">
        <v>20</v>
      </c>
      <c r="C405" s="11">
        <v>0</v>
      </c>
      <c r="D405" s="11">
        <v>0</v>
      </c>
      <c r="E405" s="2">
        <f t="shared" si="13"/>
        <v>0</v>
      </c>
      <c r="F405" s="11">
        <v>0</v>
      </c>
      <c r="G405" s="14" t="e">
        <f t="shared" si="12"/>
        <v>#DIV/0!</v>
      </c>
    </row>
    <row r="406" spans="1:7">
      <c r="A406" s="1">
        <v>1</v>
      </c>
      <c r="B406" s="1" t="s">
        <v>21</v>
      </c>
      <c r="C406" s="11">
        <v>0</v>
      </c>
      <c r="D406" s="11">
        <v>0</v>
      </c>
      <c r="E406" s="2">
        <f t="shared" si="13"/>
        <v>0</v>
      </c>
      <c r="F406" s="11">
        <v>0</v>
      </c>
      <c r="G406" s="14" t="e">
        <f t="shared" si="12"/>
        <v>#DIV/0!</v>
      </c>
    </row>
    <row r="407" spans="1:7">
      <c r="A407" s="1">
        <v>2</v>
      </c>
      <c r="B407" s="1" t="s">
        <v>21</v>
      </c>
      <c r="C407" s="11">
        <v>0</v>
      </c>
      <c r="D407" s="11">
        <v>0</v>
      </c>
      <c r="E407" s="2">
        <f t="shared" si="13"/>
        <v>0</v>
      </c>
      <c r="F407" s="11">
        <v>0</v>
      </c>
      <c r="G407" s="14" t="e">
        <f t="shared" si="12"/>
        <v>#DIV/0!</v>
      </c>
    </row>
    <row r="408" spans="1:7">
      <c r="A408" s="1">
        <v>3</v>
      </c>
      <c r="B408" s="1" t="s">
        <v>21</v>
      </c>
      <c r="C408" s="11">
        <v>0</v>
      </c>
      <c r="D408" s="11">
        <v>0</v>
      </c>
      <c r="E408" s="2">
        <f t="shared" si="13"/>
        <v>0</v>
      </c>
      <c r="F408" s="11">
        <v>0</v>
      </c>
      <c r="G408" s="14" t="e">
        <f t="shared" si="12"/>
        <v>#DIV/0!</v>
      </c>
    </row>
    <row r="409" spans="1:7">
      <c r="A409" s="1">
        <v>4</v>
      </c>
      <c r="B409" s="1" t="s">
        <v>21</v>
      </c>
      <c r="C409" s="11">
        <v>0</v>
      </c>
      <c r="D409" s="11">
        <v>0</v>
      </c>
      <c r="E409" s="2">
        <f t="shared" si="13"/>
        <v>0</v>
      </c>
      <c r="F409" s="11">
        <v>0</v>
      </c>
      <c r="G409" s="14" t="e">
        <f t="shared" si="12"/>
        <v>#DIV/0!</v>
      </c>
    </row>
    <row r="410" spans="1:7">
      <c r="A410" s="1">
        <v>5</v>
      </c>
      <c r="B410" s="1" t="s">
        <v>21</v>
      </c>
      <c r="C410" s="11">
        <v>0</v>
      </c>
      <c r="D410" s="11">
        <v>0</v>
      </c>
      <c r="E410" s="2">
        <f t="shared" si="13"/>
        <v>0</v>
      </c>
      <c r="F410" s="11">
        <v>0</v>
      </c>
      <c r="G410" s="14" t="e">
        <f t="shared" si="12"/>
        <v>#DIV/0!</v>
      </c>
    </row>
    <row r="411" spans="1:7">
      <c r="A411" s="1">
        <v>6</v>
      </c>
      <c r="B411" s="1" t="s">
        <v>21</v>
      </c>
      <c r="C411" s="11">
        <v>0</v>
      </c>
      <c r="D411" s="11">
        <v>0</v>
      </c>
      <c r="E411" s="2">
        <f t="shared" si="13"/>
        <v>0</v>
      </c>
      <c r="F411" s="11">
        <v>0</v>
      </c>
      <c r="G411" s="14" t="e">
        <f t="shared" si="12"/>
        <v>#DIV/0!</v>
      </c>
    </row>
    <row r="412" spans="1:7">
      <c r="A412" s="1">
        <v>7</v>
      </c>
      <c r="B412" s="1" t="s">
        <v>21</v>
      </c>
      <c r="C412" s="11">
        <v>0</v>
      </c>
      <c r="D412" s="11">
        <v>0</v>
      </c>
      <c r="E412" s="2">
        <f t="shared" si="13"/>
        <v>0</v>
      </c>
      <c r="F412" s="11">
        <v>0</v>
      </c>
      <c r="G412" s="14" t="e">
        <f t="shared" si="12"/>
        <v>#DIV/0!</v>
      </c>
    </row>
    <row r="413" spans="1:7">
      <c r="A413" s="1">
        <v>10</v>
      </c>
      <c r="B413" s="1" t="s">
        <v>21</v>
      </c>
      <c r="C413" s="11">
        <v>0</v>
      </c>
      <c r="D413" s="11">
        <v>0</v>
      </c>
      <c r="E413" s="2">
        <f t="shared" si="13"/>
        <v>0</v>
      </c>
      <c r="F413" s="11">
        <v>0</v>
      </c>
      <c r="G413" s="14" t="e">
        <f t="shared" si="12"/>
        <v>#DIV/0!</v>
      </c>
    </row>
    <row r="414" spans="1:7">
      <c r="A414" s="1">
        <v>8</v>
      </c>
      <c r="B414" s="1" t="s">
        <v>21</v>
      </c>
      <c r="C414" s="11">
        <v>0</v>
      </c>
      <c r="D414" s="11">
        <v>0</v>
      </c>
      <c r="E414" s="2">
        <f t="shared" si="13"/>
        <v>0</v>
      </c>
      <c r="F414" s="11">
        <v>0</v>
      </c>
      <c r="G414" s="14" t="e">
        <f t="shared" si="12"/>
        <v>#DIV/0!</v>
      </c>
    </row>
    <row r="415" spans="1:7">
      <c r="A415" s="1">
        <v>9</v>
      </c>
      <c r="B415" s="1" t="s">
        <v>21</v>
      </c>
      <c r="C415" s="11">
        <v>0</v>
      </c>
      <c r="D415" s="11">
        <v>0</v>
      </c>
      <c r="E415" s="2">
        <f t="shared" si="13"/>
        <v>0</v>
      </c>
      <c r="F415" s="11">
        <v>0</v>
      </c>
      <c r="G415" s="14" t="e">
        <f t="shared" si="12"/>
        <v>#DIV/0!</v>
      </c>
    </row>
    <row r="416" spans="1:7">
      <c r="A416" s="1">
        <v>11</v>
      </c>
      <c r="B416" s="1" t="s">
        <v>21</v>
      </c>
      <c r="C416" s="11">
        <v>0</v>
      </c>
      <c r="D416" s="11">
        <v>0</v>
      </c>
      <c r="E416" s="2">
        <f t="shared" si="13"/>
        <v>0</v>
      </c>
      <c r="F416" s="11">
        <v>0</v>
      </c>
      <c r="G416" s="14" t="e">
        <f t="shared" si="12"/>
        <v>#DIV/0!</v>
      </c>
    </row>
    <row r="417" spans="1:7">
      <c r="A417" s="1">
        <v>12</v>
      </c>
      <c r="B417" s="1" t="s">
        <v>21</v>
      </c>
      <c r="C417" s="11">
        <v>0</v>
      </c>
      <c r="D417" s="11">
        <v>0</v>
      </c>
      <c r="E417" s="2">
        <f t="shared" si="13"/>
        <v>0</v>
      </c>
      <c r="F417" s="11">
        <v>0</v>
      </c>
      <c r="G417" s="14" t="e">
        <f t="shared" si="12"/>
        <v>#DIV/0!</v>
      </c>
    </row>
    <row r="418" spans="1:7">
      <c r="A418" s="1">
        <v>13</v>
      </c>
      <c r="B418" s="1" t="s">
        <v>21</v>
      </c>
      <c r="C418" s="11">
        <v>0</v>
      </c>
      <c r="D418" s="11">
        <v>0</v>
      </c>
      <c r="E418" s="2">
        <f t="shared" si="13"/>
        <v>0</v>
      </c>
      <c r="F418" s="11">
        <v>0</v>
      </c>
      <c r="G418" s="14" t="e">
        <f t="shared" si="12"/>
        <v>#DIV/0!</v>
      </c>
    </row>
    <row r="419" spans="1:7">
      <c r="A419" s="1">
        <v>14</v>
      </c>
      <c r="B419" s="1" t="s">
        <v>21</v>
      </c>
      <c r="C419" s="11">
        <v>0</v>
      </c>
      <c r="D419" s="11">
        <v>0</v>
      </c>
      <c r="E419" s="2">
        <f t="shared" si="13"/>
        <v>0</v>
      </c>
      <c r="F419" s="11">
        <v>0</v>
      </c>
      <c r="G419" s="14" t="e">
        <f t="shared" si="12"/>
        <v>#DIV/0!</v>
      </c>
    </row>
    <row r="420" spans="1:7">
      <c r="A420" s="1">
        <v>15</v>
      </c>
      <c r="B420" s="1" t="s">
        <v>21</v>
      </c>
      <c r="C420" s="11">
        <v>0</v>
      </c>
      <c r="D420" s="11">
        <v>0</v>
      </c>
      <c r="E420" s="2">
        <f t="shared" si="13"/>
        <v>0</v>
      </c>
      <c r="F420" s="11">
        <v>0</v>
      </c>
      <c r="G420" s="14" t="e">
        <f t="shared" si="12"/>
        <v>#DIV/0!</v>
      </c>
    </row>
    <row r="421" spans="1:7">
      <c r="A421" s="1">
        <v>16</v>
      </c>
      <c r="B421" s="1" t="s">
        <v>21</v>
      </c>
      <c r="C421" s="11">
        <v>0</v>
      </c>
      <c r="D421" s="11">
        <v>0</v>
      </c>
      <c r="E421" s="2">
        <f t="shared" si="13"/>
        <v>0</v>
      </c>
      <c r="F421" s="11">
        <v>0</v>
      </c>
      <c r="G421" s="14" t="e">
        <f t="shared" ref="G421:G484" si="14">(E421+F421)/C421</f>
        <v>#DIV/0!</v>
      </c>
    </row>
    <row r="422" spans="1:7">
      <c r="A422" s="1">
        <v>17</v>
      </c>
      <c r="B422" s="1" t="s">
        <v>21</v>
      </c>
      <c r="C422" s="11">
        <v>0</v>
      </c>
      <c r="D422" s="11">
        <v>0</v>
      </c>
      <c r="E422" s="2">
        <f t="shared" si="13"/>
        <v>0</v>
      </c>
      <c r="F422" s="11">
        <v>0</v>
      </c>
      <c r="G422" s="14" t="e">
        <f t="shared" si="14"/>
        <v>#DIV/0!</v>
      </c>
    </row>
    <row r="423" spans="1:7">
      <c r="A423" s="1">
        <v>18</v>
      </c>
      <c r="B423" s="1" t="s">
        <v>21</v>
      </c>
      <c r="C423" s="11">
        <v>0</v>
      </c>
      <c r="D423" s="11">
        <v>0</v>
      </c>
      <c r="E423" s="2">
        <f t="shared" si="13"/>
        <v>0</v>
      </c>
      <c r="F423" s="11">
        <v>0</v>
      </c>
      <c r="G423" s="14" t="e">
        <f t="shared" si="14"/>
        <v>#DIV/0!</v>
      </c>
    </row>
    <row r="424" spans="1:7">
      <c r="A424" s="1">
        <v>19</v>
      </c>
      <c r="B424" s="1" t="s">
        <v>21</v>
      </c>
      <c r="C424" s="11">
        <v>0</v>
      </c>
      <c r="D424" s="11">
        <v>0</v>
      </c>
      <c r="E424" s="2">
        <f t="shared" si="13"/>
        <v>0</v>
      </c>
      <c r="F424" s="11">
        <v>0</v>
      </c>
      <c r="G424" s="14" t="e">
        <f t="shared" si="14"/>
        <v>#DIV/0!</v>
      </c>
    </row>
    <row r="425" spans="1:7">
      <c r="A425" s="1">
        <v>20</v>
      </c>
      <c r="B425" s="1" t="s">
        <v>21</v>
      </c>
      <c r="C425" s="11">
        <v>0</v>
      </c>
      <c r="D425" s="11">
        <v>0</v>
      </c>
      <c r="E425" s="2">
        <f t="shared" si="13"/>
        <v>0</v>
      </c>
      <c r="F425" s="11">
        <v>0</v>
      </c>
      <c r="G425" s="14" t="e">
        <f t="shared" si="14"/>
        <v>#DIV/0!</v>
      </c>
    </row>
    <row r="426" spans="1:7">
      <c r="A426" s="1">
        <v>21</v>
      </c>
      <c r="B426" s="1" t="s">
        <v>21</v>
      </c>
      <c r="C426" s="11">
        <v>0</v>
      </c>
      <c r="D426" s="11">
        <v>0</v>
      </c>
      <c r="E426" s="2">
        <f t="shared" si="13"/>
        <v>0</v>
      </c>
      <c r="F426" s="11">
        <v>0</v>
      </c>
      <c r="G426" s="14" t="e">
        <f t="shared" si="14"/>
        <v>#DIV/0!</v>
      </c>
    </row>
    <row r="427" spans="1:7">
      <c r="A427" s="1">
        <v>22</v>
      </c>
      <c r="B427" s="1" t="s">
        <v>21</v>
      </c>
      <c r="C427" s="11">
        <v>0</v>
      </c>
      <c r="D427" s="11">
        <v>0</v>
      </c>
      <c r="E427" s="2">
        <f t="shared" si="13"/>
        <v>0</v>
      </c>
      <c r="F427" s="11">
        <v>0</v>
      </c>
      <c r="G427" s="14" t="e">
        <f t="shared" si="14"/>
        <v>#DIV/0!</v>
      </c>
    </row>
    <row r="428" spans="1:7">
      <c r="A428" s="1">
        <v>23</v>
      </c>
      <c r="B428" s="1" t="s">
        <v>21</v>
      </c>
      <c r="C428" s="11">
        <v>0</v>
      </c>
      <c r="D428" s="11">
        <v>0</v>
      </c>
      <c r="E428" s="2">
        <f t="shared" si="13"/>
        <v>0</v>
      </c>
      <c r="F428" s="11">
        <v>0</v>
      </c>
      <c r="G428" s="3" t="e">
        <f t="shared" si="14"/>
        <v>#DIV/0!</v>
      </c>
    </row>
    <row r="429" spans="1:7">
      <c r="A429" s="1">
        <v>24</v>
      </c>
      <c r="B429" s="1" t="s">
        <v>21</v>
      </c>
      <c r="C429" s="11">
        <v>0</v>
      </c>
      <c r="D429" s="11">
        <v>0</v>
      </c>
      <c r="E429" s="2">
        <f t="shared" si="13"/>
        <v>0</v>
      </c>
      <c r="F429" s="11">
        <v>0</v>
      </c>
      <c r="G429" s="3" t="e">
        <f t="shared" si="14"/>
        <v>#DIV/0!</v>
      </c>
    </row>
    <row r="430" spans="1:7">
      <c r="A430" s="1">
        <v>25</v>
      </c>
      <c r="B430" s="1" t="s">
        <v>21</v>
      </c>
      <c r="C430" s="11">
        <v>0</v>
      </c>
      <c r="D430" s="11">
        <v>0</v>
      </c>
      <c r="E430" s="2">
        <f t="shared" si="13"/>
        <v>0</v>
      </c>
      <c r="F430" s="11">
        <v>0</v>
      </c>
      <c r="G430" s="3" t="e">
        <f t="shared" si="14"/>
        <v>#DIV/0!</v>
      </c>
    </row>
    <row r="431" spans="1:7">
      <c r="A431" s="1">
        <v>26</v>
      </c>
      <c r="B431" s="1" t="s">
        <v>21</v>
      </c>
      <c r="C431" s="11">
        <v>0</v>
      </c>
      <c r="D431" s="11">
        <v>0</v>
      </c>
      <c r="E431" s="2">
        <f t="shared" si="13"/>
        <v>0</v>
      </c>
      <c r="F431" s="11">
        <v>0</v>
      </c>
      <c r="G431" s="14" t="e">
        <f t="shared" si="14"/>
        <v>#DIV/0!</v>
      </c>
    </row>
    <row r="432" spans="1:7">
      <c r="A432" s="1">
        <v>27</v>
      </c>
      <c r="B432" s="1" t="s">
        <v>21</v>
      </c>
      <c r="C432" s="11">
        <v>0</v>
      </c>
      <c r="D432" s="11">
        <v>0</v>
      </c>
      <c r="E432" s="2">
        <f t="shared" si="13"/>
        <v>0</v>
      </c>
      <c r="F432" s="11">
        <v>0</v>
      </c>
      <c r="G432" s="14" t="e">
        <f t="shared" si="14"/>
        <v>#DIV/0!</v>
      </c>
    </row>
    <row r="433" spans="1:7">
      <c r="A433" s="1">
        <v>28</v>
      </c>
      <c r="B433" s="1" t="s">
        <v>21</v>
      </c>
      <c r="C433" s="11">
        <v>0</v>
      </c>
      <c r="D433" s="11">
        <v>0</v>
      </c>
      <c r="E433" s="2">
        <f t="shared" si="13"/>
        <v>0</v>
      </c>
      <c r="F433" s="11">
        <v>0</v>
      </c>
      <c r="G433" s="14" t="e">
        <f t="shared" si="14"/>
        <v>#DIV/0!</v>
      </c>
    </row>
    <row r="434" spans="1:7">
      <c r="A434" s="1">
        <v>29</v>
      </c>
      <c r="B434" s="1" t="s">
        <v>21</v>
      </c>
      <c r="C434" s="11">
        <v>0</v>
      </c>
      <c r="D434" s="11">
        <v>0</v>
      </c>
      <c r="E434" s="2">
        <f t="shared" si="13"/>
        <v>0</v>
      </c>
      <c r="F434" s="11">
        <v>0</v>
      </c>
      <c r="G434" s="14" t="e">
        <f t="shared" si="14"/>
        <v>#DIV/0!</v>
      </c>
    </row>
    <row r="435" spans="1:7">
      <c r="A435" s="1">
        <v>30</v>
      </c>
      <c r="B435" s="1" t="s">
        <v>21</v>
      </c>
      <c r="C435" s="11">
        <v>0</v>
      </c>
      <c r="D435" s="11">
        <v>0</v>
      </c>
      <c r="E435" s="2">
        <f t="shared" si="13"/>
        <v>0</v>
      </c>
      <c r="F435" s="11">
        <v>0</v>
      </c>
      <c r="G435" s="14" t="e">
        <f t="shared" si="14"/>
        <v>#DIV/0!</v>
      </c>
    </row>
    <row r="436" spans="1:7">
      <c r="A436" s="1">
        <v>31</v>
      </c>
      <c r="B436" s="1" t="s">
        <v>21</v>
      </c>
      <c r="C436" s="11">
        <v>0</v>
      </c>
      <c r="D436" s="11">
        <v>0</v>
      </c>
      <c r="E436" s="2">
        <f t="shared" si="13"/>
        <v>0</v>
      </c>
      <c r="F436" s="11">
        <v>0</v>
      </c>
      <c r="G436" s="14" t="e">
        <f t="shared" si="14"/>
        <v>#DIV/0!</v>
      </c>
    </row>
    <row r="437" spans="1:7">
      <c r="A437" s="1">
        <v>1</v>
      </c>
      <c r="B437" s="1" t="s">
        <v>22</v>
      </c>
      <c r="C437" s="11">
        <v>0</v>
      </c>
      <c r="D437" s="11">
        <v>0</v>
      </c>
      <c r="E437" s="2">
        <f t="shared" si="13"/>
        <v>0</v>
      </c>
      <c r="F437" s="11">
        <v>0</v>
      </c>
      <c r="G437" s="14" t="e">
        <f t="shared" si="14"/>
        <v>#DIV/0!</v>
      </c>
    </row>
    <row r="438" spans="1:7">
      <c r="A438" s="1">
        <v>2</v>
      </c>
      <c r="B438" s="1" t="s">
        <v>22</v>
      </c>
      <c r="C438" s="11">
        <v>0</v>
      </c>
      <c r="D438" s="11">
        <v>0</v>
      </c>
      <c r="E438" s="2">
        <f t="shared" si="13"/>
        <v>0</v>
      </c>
      <c r="F438" s="11">
        <v>0</v>
      </c>
      <c r="G438" s="14" t="e">
        <f t="shared" si="14"/>
        <v>#DIV/0!</v>
      </c>
    </row>
    <row r="439" spans="1:7">
      <c r="A439" s="1">
        <v>3</v>
      </c>
      <c r="B439" s="1" t="s">
        <v>22</v>
      </c>
      <c r="C439" s="11">
        <v>0</v>
      </c>
      <c r="D439" s="11">
        <v>0</v>
      </c>
      <c r="E439" s="2">
        <f t="shared" si="13"/>
        <v>0</v>
      </c>
      <c r="F439" s="11">
        <v>0</v>
      </c>
      <c r="G439" s="14" t="e">
        <f t="shared" si="14"/>
        <v>#DIV/0!</v>
      </c>
    </row>
    <row r="440" spans="1:7">
      <c r="A440" s="1">
        <v>4</v>
      </c>
      <c r="B440" s="1" t="s">
        <v>22</v>
      </c>
      <c r="C440" s="11">
        <v>0</v>
      </c>
      <c r="D440" s="11">
        <v>0</v>
      </c>
      <c r="E440" s="2">
        <f t="shared" si="13"/>
        <v>0</v>
      </c>
      <c r="F440" s="11">
        <v>0</v>
      </c>
      <c r="G440" s="14" t="e">
        <f t="shared" si="14"/>
        <v>#DIV/0!</v>
      </c>
    </row>
    <row r="441" spans="1:7">
      <c r="A441" s="1">
        <v>5</v>
      </c>
      <c r="B441" s="1" t="s">
        <v>22</v>
      </c>
      <c r="C441" s="11">
        <v>0</v>
      </c>
      <c r="D441" s="11">
        <v>0</v>
      </c>
      <c r="E441" s="2">
        <f t="shared" si="13"/>
        <v>0</v>
      </c>
      <c r="F441" s="11">
        <v>0</v>
      </c>
      <c r="G441" s="14" t="e">
        <f t="shared" si="14"/>
        <v>#DIV/0!</v>
      </c>
    </row>
    <row r="442" spans="1:7">
      <c r="A442" s="1">
        <v>6</v>
      </c>
      <c r="B442" s="1" t="s">
        <v>22</v>
      </c>
      <c r="C442" s="11">
        <v>0</v>
      </c>
      <c r="D442" s="11">
        <v>0</v>
      </c>
      <c r="E442" s="2">
        <f t="shared" si="13"/>
        <v>0</v>
      </c>
      <c r="F442" s="11">
        <v>0</v>
      </c>
      <c r="G442" s="14" t="e">
        <f t="shared" si="14"/>
        <v>#DIV/0!</v>
      </c>
    </row>
    <row r="443" spans="1:7">
      <c r="A443" s="1">
        <v>7</v>
      </c>
      <c r="B443" s="1" t="s">
        <v>22</v>
      </c>
      <c r="C443" s="11">
        <v>0</v>
      </c>
      <c r="D443" s="11">
        <v>0</v>
      </c>
      <c r="E443" s="2">
        <f t="shared" si="13"/>
        <v>0</v>
      </c>
      <c r="F443" s="11">
        <v>0</v>
      </c>
      <c r="G443" s="14" t="e">
        <f t="shared" si="14"/>
        <v>#DIV/0!</v>
      </c>
    </row>
    <row r="444" spans="1:7">
      <c r="A444" s="1">
        <v>10</v>
      </c>
      <c r="B444" s="1" t="s">
        <v>22</v>
      </c>
      <c r="C444" s="11">
        <v>0</v>
      </c>
      <c r="D444" s="11">
        <v>0</v>
      </c>
      <c r="E444" s="2">
        <f t="shared" si="13"/>
        <v>0</v>
      </c>
      <c r="F444" s="11">
        <v>0</v>
      </c>
      <c r="G444" s="14" t="e">
        <f t="shared" si="14"/>
        <v>#DIV/0!</v>
      </c>
    </row>
    <row r="445" spans="1:7">
      <c r="A445" s="1">
        <v>8</v>
      </c>
      <c r="B445" s="1" t="s">
        <v>22</v>
      </c>
      <c r="C445" s="11">
        <v>0</v>
      </c>
      <c r="D445" s="11">
        <v>0</v>
      </c>
      <c r="E445" s="2">
        <f t="shared" si="13"/>
        <v>0</v>
      </c>
      <c r="F445" s="11">
        <v>0</v>
      </c>
      <c r="G445" s="14" t="e">
        <f t="shared" si="14"/>
        <v>#DIV/0!</v>
      </c>
    </row>
    <row r="446" spans="1:7">
      <c r="A446" s="1">
        <v>9</v>
      </c>
      <c r="B446" s="1" t="s">
        <v>22</v>
      </c>
      <c r="C446" s="11">
        <v>0</v>
      </c>
      <c r="D446" s="11">
        <v>0</v>
      </c>
      <c r="E446" s="2">
        <f t="shared" si="13"/>
        <v>0</v>
      </c>
      <c r="F446" s="11">
        <v>0</v>
      </c>
      <c r="G446" s="14" t="e">
        <f t="shared" si="14"/>
        <v>#DIV/0!</v>
      </c>
    </row>
    <row r="447" spans="1:7">
      <c r="A447" s="1">
        <v>11</v>
      </c>
      <c r="B447" s="1" t="s">
        <v>22</v>
      </c>
      <c r="C447" s="11">
        <v>0</v>
      </c>
      <c r="D447" s="11">
        <v>0</v>
      </c>
      <c r="E447" s="2">
        <f t="shared" si="13"/>
        <v>0</v>
      </c>
      <c r="F447" s="11">
        <v>0</v>
      </c>
      <c r="G447" s="14" t="e">
        <f t="shared" si="14"/>
        <v>#DIV/0!</v>
      </c>
    </row>
    <row r="448" spans="1:7">
      <c r="A448" s="1">
        <v>12</v>
      </c>
      <c r="B448" s="1" t="s">
        <v>22</v>
      </c>
      <c r="C448" s="11">
        <v>0</v>
      </c>
      <c r="D448" s="11">
        <v>0</v>
      </c>
      <c r="E448" s="2">
        <f t="shared" si="13"/>
        <v>0</v>
      </c>
      <c r="F448" s="11">
        <v>0</v>
      </c>
      <c r="G448" s="14" t="e">
        <f t="shared" si="14"/>
        <v>#DIV/0!</v>
      </c>
    </row>
    <row r="449" spans="1:7">
      <c r="A449" s="1">
        <v>13</v>
      </c>
      <c r="B449" s="1" t="s">
        <v>22</v>
      </c>
      <c r="C449" s="11">
        <v>0</v>
      </c>
      <c r="D449" s="11">
        <v>0</v>
      </c>
      <c r="E449" s="2">
        <f t="shared" si="13"/>
        <v>0</v>
      </c>
      <c r="F449" s="11">
        <v>0</v>
      </c>
      <c r="G449" s="14" t="e">
        <f t="shared" si="14"/>
        <v>#DIV/0!</v>
      </c>
    </row>
    <row r="450" spans="1:7">
      <c r="A450" s="1">
        <v>14</v>
      </c>
      <c r="B450" s="1" t="s">
        <v>22</v>
      </c>
      <c r="C450" s="11">
        <v>0</v>
      </c>
      <c r="D450" s="11">
        <v>0</v>
      </c>
      <c r="E450" s="2">
        <f t="shared" si="13"/>
        <v>0</v>
      </c>
      <c r="F450" s="11">
        <v>0</v>
      </c>
      <c r="G450" s="14" t="e">
        <f t="shared" si="14"/>
        <v>#DIV/0!</v>
      </c>
    </row>
    <row r="451" spans="1:7">
      <c r="A451" s="1">
        <v>15</v>
      </c>
      <c r="B451" s="1" t="s">
        <v>22</v>
      </c>
      <c r="C451" s="11">
        <v>0</v>
      </c>
      <c r="D451" s="11">
        <v>0</v>
      </c>
      <c r="E451" s="2">
        <f t="shared" si="13"/>
        <v>0</v>
      </c>
      <c r="F451" s="11">
        <v>0</v>
      </c>
      <c r="G451" s="14" t="e">
        <f t="shared" si="14"/>
        <v>#DIV/0!</v>
      </c>
    </row>
    <row r="452" spans="1:7">
      <c r="A452" s="1">
        <v>16</v>
      </c>
      <c r="B452" s="1" t="s">
        <v>22</v>
      </c>
      <c r="C452" s="11">
        <v>0</v>
      </c>
      <c r="D452" s="11">
        <v>0</v>
      </c>
      <c r="E452" s="2">
        <f t="shared" ref="E452:E515" si="15">C452-D452</f>
        <v>0</v>
      </c>
      <c r="F452" s="11">
        <v>0</v>
      </c>
      <c r="G452" s="14" t="e">
        <f t="shared" si="14"/>
        <v>#DIV/0!</v>
      </c>
    </row>
    <row r="453" spans="1:7">
      <c r="A453" s="1">
        <v>17</v>
      </c>
      <c r="B453" s="1" t="s">
        <v>22</v>
      </c>
      <c r="C453" s="11">
        <v>0</v>
      </c>
      <c r="D453" s="11">
        <v>0</v>
      </c>
      <c r="E453" s="2">
        <f t="shared" si="15"/>
        <v>0</v>
      </c>
      <c r="F453" s="11">
        <v>0</v>
      </c>
      <c r="G453" s="14" t="e">
        <f t="shared" si="14"/>
        <v>#DIV/0!</v>
      </c>
    </row>
    <row r="454" spans="1:7">
      <c r="A454" s="1">
        <v>18</v>
      </c>
      <c r="B454" s="1" t="s">
        <v>22</v>
      </c>
      <c r="C454" s="11">
        <v>0</v>
      </c>
      <c r="D454" s="11">
        <v>0</v>
      </c>
      <c r="E454" s="2">
        <f t="shared" si="15"/>
        <v>0</v>
      </c>
      <c r="F454" s="11">
        <v>0</v>
      </c>
      <c r="G454" s="14" t="e">
        <f t="shared" si="14"/>
        <v>#DIV/0!</v>
      </c>
    </row>
    <row r="455" spans="1:7">
      <c r="A455" s="1">
        <v>19</v>
      </c>
      <c r="B455" s="1" t="s">
        <v>22</v>
      </c>
      <c r="C455" s="11">
        <v>0</v>
      </c>
      <c r="D455" s="11">
        <v>0</v>
      </c>
      <c r="E455" s="2">
        <f t="shared" si="15"/>
        <v>0</v>
      </c>
      <c r="F455" s="11">
        <v>0</v>
      </c>
      <c r="G455" s="14" t="e">
        <f t="shared" si="14"/>
        <v>#DIV/0!</v>
      </c>
    </row>
    <row r="456" spans="1:7">
      <c r="A456" s="1">
        <v>20</v>
      </c>
      <c r="B456" s="1" t="s">
        <v>22</v>
      </c>
      <c r="C456" s="11">
        <v>0</v>
      </c>
      <c r="D456" s="11">
        <v>0</v>
      </c>
      <c r="E456" s="2">
        <f t="shared" si="15"/>
        <v>0</v>
      </c>
      <c r="F456" s="11">
        <v>0</v>
      </c>
      <c r="G456" s="14" t="e">
        <f t="shared" si="14"/>
        <v>#DIV/0!</v>
      </c>
    </row>
    <row r="457" spans="1:7">
      <c r="A457" s="1">
        <v>21</v>
      </c>
      <c r="B457" s="1" t="s">
        <v>22</v>
      </c>
      <c r="C457" s="11">
        <v>0</v>
      </c>
      <c r="D457" s="11">
        <v>0</v>
      </c>
      <c r="E457" s="2">
        <f t="shared" si="15"/>
        <v>0</v>
      </c>
      <c r="F457" s="11">
        <v>0</v>
      </c>
      <c r="G457" s="14" t="e">
        <f t="shared" si="14"/>
        <v>#DIV/0!</v>
      </c>
    </row>
    <row r="458" spans="1:7">
      <c r="A458" s="1">
        <v>22</v>
      </c>
      <c r="B458" s="1" t="s">
        <v>22</v>
      </c>
      <c r="C458" s="11">
        <v>0</v>
      </c>
      <c r="D458" s="11">
        <v>0</v>
      </c>
      <c r="E458" s="2">
        <f t="shared" si="15"/>
        <v>0</v>
      </c>
      <c r="F458" s="11">
        <v>0</v>
      </c>
      <c r="G458" s="14" t="e">
        <f t="shared" si="14"/>
        <v>#DIV/0!</v>
      </c>
    </row>
    <row r="459" spans="1:7">
      <c r="A459" s="1">
        <v>23</v>
      </c>
      <c r="B459" s="1" t="s">
        <v>22</v>
      </c>
      <c r="C459" s="11">
        <v>0</v>
      </c>
      <c r="D459" s="11">
        <v>0</v>
      </c>
      <c r="E459" s="2">
        <f t="shared" si="15"/>
        <v>0</v>
      </c>
      <c r="F459" s="11">
        <v>0</v>
      </c>
      <c r="G459" s="3" t="e">
        <f t="shared" si="14"/>
        <v>#DIV/0!</v>
      </c>
    </row>
    <row r="460" spans="1:7">
      <c r="A460" s="1">
        <v>24</v>
      </c>
      <c r="B460" s="1" t="s">
        <v>22</v>
      </c>
      <c r="C460" s="11">
        <v>0</v>
      </c>
      <c r="D460" s="11">
        <v>0</v>
      </c>
      <c r="E460" s="2">
        <f t="shared" si="15"/>
        <v>0</v>
      </c>
      <c r="F460" s="11">
        <v>0</v>
      </c>
      <c r="G460" s="3" t="e">
        <f t="shared" si="14"/>
        <v>#DIV/0!</v>
      </c>
    </row>
    <row r="461" spans="1:7">
      <c r="A461" s="1">
        <v>25</v>
      </c>
      <c r="B461" s="1" t="s">
        <v>22</v>
      </c>
      <c r="C461" s="11">
        <v>0</v>
      </c>
      <c r="D461" s="11">
        <v>0</v>
      </c>
      <c r="E461" s="2">
        <f t="shared" si="15"/>
        <v>0</v>
      </c>
      <c r="F461" s="11">
        <v>0</v>
      </c>
      <c r="G461" s="3" t="e">
        <f t="shared" si="14"/>
        <v>#DIV/0!</v>
      </c>
    </row>
    <row r="462" spans="1:7">
      <c r="A462" s="1">
        <v>26</v>
      </c>
      <c r="B462" s="1" t="s">
        <v>22</v>
      </c>
      <c r="C462" s="11">
        <v>0</v>
      </c>
      <c r="D462" s="11">
        <v>0</v>
      </c>
      <c r="E462" s="2">
        <f t="shared" si="15"/>
        <v>0</v>
      </c>
      <c r="F462" s="11">
        <v>0</v>
      </c>
      <c r="G462" s="14" t="e">
        <f t="shared" si="14"/>
        <v>#DIV/0!</v>
      </c>
    </row>
    <row r="463" spans="1:7">
      <c r="A463" s="1">
        <v>27</v>
      </c>
      <c r="B463" s="1" t="s">
        <v>22</v>
      </c>
      <c r="C463" s="11">
        <v>0</v>
      </c>
      <c r="D463" s="11">
        <v>0</v>
      </c>
      <c r="E463" s="2">
        <f t="shared" si="15"/>
        <v>0</v>
      </c>
      <c r="F463" s="11">
        <v>0</v>
      </c>
      <c r="G463" s="14" t="e">
        <f t="shared" si="14"/>
        <v>#DIV/0!</v>
      </c>
    </row>
    <row r="464" spans="1:7">
      <c r="A464" s="1">
        <v>28</v>
      </c>
      <c r="B464" s="1" t="s">
        <v>22</v>
      </c>
      <c r="C464" s="11">
        <v>0</v>
      </c>
      <c r="D464" s="11">
        <v>0</v>
      </c>
      <c r="E464" s="2">
        <f t="shared" si="15"/>
        <v>0</v>
      </c>
      <c r="F464" s="11">
        <v>0</v>
      </c>
      <c r="G464" s="14" t="e">
        <f t="shared" si="14"/>
        <v>#DIV/0!</v>
      </c>
    </row>
    <row r="465" spans="1:7">
      <c r="A465" s="1">
        <v>29</v>
      </c>
      <c r="B465" s="1" t="s">
        <v>22</v>
      </c>
      <c r="C465" s="11">
        <v>0</v>
      </c>
      <c r="D465" s="11">
        <v>0</v>
      </c>
      <c r="E465" s="2">
        <f t="shared" si="15"/>
        <v>0</v>
      </c>
      <c r="F465" s="11">
        <v>0</v>
      </c>
      <c r="G465" s="14" t="e">
        <f t="shared" si="14"/>
        <v>#DIV/0!</v>
      </c>
    </row>
    <row r="466" spans="1:7">
      <c r="A466" s="1">
        <v>30</v>
      </c>
      <c r="B466" s="1" t="s">
        <v>22</v>
      </c>
      <c r="C466" s="11">
        <v>0</v>
      </c>
      <c r="D466" s="11">
        <v>0</v>
      </c>
      <c r="E466" s="2">
        <f t="shared" si="15"/>
        <v>0</v>
      </c>
      <c r="F466" s="11">
        <v>0</v>
      </c>
      <c r="G466" s="14" t="e">
        <f t="shared" si="14"/>
        <v>#DIV/0!</v>
      </c>
    </row>
    <row r="467" spans="1:7">
      <c r="A467" s="1">
        <v>31</v>
      </c>
      <c r="B467" s="1" t="s">
        <v>22</v>
      </c>
      <c r="C467" s="11">
        <v>0</v>
      </c>
      <c r="D467" s="11">
        <v>0</v>
      </c>
      <c r="E467" s="2">
        <f t="shared" si="15"/>
        <v>0</v>
      </c>
      <c r="F467" s="11">
        <v>0</v>
      </c>
      <c r="G467" s="14" t="e">
        <f t="shared" si="14"/>
        <v>#DIV/0!</v>
      </c>
    </row>
    <row r="468" spans="1:7">
      <c r="A468" s="1">
        <v>1</v>
      </c>
      <c r="B468" s="1" t="s">
        <v>23</v>
      </c>
      <c r="C468" s="11">
        <v>0</v>
      </c>
      <c r="D468" s="11">
        <v>0</v>
      </c>
      <c r="E468" s="2">
        <f t="shared" si="15"/>
        <v>0</v>
      </c>
      <c r="F468" s="11">
        <v>7.8E-2</v>
      </c>
      <c r="G468" s="14" t="e">
        <f t="shared" si="14"/>
        <v>#DIV/0!</v>
      </c>
    </row>
    <row r="469" spans="1:7">
      <c r="A469" s="1">
        <v>2</v>
      </c>
      <c r="B469" s="1" t="s">
        <v>23</v>
      </c>
      <c r="C469" s="11">
        <v>22.122</v>
      </c>
      <c r="D469" s="11">
        <v>21.86</v>
      </c>
      <c r="E469" s="2">
        <f t="shared" si="15"/>
        <v>0.26200000000000045</v>
      </c>
      <c r="F469" s="11">
        <v>0.12</v>
      </c>
      <c r="G469" s="14">
        <f t="shared" si="14"/>
        <v>1.7267878130367981E-2</v>
      </c>
    </row>
    <row r="470" spans="1:7">
      <c r="A470" s="1">
        <v>3</v>
      </c>
      <c r="B470" s="1" t="s">
        <v>23</v>
      </c>
      <c r="C470" s="11">
        <v>50.411999999999999</v>
      </c>
      <c r="D470" s="11">
        <v>50.04</v>
      </c>
      <c r="E470" s="2">
        <f t="shared" si="15"/>
        <v>0.37199999999999989</v>
      </c>
      <c r="F470" s="11">
        <v>0.10199999999999999</v>
      </c>
      <c r="G470" s="14">
        <f t="shared" si="14"/>
        <v>9.4025232087598162E-3</v>
      </c>
    </row>
    <row r="471" spans="1:7">
      <c r="A471" s="1">
        <v>4</v>
      </c>
      <c r="B471" s="1" t="s">
        <v>23</v>
      </c>
      <c r="C471" s="11">
        <v>0</v>
      </c>
      <c r="D471" s="11">
        <v>0</v>
      </c>
      <c r="E471" s="2">
        <f t="shared" si="15"/>
        <v>0</v>
      </c>
      <c r="F471" s="11">
        <v>0.11</v>
      </c>
      <c r="G471" s="14" t="e">
        <f t="shared" si="14"/>
        <v>#DIV/0!</v>
      </c>
    </row>
    <row r="472" spans="1:7">
      <c r="A472" s="1">
        <v>5</v>
      </c>
      <c r="B472" s="1" t="s">
        <v>23</v>
      </c>
      <c r="C472" s="11">
        <v>45.045999999999999</v>
      </c>
      <c r="D472" s="11">
        <v>44.54</v>
      </c>
      <c r="E472" s="2">
        <f t="shared" si="15"/>
        <v>0.50600000000000023</v>
      </c>
      <c r="F472" s="11">
        <v>0.16800000000000001</v>
      </c>
      <c r="G472" s="14">
        <f t="shared" si="14"/>
        <v>1.4962482795364744E-2</v>
      </c>
    </row>
    <row r="473" spans="1:7">
      <c r="A473" s="1">
        <v>6</v>
      </c>
      <c r="B473" s="1" t="s">
        <v>23</v>
      </c>
      <c r="C473" s="11">
        <v>0</v>
      </c>
      <c r="D473" s="11">
        <v>0</v>
      </c>
      <c r="E473" s="2">
        <f t="shared" si="15"/>
        <v>0</v>
      </c>
      <c r="F473" s="11">
        <v>6.6000000000000003E-2</v>
      </c>
      <c r="G473" s="14" t="e">
        <f t="shared" si="14"/>
        <v>#DIV/0!</v>
      </c>
    </row>
    <row r="474" spans="1:7">
      <c r="A474" s="1">
        <v>7</v>
      </c>
      <c r="B474" s="1" t="s">
        <v>23</v>
      </c>
      <c r="C474" s="11">
        <v>0</v>
      </c>
      <c r="D474" s="11">
        <v>0</v>
      </c>
      <c r="E474" s="2">
        <f t="shared" si="15"/>
        <v>0</v>
      </c>
      <c r="F474" s="11">
        <v>0.16800000000000001</v>
      </c>
      <c r="G474" s="14" t="e">
        <f t="shared" si="14"/>
        <v>#DIV/0!</v>
      </c>
    </row>
    <row r="475" spans="1:7">
      <c r="A475" s="1">
        <v>10</v>
      </c>
      <c r="B475" s="1" t="s">
        <v>23</v>
      </c>
      <c r="C475" s="11">
        <v>0</v>
      </c>
      <c r="D475" s="11">
        <v>0</v>
      </c>
      <c r="E475" s="2">
        <f t="shared" si="15"/>
        <v>0</v>
      </c>
      <c r="F475" s="11">
        <v>0.10199999999999999</v>
      </c>
      <c r="G475" s="14" t="e">
        <f t="shared" si="14"/>
        <v>#DIV/0!</v>
      </c>
    </row>
    <row r="476" spans="1:7">
      <c r="A476" s="1">
        <v>8</v>
      </c>
      <c r="B476" s="1" t="s">
        <v>23</v>
      </c>
      <c r="C476" s="11">
        <v>0</v>
      </c>
      <c r="D476" s="11">
        <v>0</v>
      </c>
      <c r="E476" s="2">
        <f t="shared" si="15"/>
        <v>0</v>
      </c>
      <c r="F476" s="11">
        <v>0.32600000000000001</v>
      </c>
      <c r="G476" s="14" t="e">
        <f t="shared" si="14"/>
        <v>#DIV/0!</v>
      </c>
    </row>
    <row r="477" spans="1:7">
      <c r="A477" s="1">
        <v>9</v>
      </c>
      <c r="B477" s="1" t="s">
        <v>23</v>
      </c>
      <c r="C477" s="11">
        <v>0</v>
      </c>
      <c r="D477" s="11">
        <v>0</v>
      </c>
      <c r="E477" s="2">
        <f t="shared" si="15"/>
        <v>0</v>
      </c>
      <c r="F477" s="11">
        <v>0.10199999999999999</v>
      </c>
      <c r="G477" s="14" t="e">
        <f t="shared" si="14"/>
        <v>#DIV/0!</v>
      </c>
    </row>
    <row r="478" spans="1:7">
      <c r="A478" s="1">
        <v>11</v>
      </c>
      <c r="B478" s="1" t="s">
        <v>23</v>
      </c>
      <c r="C478" s="11">
        <v>0</v>
      </c>
      <c r="D478" s="11">
        <v>0</v>
      </c>
      <c r="E478" s="2">
        <f t="shared" si="15"/>
        <v>0</v>
      </c>
      <c r="F478" s="11">
        <v>0.10199999999999999</v>
      </c>
      <c r="G478" s="14" t="e">
        <f t="shared" si="14"/>
        <v>#DIV/0!</v>
      </c>
    </row>
    <row r="479" spans="1:7">
      <c r="A479" s="1">
        <v>12</v>
      </c>
      <c r="B479" s="1" t="s">
        <v>23</v>
      </c>
      <c r="C479" s="11">
        <v>38.44</v>
      </c>
      <c r="D479" s="11">
        <v>38.229999999999997</v>
      </c>
      <c r="E479" s="2">
        <f t="shared" si="15"/>
        <v>0.21000000000000085</v>
      </c>
      <c r="F479" s="11">
        <v>0.10199999999999999</v>
      </c>
      <c r="G479" s="14">
        <f t="shared" si="14"/>
        <v>8.1165452653486174E-3</v>
      </c>
    </row>
    <row r="480" spans="1:7">
      <c r="A480" s="1">
        <v>13</v>
      </c>
      <c r="B480" s="1" t="s">
        <v>23</v>
      </c>
      <c r="C480" s="11">
        <v>24.448</v>
      </c>
      <c r="D480" s="11">
        <v>24.23</v>
      </c>
      <c r="E480" s="2">
        <f t="shared" si="15"/>
        <v>0.21799999999999997</v>
      </c>
      <c r="F480" s="11">
        <v>0</v>
      </c>
      <c r="G480" s="14">
        <f t="shared" si="14"/>
        <v>8.9168848167539248E-3</v>
      </c>
    </row>
    <row r="481" spans="1:7">
      <c r="A481" s="1">
        <v>14</v>
      </c>
      <c r="B481" s="1" t="s">
        <v>23</v>
      </c>
      <c r="C481" s="11">
        <v>0</v>
      </c>
      <c r="D481" s="11">
        <v>0</v>
      </c>
      <c r="E481" s="2">
        <f t="shared" si="15"/>
        <v>0</v>
      </c>
      <c r="F481" s="11">
        <v>0.11</v>
      </c>
      <c r="G481" s="14" t="e">
        <f t="shared" si="14"/>
        <v>#DIV/0!</v>
      </c>
    </row>
    <row r="482" spans="1:7">
      <c r="A482" s="1">
        <v>15</v>
      </c>
      <c r="B482" s="1" t="s">
        <v>23</v>
      </c>
      <c r="C482" s="11">
        <v>0</v>
      </c>
      <c r="D482" s="11">
        <v>0</v>
      </c>
      <c r="E482" s="2">
        <f t="shared" si="15"/>
        <v>0</v>
      </c>
      <c r="F482" s="11">
        <v>4.5999999999999999E-2</v>
      </c>
      <c r="G482" s="14" t="e">
        <f t="shared" si="14"/>
        <v>#DIV/0!</v>
      </c>
    </row>
    <row r="483" spans="1:7">
      <c r="A483" s="1">
        <v>16</v>
      </c>
      <c r="B483" s="1" t="s">
        <v>23</v>
      </c>
      <c r="C483" s="11">
        <v>0</v>
      </c>
      <c r="D483" s="11">
        <v>0</v>
      </c>
      <c r="E483" s="2">
        <f t="shared" si="15"/>
        <v>0</v>
      </c>
      <c r="F483" s="11">
        <v>6.4000000000000001E-2</v>
      </c>
      <c r="G483" s="14" t="e">
        <f t="shared" si="14"/>
        <v>#DIV/0!</v>
      </c>
    </row>
    <row r="484" spans="1:7">
      <c r="A484" s="1">
        <v>17</v>
      </c>
      <c r="B484" s="1" t="s">
        <v>23</v>
      </c>
      <c r="C484" s="11">
        <v>0</v>
      </c>
      <c r="D484" s="11">
        <v>0</v>
      </c>
      <c r="E484" s="2">
        <f t="shared" si="15"/>
        <v>0</v>
      </c>
      <c r="F484" s="11">
        <v>0.14599999999999999</v>
      </c>
      <c r="G484" s="14" t="e">
        <f t="shared" si="14"/>
        <v>#DIV/0!</v>
      </c>
    </row>
    <row r="485" spans="1:7">
      <c r="A485" s="1">
        <v>18</v>
      </c>
      <c r="B485" s="1" t="s">
        <v>23</v>
      </c>
      <c r="C485" s="11">
        <v>22.75</v>
      </c>
      <c r="D485" s="11">
        <v>22.58</v>
      </c>
      <c r="E485" s="2">
        <f t="shared" si="15"/>
        <v>0.17000000000000171</v>
      </c>
      <c r="F485" s="11">
        <v>0</v>
      </c>
      <c r="G485" s="14">
        <f t="shared" ref="G485:G548" si="16">(E485+F485)/C485</f>
        <v>7.4725274725275471E-3</v>
      </c>
    </row>
    <row r="486" spans="1:7">
      <c r="A486" s="1">
        <v>19</v>
      </c>
      <c r="B486" s="1" t="s">
        <v>23</v>
      </c>
      <c r="C486" s="11">
        <v>0</v>
      </c>
      <c r="D486" s="11">
        <v>0</v>
      </c>
      <c r="E486" s="2">
        <f t="shared" si="15"/>
        <v>0</v>
      </c>
      <c r="F486" s="11">
        <v>0.11799999999999999</v>
      </c>
      <c r="G486" s="14" t="e">
        <f t="shared" si="16"/>
        <v>#DIV/0!</v>
      </c>
    </row>
    <row r="487" spans="1:7">
      <c r="A487" s="1">
        <v>20</v>
      </c>
      <c r="B487" s="1" t="s">
        <v>23</v>
      </c>
      <c r="C487" s="11">
        <v>19.96</v>
      </c>
      <c r="D487" s="11">
        <v>19.760000000000002</v>
      </c>
      <c r="E487" s="2">
        <f t="shared" si="15"/>
        <v>0.19999999999999929</v>
      </c>
      <c r="F487" s="11">
        <v>0.158</v>
      </c>
      <c r="G487" s="14">
        <f t="shared" si="16"/>
        <v>1.7935871743486938E-2</v>
      </c>
    </row>
    <row r="488" spans="1:7">
      <c r="A488" s="1">
        <v>21</v>
      </c>
      <c r="B488" s="1" t="s">
        <v>23</v>
      </c>
      <c r="C488" s="11">
        <v>27.15</v>
      </c>
      <c r="D488" s="11">
        <v>26.86</v>
      </c>
      <c r="E488" s="2">
        <f t="shared" si="15"/>
        <v>0.28999999999999915</v>
      </c>
      <c r="F488" s="11">
        <v>0.17</v>
      </c>
      <c r="G488" s="14">
        <f t="shared" si="16"/>
        <v>1.6942909760589289E-2</v>
      </c>
    </row>
    <row r="489" spans="1:7">
      <c r="A489" s="1">
        <v>22</v>
      </c>
      <c r="B489" s="1" t="s">
        <v>23</v>
      </c>
      <c r="C489" s="11">
        <v>65.305999999999997</v>
      </c>
      <c r="D489" s="11">
        <v>64.34</v>
      </c>
      <c r="E489" s="2">
        <f t="shared" si="15"/>
        <v>0.96599999999999397</v>
      </c>
      <c r="F489" s="11">
        <v>7.1999999999999995E-2</v>
      </c>
      <c r="G489" s="14">
        <f t="shared" si="16"/>
        <v>1.5894404802008912E-2</v>
      </c>
    </row>
    <row r="490" spans="1:7">
      <c r="A490" s="1">
        <v>23</v>
      </c>
      <c r="B490" s="1" t="s">
        <v>23</v>
      </c>
      <c r="C490" s="11">
        <v>0</v>
      </c>
      <c r="D490" s="11">
        <v>0</v>
      </c>
      <c r="E490" s="2">
        <f t="shared" si="15"/>
        <v>0</v>
      </c>
      <c r="F490" s="11">
        <v>7.1999999999999995E-2</v>
      </c>
      <c r="G490" s="3" t="e">
        <f t="shared" si="16"/>
        <v>#DIV/0!</v>
      </c>
    </row>
    <row r="491" spans="1:7">
      <c r="A491" s="1">
        <v>24</v>
      </c>
      <c r="B491" s="1" t="s">
        <v>23</v>
      </c>
      <c r="C491" s="11">
        <v>0</v>
      </c>
      <c r="D491" s="11">
        <v>0</v>
      </c>
      <c r="E491" s="2">
        <f t="shared" si="15"/>
        <v>0</v>
      </c>
      <c r="F491" s="11">
        <v>0.28799999999999998</v>
      </c>
      <c r="G491" s="3" t="e">
        <f t="shared" si="16"/>
        <v>#DIV/0!</v>
      </c>
    </row>
    <row r="492" spans="1:7">
      <c r="A492" s="1">
        <v>25</v>
      </c>
      <c r="B492" s="1" t="s">
        <v>23</v>
      </c>
      <c r="C492" s="11">
        <v>0</v>
      </c>
      <c r="D492" s="11">
        <v>0</v>
      </c>
      <c r="E492" s="2">
        <f t="shared" si="15"/>
        <v>0</v>
      </c>
      <c r="F492" s="11">
        <v>0.114</v>
      </c>
      <c r="G492" s="3" t="e">
        <f t="shared" si="16"/>
        <v>#DIV/0!</v>
      </c>
    </row>
    <row r="493" spans="1:7">
      <c r="A493" s="1">
        <v>26</v>
      </c>
      <c r="B493" s="1" t="s">
        <v>23</v>
      </c>
      <c r="C493" s="11">
        <v>20.99</v>
      </c>
      <c r="D493" s="11">
        <v>20.72</v>
      </c>
      <c r="E493" s="2">
        <f t="shared" si="15"/>
        <v>0.26999999999999957</v>
      </c>
      <c r="F493" s="11">
        <v>0.114</v>
      </c>
      <c r="G493" s="14">
        <f t="shared" si="16"/>
        <v>1.8294425917103362E-2</v>
      </c>
    </row>
    <row r="494" spans="1:7">
      <c r="A494" s="1">
        <v>27</v>
      </c>
      <c r="B494" s="1" t="s">
        <v>23</v>
      </c>
      <c r="C494" s="11">
        <v>0</v>
      </c>
      <c r="D494" s="11">
        <v>0</v>
      </c>
      <c r="E494" s="2">
        <f t="shared" si="15"/>
        <v>0</v>
      </c>
      <c r="F494" s="11">
        <v>0.03</v>
      </c>
      <c r="G494" s="14" t="e">
        <f t="shared" si="16"/>
        <v>#DIV/0!</v>
      </c>
    </row>
    <row r="495" spans="1:7">
      <c r="A495" s="1">
        <v>28</v>
      </c>
      <c r="B495" s="1" t="s">
        <v>23</v>
      </c>
      <c r="C495" s="11">
        <v>21.33</v>
      </c>
      <c r="D495" s="11">
        <v>21.08</v>
      </c>
      <c r="E495" s="2">
        <f t="shared" si="15"/>
        <v>0.25</v>
      </c>
      <c r="F495" s="11">
        <v>0.11600000000000001</v>
      </c>
      <c r="G495" s="14">
        <f t="shared" si="16"/>
        <v>1.7158931082981718E-2</v>
      </c>
    </row>
    <row r="496" spans="1:7">
      <c r="A496" s="1">
        <v>29</v>
      </c>
      <c r="B496" s="1" t="s">
        <v>23</v>
      </c>
      <c r="C496" s="11">
        <v>0</v>
      </c>
      <c r="D496" s="11">
        <v>0</v>
      </c>
      <c r="E496" s="2">
        <f t="shared" si="15"/>
        <v>0</v>
      </c>
      <c r="F496" s="11">
        <v>0.34200000000000003</v>
      </c>
      <c r="G496" s="14" t="e">
        <f t="shared" si="16"/>
        <v>#DIV/0!</v>
      </c>
    </row>
    <row r="497" spans="1:7">
      <c r="A497" s="1">
        <v>30</v>
      </c>
      <c r="B497" s="1" t="s">
        <v>23</v>
      </c>
      <c r="C497" s="11">
        <v>0</v>
      </c>
      <c r="D497" s="11">
        <v>0</v>
      </c>
      <c r="E497" s="2">
        <f t="shared" si="15"/>
        <v>0</v>
      </c>
      <c r="F497" s="11">
        <v>0.2</v>
      </c>
      <c r="G497" s="14" t="e">
        <f t="shared" si="16"/>
        <v>#DIV/0!</v>
      </c>
    </row>
    <row r="498" spans="1:7">
      <c r="A498" s="1">
        <v>31</v>
      </c>
      <c r="B498" s="1" t="s">
        <v>23</v>
      </c>
      <c r="C498" s="11">
        <v>43.53</v>
      </c>
      <c r="D498" s="11">
        <v>43.09</v>
      </c>
      <c r="E498" s="2">
        <f t="shared" si="15"/>
        <v>0.43999999999999773</v>
      </c>
      <c r="F498" s="11">
        <v>0.11</v>
      </c>
      <c r="G498" s="14">
        <f t="shared" si="16"/>
        <v>1.2634964392373023E-2</v>
      </c>
    </row>
    <row r="499" spans="1:7">
      <c r="A499" s="1">
        <v>1</v>
      </c>
      <c r="B499" s="1" t="s">
        <v>24</v>
      </c>
      <c r="C499" s="11">
        <v>21.62</v>
      </c>
      <c r="D499" s="11">
        <v>21.53</v>
      </c>
      <c r="E499" s="2">
        <f t="shared" si="15"/>
        <v>8.9999999999999858E-2</v>
      </c>
      <c r="F499" s="11">
        <v>0.215</v>
      </c>
      <c r="G499" s="14">
        <f t="shared" si="16"/>
        <v>1.41073080481036E-2</v>
      </c>
    </row>
    <row r="500" spans="1:7">
      <c r="A500" s="1">
        <v>2</v>
      </c>
      <c r="B500" s="1" t="s">
        <v>24</v>
      </c>
      <c r="C500" s="11">
        <v>0</v>
      </c>
      <c r="D500" s="11">
        <v>0</v>
      </c>
      <c r="E500" s="2">
        <f t="shared" si="15"/>
        <v>0</v>
      </c>
      <c r="F500" s="11">
        <v>0</v>
      </c>
      <c r="G500" s="14" t="e">
        <f t="shared" si="16"/>
        <v>#DIV/0!</v>
      </c>
    </row>
    <row r="501" spans="1:7">
      <c r="A501" s="1">
        <v>3</v>
      </c>
      <c r="B501" s="1" t="s">
        <v>24</v>
      </c>
      <c r="C501" s="11">
        <v>26.43</v>
      </c>
      <c r="D501" s="11">
        <v>26.36</v>
      </c>
      <c r="E501" s="2">
        <f t="shared" si="15"/>
        <v>7.0000000000000284E-2</v>
      </c>
      <c r="F501" s="11">
        <v>0.38</v>
      </c>
      <c r="G501" s="14">
        <f t="shared" si="16"/>
        <v>1.7026106696935311E-2</v>
      </c>
    </row>
    <row r="502" spans="1:7">
      <c r="A502" s="1">
        <v>4</v>
      </c>
      <c r="B502" s="1" t="s">
        <v>24</v>
      </c>
      <c r="C502" s="11">
        <v>0</v>
      </c>
      <c r="D502" s="11">
        <v>0</v>
      </c>
      <c r="E502" s="2">
        <f t="shared" si="15"/>
        <v>0</v>
      </c>
      <c r="F502" s="11">
        <v>0.17</v>
      </c>
      <c r="G502" s="14" t="e">
        <f t="shared" si="16"/>
        <v>#DIV/0!</v>
      </c>
    </row>
    <row r="503" spans="1:7">
      <c r="A503" s="1">
        <v>5</v>
      </c>
      <c r="B503" s="1" t="s">
        <v>24</v>
      </c>
      <c r="C503" s="11">
        <v>20.92</v>
      </c>
      <c r="D503" s="11">
        <v>19.989999999999998</v>
      </c>
      <c r="E503" s="2">
        <f t="shared" si="15"/>
        <v>0.93000000000000327</v>
      </c>
      <c r="F503" s="11">
        <v>0</v>
      </c>
      <c r="G503" s="14">
        <f t="shared" si="16"/>
        <v>4.4455066921606272E-2</v>
      </c>
    </row>
    <row r="504" spans="1:7">
      <c r="A504" s="1">
        <v>6</v>
      </c>
      <c r="B504" s="1" t="s">
        <v>24</v>
      </c>
      <c r="C504" s="11">
        <v>0</v>
      </c>
      <c r="D504" s="11">
        <v>0</v>
      </c>
      <c r="E504" s="2">
        <f t="shared" si="15"/>
        <v>0</v>
      </c>
      <c r="F504" s="11">
        <v>0</v>
      </c>
      <c r="G504" s="14" t="e">
        <f t="shared" si="16"/>
        <v>#DIV/0!</v>
      </c>
    </row>
    <row r="505" spans="1:7">
      <c r="A505" s="1">
        <v>7</v>
      </c>
      <c r="B505" s="1" t="s">
        <v>24</v>
      </c>
      <c r="C505" s="11">
        <v>0</v>
      </c>
      <c r="D505" s="11">
        <v>0</v>
      </c>
      <c r="E505" s="2">
        <f t="shared" si="15"/>
        <v>0</v>
      </c>
      <c r="F505" s="11">
        <v>0</v>
      </c>
      <c r="G505" s="14" t="e">
        <f t="shared" si="16"/>
        <v>#DIV/0!</v>
      </c>
    </row>
    <row r="506" spans="1:7">
      <c r="A506" s="1">
        <v>10</v>
      </c>
      <c r="B506" s="1" t="s">
        <v>24</v>
      </c>
      <c r="C506" s="11">
        <v>0</v>
      </c>
      <c r="D506" s="11">
        <v>0</v>
      </c>
      <c r="E506" s="2">
        <f t="shared" si="15"/>
        <v>0</v>
      </c>
      <c r="F506" s="11">
        <v>-0.06</v>
      </c>
      <c r="G506" s="14" t="e">
        <f t="shared" si="16"/>
        <v>#DIV/0!</v>
      </c>
    </row>
    <row r="507" spans="1:7">
      <c r="A507" s="1">
        <v>8</v>
      </c>
      <c r="B507" s="1" t="s">
        <v>24</v>
      </c>
      <c r="C507" s="11">
        <v>24.5</v>
      </c>
      <c r="D507" s="11">
        <v>24.44</v>
      </c>
      <c r="E507" s="2">
        <f t="shared" si="15"/>
        <v>5.9999999999998721E-2</v>
      </c>
      <c r="F507" s="11">
        <v>0</v>
      </c>
      <c r="G507" s="14">
        <f t="shared" si="16"/>
        <v>2.4489795918366825E-3</v>
      </c>
    </row>
    <row r="508" spans="1:7">
      <c r="A508" s="1">
        <v>9</v>
      </c>
      <c r="B508" s="1" t="s">
        <v>24</v>
      </c>
      <c r="C508" s="11">
        <v>0</v>
      </c>
      <c r="D508" s="11">
        <v>0</v>
      </c>
      <c r="E508" s="2">
        <f t="shared" si="15"/>
        <v>0</v>
      </c>
      <c r="F508" s="11">
        <v>0</v>
      </c>
      <c r="G508" s="14" t="e">
        <f t="shared" si="16"/>
        <v>#DIV/0!</v>
      </c>
    </row>
    <row r="509" spans="1:7">
      <c r="A509" s="1">
        <v>11</v>
      </c>
      <c r="B509" s="1" t="s">
        <v>24</v>
      </c>
      <c r="C509" s="11">
        <v>0</v>
      </c>
      <c r="D509" s="11">
        <v>0</v>
      </c>
      <c r="E509" s="2">
        <f t="shared" si="15"/>
        <v>0</v>
      </c>
      <c r="F509" s="11">
        <v>0</v>
      </c>
      <c r="G509" s="14" t="e">
        <f t="shared" si="16"/>
        <v>#DIV/0!</v>
      </c>
    </row>
    <row r="510" spans="1:7">
      <c r="A510" s="1">
        <v>12</v>
      </c>
      <c r="B510" s="1" t="s">
        <v>24</v>
      </c>
      <c r="C510" s="11">
        <v>17.2</v>
      </c>
      <c r="D510" s="11">
        <v>16.89</v>
      </c>
      <c r="E510" s="2">
        <f t="shared" si="15"/>
        <v>0.30999999999999872</v>
      </c>
      <c r="F510" s="11">
        <v>2.5000000000000001E-2</v>
      </c>
      <c r="G510" s="14">
        <f t="shared" si="16"/>
        <v>1.9476744186046439E-2</v>
      </c>
    </row>
    <row r="511" spans="1:7">
      <c r="A511" s="1">
        <v>13</v>
      </c>
      <c r="B511" s="1" t="s">
        <v>24</v>
      </c>
      <c r="C511" s="11">
        <v>0</v>
      </c>
      <c r="D511" s="11">
        <v>0</v>
      </c>
      <c r="E511" s="2">
        <f t="shared" si="15"/>
        <v>0</v>
      </c>
      <c r="F511" s="11">
        <v>0</v>
      </c>
      <c r="G511" s="14" t="e">
        <f t="shared" si="16"/>
        <v>#DIV/0!</v>
      </c>
    </row>
    <row r="512" spans="1:7">
      <c r="A512" s="1">
        <v>14</v>
      </c>
      <c r="B512" s="1" t="s">
        <v>24</v>
      </c>
      <c r="C512" s="11">
        <v>0</v>
      </c>
      <c r="D512" s="11">
        <v>0</v>
      </c>
      <c r="E512" s="2">
        <f t="shared" si="15"/>
        <v>0</v>
      </c>
      <c r="F512" s="11">
        <v>0</v>
      </c>
      <c r="G512" s="14" t="e">
        <f t="shared" si="16"/>
        <v>#DIV/0!</v>
      </c>
    </row>
    <row r="513" spans="1:7">
      <c r="A513" s="1">
        <v>15</v>
      </c>
      <c r="B513" s="1" t="s">
        <v>24</v>
      </c>
      <c r="C513" s="11">
        <v>23.76</v>
      </c>
      <c r="D513" s="11">
        <v>23.68</v>
      </c>
      <c r="E513" s="2">
        <f t="shared" si="15"/>
        <v>8.0000000000001847E-2</v>
      </c>
      <c r="F513" s="11">
        <v>0.35499999999999998</v>
      </c>
      <c r="G513" s="14">
        <f t="shared" si="16"/>
        <v>1.8308080808080884E-2</v>
      </c>
    </row>
    <row r="514" spans="1:7">
      <c r="A514" s="1">
        <v>16</v>
      </c>
      <c r="B514" s="1" t="s">
        <v>24</v>
      </c>
      <c r="C514" s="11">
        <v>0</v>
      </c>
      <c r="D514" s="11">
        <v>0</v>
      </c>
      <c r="E514" s="2">
        <f t="shared" si="15"/>
        <v>0</v>
      </c>
      <c r="F514" s="11">
        <v>0.02</v>
      </c>
      <c r="G514" s="14" t="e">
        <f t="shared" si="16"/>
        <v>#DIV/0!</v>
      </c>
    </row>
    <row r="515" spans="1:7">
      <c r="A515" s="1">
        <v>17</v>
      </c>
      <c r="B515" s="1" t="s">
        <v>24</v>
      </c>
      <c r="C515" s="11">
        <v>0</v>
      </c>
      <c r="D515" s="11">
        <v>0</v>
      </c>
      <c r="E515" s="2">
        <f t="shared" si="15"/>
        <v>0</v>
      </c>
      <c r="F515" s="11">
        <v>0</v>
      </c>
      <c r="G515" s="14" t="e">
        <f t="shared" si="16"/>
        <v>#DIV/0!</v>
      </c>
    </row>
    <row r="516" spans="1:7">
      <c r="A516" s="1">
        <v>18</v>
      </c>
      <c r="B516" s="1" t="s">
        <v>24</v>
      </c>
      <c r="C516" s="11">
        <v>16.399999999999999</v>
      </c>
      <c r="D516" s="11">
        <v>16.29</v>
      </c>
      <c r="E516" s="2">
        <f t="shared" ref="E516:E579" si="17">C516-D516</f>
        <v>0.10999999999999943</v>
      </c>
      <c r="F516" s="11">
        <v>0.49</v>
      </c>
      <c r="G516" s="14">
        <f t="shared" si="16"/>
        <v>3.6585365853658507E-2</v>
      </c>
    </row>
    <row r="517" spans="1:7">
      <c r="A517" s="1">
        <v>19</v>
      </c>
      <c r="B517" s="1" t="s">
        <v>24</v>
      </c>
      <c r="C517" s="11">
        <v>0</v>
      </c>
      <c r="D517" s="11">
        <v>0</v>
      </c>
      <c r="E517" s="2">
        <f t="shared" si="17"/>
        <v>0</v>
      </c>
      <c r="F517" s="11">
        <v>0</v>
      </c>
      <c r="G517" s="14" t="e">
        <f t="shared" si="16"/>
        <v>#DIV/0!</v>
      </c>
    </row>
    <row r="518" spans="1:7">
      <c r="A518" s="1">
        <v>20</v>
      </c>
      <c r="B518" s="1" t="s">
        <v>24</v>
      </c>
      <c r="C518" s="11">
        <v>23.96</v>
      </c>
      <c r="D518" s="11">
        <v>23.73</v>
      </c>
      <c r="E518" s="2">
        <f t="shared" si="17"/>
        <v>0.23000000000000043</v>
      </c>
      <c r="F518" s="11">
        <v>0.218</v>
      </c>
      <c r="G518" s="14">
        <f t="shared" si="16"/>
        <v>1.8697829716193673E-2</v>
      </c>
    </row>
    <row r="519" spans="1:7">
      <c r="A519" s="1">
        <v>21</v>
      </c>
      <c r="B519" s="1" t="s">
        <v>24</v>
      </c>
      <c r="C519" s="11">
        <v>0</v>
      </c>
      <c r="D519" s="11">
        <v>0</v>
      </c>
      <c r="E519" s="2">
        <f t="shared" si="17"/>
        <v>0</v>
      </c>
      <c r="F519" s="11">
        <v>0</v>
      </c>
      <c r="G519" s="14" t="e">
        <f t="shared" si="16"/>
        <v>#DIV/0!</v>
      </c>
    </row>
    <row r="520" spans="1:7">
      <c r="A520" s="1">
        <v>22</v>
      </c>
      <c r="B520" s="1" t="s">
        <v>24</v>
      </c>
      <c r="C520" s="11">
        <v>0</v>
      </c>
      <c r="D520" s="11">
        <v>0</v>
      </c>
      <c r="E520" s="2">
        <f t="shared" si="17"/>
        <v>0</v>
      </c>
      <c r="F520" s="11">
        <v>0</v>
      </c>
      <c r="G520" s="14" t="e">
        <f t="shared" si="16"/>
        <v>#DIV/0!</v>
      </c>
    </row>
    <row r="521" spans="1:7">
      <c r="A521" s="1">
        <v>23</v>
      </c>
      <c r="B521" s="1" t="s">
        <v>24</v>
      </c>
      <c r="C521" s="11">
        <v>0</v>
      </c>
      <c r="D521" s="11">
        <v>0</v>
      </c>
      <c r="E521" s="2">
        <f t="shared" si="17"/>
        <v>0</v>
      </c>
      <c r="F521" s="11">
        <v>0</v>
      </c>
      <c r="G521" s="3" t="e">
        <f t="shared" si="16"/>
        <v>#DIV/0!</v>
      </c>
    </row>
    <row r="522" spans="1:7">
      <c r="A522" s="1">
        <v>24</v>
      </c>
      <c r="B522" s="1" t="s">
        <v>24</v>
      </c>
      <c r="C522" s="11">
        <v>21.3</v>
      </c>
      <c r="D522" s="11">
        <v>21.01</v>
      </c>
      <c r="E522" s="2">
        <f t="shared" si="17"/>
        <v>0.28999999999999915</v>
      </c>
      <c r="F522" s="11">
        <v>0.112</v>
      </c>
      <c r="G522" s="3">
        <f t="shared" si="16"/>
        <v>1.8873239436619678E-2</v>
      </c>
    </row>
    <row r="523" spans="1:7">
      <c r="A523" s="1">
        <v>25</v>
      </c>
      <c r="B523" s="1" t="s">
        <v>24</v>
      </c>
      <c r="C523" s="11">
        <v>0</v>
      </c>
      <c r="D523" s="11">
        <v>0</v>
      </c>
      <c r="E523" s="2">
        <f t="shared" si="17"/>
        <v>0</v>
      </c>
      <c r="F523" s="11">
        <v>0</v>
      </c>
      <c r="G523" s="3" t="e">
        <f t="shared" si="16"/>
        <v>#DIV/0!</v>
      </c>
    </row>
    <row r="524" spans="1:7">
      <c r="A524" s="1">
        <v>26</v>
      </c>
      <c r="B524" s="1" t="s">
        <v>24</v>
      </c>
      <c r="C524" s="11">
        <v>29.64</v>
      </c>
      <c r="D524" s="11">
        <v>29.57</v>
      </c>
      <c r="E524" s="2">
        <f t="shared" si="17"/>
        <v>7.0000000000000284E-2</v>
      </c>
      <c r="F524" s="11">
        <v>0.375</v>
      </c>
      <c r="G524" s="14">
        <f t="shared" si="16"/>
        <v>1.5013495276653181E-2</v>
      </c>
    </row>
    <row r="525" spans="1:7">
      <c r="A525" s="1">
        <v>27</v>
      </c>
      <c r="B525" s="1" t="s">
        <v>24</v>
      </c>
      <c r="C525" s="11">
        <v>0</v>
      </c>
      <c r="D525" s="11">
        <v>0</v>
      </c>
      <c r="E525" s="2">
        <f t="shared" si="17"/>
        <v>0</v>
      </c>
      <c r="F525" s="11">
        <v>0</v>
      </c>
      <c r="G525" s="14" t="e">
        <f t="shared" si="16"/>
        <v>#DIV/0!</v>
      </c>
    </row>
    <row r="526" spans="1:7">
      <c r="A526" s="1">
        <v>28</v>
      </c>
      <c r="B526" s="1" t="s">
        <v>24</v>
      </c>
      <c r="C526" s="11">
        <v>0</v>
      </c>
      <c r="D526" s="11">
        <v>0</v>
      </c>
      <c r="E526" s="2">
        <f t="shared" si="17"/>
        <v>0</v>
      </c>
      <c r="F526" s="11">
        <v>0.17499999999999999</v>
      </c>
      <c r="G526" s="14" t="e">
        <f t="shared" si="16"/>
        <v>#DIV/0!</v>
      </c>
    </row>
    <row r="527" spans="1:7">
      <c r="A527" s="1">
        <v>29</v>
      </c>
      <c r="B527" s="1" t="s">
        <v>24</v>
      </c>
      <c r="C527" s="11">
        <v>0</v>
      </c>
      <c r="D527" s="11">
        <v>0</v>
      </c>
      <c r="E527" s="2">
        <f t="shared" si="17"/>
        <v>0</v>
      </c>
      <c r="F527" s="11">
        <v>0</v>
      </c>
      <c r="G527" s="14" t="e">
        <f t="shared" si="16"/>
        <v>#DIV/0!</v>
      </c>
    </row>
    <row r="528" spans="1:7">
      <c r="A528" s="1">
        <v>30</v>
      </c>
      <c r="B528" s="1" t="s">
        <v>24</v>
      </c>
      <c r="C528" s="11">
        <v>0</v>
      </c>
      <c r="D528" s="11">
        <v>0</v>
      </c>
      <c r="E528" s="2">
        <f t="shared" si="17"/>
        <v>0</v>
      </c>
      <c r="F528" s="11">
        <v>0</v>
      </c>
      <c r="G528" s="14" t="e">
        <f t="shared" si="16"/>
        <v>#DIV/0!</v>
      </c>
    </row>
    <row r="529" spans="1:7">
      <c r="A529" s="1">
        <v>31</v>
      </c>
      <c r="B529" s="1" t="s">
        <v>24</v>
      </c>
      <c r="C529" s="11">
        <v>21.82</v>
      </c>
      <c r="D529" s="11">
        <v>21.68</v>
      </c>
      <c r="E529" s="2">
        <f t="shared" si="17"/>
        <v>0.14000000000000057</v>
      </c>
      <c r="F529" s="11">
        <v>0.215</v>
      </c>
      <c r="G529" s="14">
        <f t="shared" si="16"/>
        <v>1.6269477543538063E-2</v>
      </c>
    </row>
    <row r="530" spans="1:7">
      <c r="A530" s="1">
        <v>1</v>
      </c>
      <c r="B530" s="1" t="s">
        <v>25</v>
      </c>
      <c r="C530" s="11">
        <v>0</v>
      </c>
      <c r="D530" s="11">
        <v>0</v>
      </c>
      <c r="E530" s="2">
        <f t="shared" si="17"/>
        <v>0</v>
      </c>
      <c r="F530" s="11">
        <v>-0.622</v>
      </c>
      <c r="G530" s="14" t="e">
        <f t="shared" si="16"/>
        <v>#DIV/0!</v>
      </c>
    </row>
    <row r="531" spans="1:7">
      <c r="A531" s="1">
        <v>2</v>
      </c>
      <c r="B531" s="1" t="s">
        <v>25</v>
      </c>
      <c r="C531" s="11">
        <v>0</v>
      </c>
      <c r="D531" s="11">
        <v>0</v>
      </c>
      <c r="E531" s="2">
        <f t="shared" si="17"/>
        <v>0</v>
      </c>
      <c r="F531" s="11">
        <v>0</v>
      </c>
      <c r="G531" s="14" t="e">
        <f t="shared" si="16"/>
        <v>#DIV/0!</v>
      </c>
    </row>
    <row r="532" spans="1:7">
      <c r="A532" s="1">
        <v>3</v>
      </c>
      <c r="B532" s="1" t="s">
        <v>25</v>
      </c>
      <c r="C532" s="11">
        <v>28.43</v>
      </c>
      <c r="D532" s="11">
        <v>28.3</v>
      </c>
      <c r="E532" s="2">
        <f t="shared" si="17"/>
        <v>0.12999999999999901</v>
      </c>
      <c r="F532" s="11">
        <v>0.129</v>
      </c>
      <c r="G532" s="14">
        <f t="shared" si="16"/>
        <v>9.1100949701019701E-3</v>
      </c>
    </row>
    <row r="533" spans="1:7">
      <c r="A533" s="1">
        <v>4</v>
      </c>
      <c r="B533" s="1" t="s">
        <v>25</v>
      </c>
      <c r="C533" s="11">
        <v>25.55</v>
      </c>
      <c r="D533" s="11">
        <v>25.29</v>
      </c>
      <c r="E533" s="2">
        <f t="shared" si="17"/>
        <v>0.26000000000000156</v>
      </c>
      <c r="F533" s="11">
        <v>0.13900000000000001</v>
      </c>
      <c r="G533" s="14">
        <f t="shared" si="16"/>
        <v>1.5616438356164445E-2</v>
      </c>
    </row>
    <row r="534" spans="1:7">
      <c r="A534" s="1">
        <v>5</v>
      </c>
      <c r="B534" s="1" t="s">
        <v>25</v>
      </c>
      <c r="C534" s="11">
        <v>53.414000000000001</v>
      </c>
      <c r="D534" s="11">
        <v>52.540000000000006</v>
      </c>
      <c r="E534" s="2">
        <f t="shared" si="17"/>
        <v>0.87399999999999523</v>
      </c>
      <c r="F534" s="11">
        <v>0.11110000000000753</v>
      </c>
      <c r="G534" s="14">
        <f t="shared" si="16"/>
        <v>1.844273037031495E-2</v>
      </c>
    </row>
    <row r="535" spans="1:7">
      <c r="A535" s="1">
        <v>6</v>
      </c>
      <c r="B535" s="1" t="s">
        <v>25</v>
      </c>
      <c r="C535" s="11">
        <v>0</v>
      </c>
      <c r="D535" s="11">
        <v>0</v>
      </c>
      <c r="E535" s="2">
        <f t="shared" si="17"/>
        <v>0</v>
      </c>
      <c r="F535" s="11">
        <v>0.124</v>
      </c>
      <c r="G535" s="14" t="e">
        <f t="shared" si="16"/>
        <v>#DIV/0!</v>
      </c>
    </row>
    <row r="536" spans="1:7">
      <c r="A536" s="1">
        <v>7</v>
      </c>
      <c r="B536" s="1" t="s">
        <v>25</v>
      </c>
      <c r="C536" s="11">
        <v>0</v>
      </c>
      <c r="D536" s="11">
        <v>0</v>
      </c>
      <c r="E536" s="2">
        <f t="shared" si="17"/>
        <v>0</v>
      </c>
      <c r="F536" s="11">
        <v>0.122</v>
      </c>
      <c r="G536" s="14" t="e">
        <f t="shared" si="16"/>
        <v>#DIV/0!</v>
      </c>
    </row>
    <row r="537" spans="1:7">
      <c r="A537" s="1">
        <v>10</v>
      </c>
      <c r="B537" s="1" t="s">
        <v>25</v>
      </c>
      <c r="C537" s="11">
        <v>19.079999999999998</v>
      </c>
      <c r="D537" s="11">
        <v>19.07</v>
      </c>
      <c r="E537" s="2">
        <f t="shared" si="17"/>
        <v>9.9999999999980105E-3</v>
      </c>
      <c r="F537" s="11">
        <v>0.10400000000000631</v>
      </c>
      <c r="G537" s="14">
        <f t="shared" si="16"/>
        <v>5.9748427672958243E-3</v>
      </c>
    </row>
    <row r="538" spans="1:7">
      <c r="A538" s="1">
        <v>8</v>
      </c>
      <c r="B538" s="1" t="s">
        <v>25</v>
      </c>
      <c r="C538" s="11">
        <v>26.67</v>
      </c>
      <c r="D538" s="11">
        <v>26.43</v>
      </c>
      <c r="E538" s="2">
        <f t="shared" si="17"/>
        <v>0.24000000000000199</v>
      </c>
      <c r="F538" s="11">
        <v>7.3999999999999996E-2</v>
      </c>
      <c r="G538" s="14">
        <f t="shared" si="16"/>
        <v>1.1773528308961454E-2</v>
      </c>
    </row>
    <row r="539" spans="1:7">
      <c r="A539" s="1">
        <v>9</v>
      </c>
      <c r="B539" s="1" t="s">
        <v>25</v>
      </c>
      <c r="C539" s="11">
        <v>0</v>
      </c>
      <c r="D539" s="11">
        <v>0</v>
      </c>
      <c r="E539" s="2">
        <f t="shared" si="17"/>
        <v>0</v>
      </c>
      <c r="F539" s="11">
        <v>6.0099999999991383E-2</v>
      </c>
      <c r="G539" s="14" t="e">
        <f t="shared" si="16"/>
        <v>#DIV/0!</v>
      </c>
    </row>
    <row r="540" spans="1:7">
      <c r="A540" s="1">
        <v>11</v>
      </c>
      <c r="B540" s="1" t="s">
        <v>25</v>
      </c>
      <c r="C540" s="11">
        <v>0</v>
      </c>
      <c r="D540" s="11">
        <v>0</v>
      </c>
      <c r="E540" s="2">
        <f t="shared" si="17"/>
        <v>0</v>
      </c>
      <c r="F540" s="11">
        <v>0.13400000000000001</v>
      </c>
      <c r="G540" s="14" t="e">
        <f t="shared" si="16"/>
        <v>#DIV/0!</v>
      </c>
    </row>
    <row r="541" spans="1:7">
      <c r="A541" s="1">
        <v>12</v>
      </c>
      <c r="B541" s="1" t="s">
        <v>25</v>
      </c>
      <c r="C541" s="11">
        <v>16.260000000000002</v>
      </c>
      <c r="D541" s="11">
        <v>15.72</v>
      </c>
      <c r="E541" s="2">
        <f t="shared" si="17"/>
        <v>0.54000000000000092</v>
      </c>
      <c r="F541" s="11">
        <v>9.8000000000000004E-2</v>
      </c>
      <c r="G541" s="14">
        <f t="shared" si="16"/>
        <v>3.9237392373923791E-2</v>
      </c>
    </row>
    <row r="542" spans="1:7">
      <c r="A542" s="1">
        <v>13</v>
      </c>
      <c r="B542" s="1" t="s">
        <v>25</v>
      </c>
      <c r="C542" s="11">
        <v>0</v>
      </c>
      <c r="D542" s="11">
        <v>0</v>
      </c>
      <c r="E542" s="2">
        <f t="shared" si="17"/>
        <v>0</v>
      </c>
      <c r="F542" s="11">
        <v>0.121</v>
      </c>
      <c r="G542" s="14" t="e">
        <f t="shared" si="16"/>
        <v>#DIV/0!</v>
      </c>
    </row>
    <row r="543" spans="1:7">
      <c r="A543" s="1">
        <v>14</v>
      </c>
      <c r="B543" s="1" t="s">
        <v>25</v>
      </c>
      <c r="C543" s="11">
        <v>23.45</v>
      </c>
      <c r="D543" s="11">
        <v>23.32</v>
      </c>
      <c r="E543" s="2">
        <f t="shared" si="17"/>
        <v>0.12999999999999901</v>
      </c>
      <c r="F543" s="11">
        <v>0.123</v>
      </c>
      <c r="G543" s="14">
        <f t="shared" si="16"/>
        <v>1.0788912579957314E-2</v>
      </c>
    </row>
    <row r="544" spans="1:7">
      <c r="A544" s="1">
        <v>15</v>
      </c>
      <c r="B544" s="1" t="s">
        <v>25</v>
      </c>
      <c r="C544" s="11">
        <v>26.27</v>
      </c>
      <c r="D544" s="11">
        <v>25.92</v>
      </c>
      <c r="E544" s="2">
        <f t="shared" si="17"/>
        <v>0.34999999999999787</v>
      </c>
      <c r="F544" s="11">
        <v>9.5000000000000001E-2</v>
      </c>
      <c r="G544" s="14">
        <f t="shared" si="16"/>
        <v>1.6939474685953478E-2</v>
      </c>
    </row>
    <row r="545" spans="1:7">
      <c r="A545" s="1">
        <v>16</v>
      </c>
      <c r="B545" s="1" t="s">
        <v>25</v>
      </c>
      <c r="C545" s="11">
        <v>0</v>
      </c>
      <c r="D545" s="11">
        <v>0</v>
      </c>
      <c r="E545" s="2">
        <f t="shared" si="17"/>
        <v>0</v>
      </c>
      <c r="F545" s="11">
        <v>6.3E-2</v>
      </c>
      <c r="G545" s="14" t="e">
        <f t="shared" si="16"/>
        <v>#DIV/0!</v>
      </c>
    </row>
    <row r="546" spans="1:7">
      <c r="A546" s="1">
        <v>17</v>
      </c>
      <c r="B546" s="1" t="s">
        <v>25</v>
      </c>
      <c r="C546" s="11">
        <v>20.25</v>
      </c>
      <c r="D546" s="11">
        <v>19.899999999999999</v>
      </c>
      <c r="E546" s="2">
        <f t="shared" si="17"/>
        <v>0.35000000000000142</v>
      </c>
      <c r="F546" s="11">
        <v>0</v>
      </c>
      <c r="G546" s="14">
        <f t="shared" si="16"/>
        <v>1.7283950617284022E-2</v>
      </c>
    </row>
    <row r="547" spans="1:7">
      <c r="A547" s="1">
        <v>18</v>
      </c>
      <c r="B547" s="1" t="s">
        <v>25</v>
      </c>
      <c r="C547" s="11">
        <v>0</v>
      </c>
      <c r="D547" s="11">
        <v>0</v>
      </c>
      <c r="E547" s="2">
        <f t="shared" si="17"/>
        <v>0</v>
      </c>
      <c r="F547" s="11">
        <v>0.111</v>
      </c>
      <c r="G547" s="14" t="e">
        <f t="shared" si="16"/>
        <v>#DIV/0!</v>
      </c>
    </row>
    <row r="548" spans="1:7">
      <c r="A548" s="1">
        <v>19</v>
      </c>
      <c r="B548" s="1" t="s">
        <v>25</v>
      </c>
      <c r="C548" s="11">
        <v>20.5</v>
      </c>
      <c r="D548" s="11">
        <v>19.510000000000002</v>
      </c>
      <c r="E548" s="2">
        <f t="shared" si="17"/>
        <v>0.98999999999999844</v>
      </c>
      <c r="F548" s="11">
        <v>6.9000000000000006E-2</v>
      </c>
      <c r="G548" s="14">
        <f t="shared" si="16"/>
        <v>5.1658536585365775E-2</v>
      </c>
    </row>
    <row r="549" spans="1:7">
      <c r="A549" s="1">
        <v>20</v>
      </c>
      <c r="B549" s="1" t="s">
        <v>25</v>
      </c>
      <c r="C549" s="11">
        <v>21.44</v>
      </c>
      <c r="D549" s="11">
        <v>21.4</v>
      </c>
      <c r="E549" s="2">
        <f t="shared" si="17"/>
        <v>4.00000000000027E-2</v>
      </c>
      <c r="F549" s="11">
        <v>0.08</v>
      </c>
      <c r="G549" s="14">
        <f t="shared" ref="G549:G612" si="18">(E549+F549)/C549</f>
        <v>5.5970149253732598E-3</v>
      </c>
    </row>
    <row r="550" spans="1:7">
      <c r="A550" s="1">
        <v>21</v>
      </c>
      <c r="B550" s="1" t="s">
        <v>25</v>
      </c>
      <c r="C550" s="11">
        <v>22.02</v>
      </c>
      <c r="D550" s="11">
        <v>20.68</v>
      </c>
      <c r="E550" s="2">
        <f t="shared" si="17"/>
        <v>1.3399999999999999</v>
      </c>
      <c r="F550" s="11">
        <v>6.6000000000000003E-2</v>
      </c>
      <c r="G550" s="14">
        <f t="shared" si="18"/>
        <v>6.3851044504995458E-2</v>
      </c>
    </row>
    <row r="551" spans="1:7">
      <c r="A551" s="1">
        <v>22</v>
      </c>
      <c r="B551" s="1" t="s">
        <v>25</v>
      </c>
      <c r="C551" s="11">
        <v>0</v>
      </c>
      <c r="D551" s="11">
        <v>0</v>
      </c>
      <c r="E551" s="2">
        <f t="shared" si="17"/>
        <v>0</v>
      </c>
      <c r="F551" s="11">
        <v>4.2999999999999997E-2</v>
      </c>
      <c r="G551" s="14" t="e">
        <f t="shared" si="18"/>
        <v>#DIV/0!</v>
      </c>
    </row>
    <row r="552" spans="1:7">
      <c r="A552" s="1">
        <v>23</v>
      </c>
      <c r="B552" s="1" t="s">
        <v>25</v>
      </c>
      <c r="C552" s="11">
        <v>0</v>
      </c>
      <c r="D552" s="11">
        <v>0</v>
      </c>
      <c r="E552" s="2">
        <f t="shared" si="17"/>
        <v>0</v>
      </c>
      <c r="F552" s="11">
        <v>5.8999999999999997E-2</v>
      </c>
      <c r="G552" s="3" t="e">
        <f t="shared" si="18"/>
        <v>#DIV/0!</v>
      </c>
    </row>
    <row r="553" spans="1:7">
      <c r="A553" s="1">
        <v>24</v>
      </c>
      <c r="B553" s="1" t="s">
        <v>25</v>
      </c>
      <c r="C553" s="11">
        <v>0</v>
      </c>
      <c r="D553" s="11">
        <v>0</v>
      </c>
      <c r="E553" s="2">
        <f t="shared" si="17"/>
        <v>0</v>
      </c>
      <c r="F553" s="11">
        <v>6.3E-2</v>
      </c>
      <c r="G553" s="3" t="e">
        <f t="shared" si="18"/>
        <v>#DIV/0!</v>
      </c>
    </row>
    <row r="554" spans="1:7">
      <c r="A554" s="1">
        <v>25</v>
      </c>
      <c r="B554" s="1" t="s">
        <v>25</v>
      </c>
      <c r="C554" s="11">
        <v>23.05</v>
      </c>
      <c r="D554" s="11">
        <v>22.76</v>
      </c>
      <c r="E554" s="2">
        <f t="shared" si="17"/>
        <v>0.28999999999999915</v>
      </c>
      <c r="F554" s="11">
        <v>0.123</v>
      </c>
      <c r="G554" s="3">
        <f t="shared" si="18"/>
        <v>1.7917570498915365E-2</v>
      </c>
    </row>
    <row r="555" spans="1:7">
      <c r="A555" s="1">
        <v>26</v>
      </c>
      <c r="B555" s="1" t="s">
        <v>25</v>
      </c>
      <c r="C555" s="11">
        <v>0</v>
      </c>
      <c r="D555" s="11">
        <v>0</v>
      </c>
      <c r="E555" s="2">
        <f t="shared" si="17"/>
        <v>0</v>
      </c>
      <c r="F555" s="11">
        <v>0.128</v>
      </c>
      <c r="G555" s="14" t="e">
        <f t="shared" si="18"/>
        <v>#DIV/0!</v>
      </c>
    </row>
    <row r="556" spans="1:7">
      <c r="A556" s="1">
        <v>27</v>
      </c>
      <c r="B556" s="1" t="s">
        <v>25</v>
      </c>
      <c r="C556" s="11">
        <v>0</v>
      </c>
      <c r="D556" s="11">
        <v>0</v>
      </c>
      <c r="E556" s="2">
        <f t="shared" si="17"/>
        <v>0</v>
      </c>
      <c r="F556" s="11">
        <v>0</v>
      </c>
      <c r="G556" s="14" t="e">
        <f t="shared" si="18"/>
        <v>#DIV/0!</v>
      </c>
    </row>
    <row r="557" spans="1:7">
      <c r="A557" s="1">
        <v>28</v>
      </c>
      <c r="B557" s="1" t="s">
        <v>25</v>
      </c>
      <c r="C557" s="11">
        <v>24.17</v>
      </c>
      <c r="D557" s="11">
        <v>23.98</v>
      </c>
      <c r="E557" s="2">
        <f t="shared" si="17"/>
        <v>0.19000000000000128</v>
      </c>
      <c r="F557" s="11">
        <v>9.0999999999999998E-2</v>
      </c>
      <c r="G557" s="14">
        <f t="shared" si="18"/>
        <v>1.1625982623086522E-2</v>
      </c>
    </row>
    <row r="558" spans="1:7">
      <c r="A558" s="1">
        <v>29</v>
      </c>
      <c r="B558" s="1" t="s">
        <v>25</v>
      </c>
      <c r="C558" s="11">
        <v>20.3</v>
      </c>
      <c r="D558" s="11">
        <v>20.25</v>
      </c>
      <c r="E558" s="2">
        <f t="shared" si="17"/>
        <v>5.0000000000000711E-2</v>
      </c>
      <c r="F558" s="11">
        <v>0.11899999999999999</v>
      </c>
      <c r="G558" s="14">
        <f t="shared" si="18"/>
        <v>8.325123152709394E-3</v>
      </c>
    </row>
    <row r="559" spans="1:7">
      <c r="A559" s="1">
        <v>30</v>
      </c>
      <c r="B559" s="1" t="s">
        <v>25</v>
      </c>
      <c r="C559" s="11">
        <v>19.78</v>
      </c>
      <c r="D559" s="11">
        <v>19.57</v>
      </c>
      <c r="E559" s="2">
        <f t="shared" si="17"/>
        <v>0.21000000000000085</v>
      </c>
      <c r="F559" s="11">
        <v>0.08</v>
      </c>
      <c r="G559" s="14">
        <f t="shared" si="18"/>
        <v>1.4661274014155757E-2</v>
      </c>
    </row>
    <row r="560" spans="1:7">
      <c r="A560" s="1">
        <v>31</v>
      </c>
      <c r="B560" s="1" t="s">
        <v>25</v>
      </c>
      <c r="C560" s="11">
        <v>22.87</v>
      </c>
      <c r="D560" s="11">
        <v>21.7</v>
      </c>
      <c r="E560" s="2">
        <f t="shared" si="17"/>
        <v>1.1700000000000017</v>
      </c>
      <c r="F560" s="11">
        <v>0.113</v>
      </c>
      <c r="G560" s="14">
        <f t="shared" si="18"/>
        <v>5.6099693922168854E-2</v>
      </c>
    </row>
    <row r="561" spans="1:7">
      <c r="A561" s="1">
        <v>1</v>
      </c>
      <c r="B561" s="1" t="s">
        <v>27</v>
      </c>
      <c r="C561" s="11">
        <v>26.07</v>
      </c>
      <c r="D561" s="11">
        <v>25.67</v>
      </c>
      <c r="E561" s="2">
        <f t="shared" si="17"/>
        <v>0.39999999999999858</v>
      </c>
      <c r="F561" s="11">
        <v>0</v>
      </c>
      <c r="G561" s="14">
        <f t="shared" si="18"/>
        <v>1.5343306482546934E-2</v>
      </c>
    </row>
    <row r="562" spans="1:7">
      <c r="A562" s="1">
        <v>2</v>
      </c>
      <c r="B562" s="1" t="s">
        <v>27</v>
      </c>
      <c r="C562" s="11">
        <v>28.53</v>
      </c>
      <c r="D562" s="11">
        <v>28.36</v>
      </c>
      <c r="E562" s="2">
        <f t="shared" si="17"/>
        <v>0.17000000000000171</v>
      </c>
      <c r="F562" s="11">
        <v>0</v>
      </c>
      <c r="G562" s="14">
        <f t="shared" si="18"/>
        <v>5.9586400280407185E-3</v>
      </c>
    </row>
    <row r="563" spans="1:7">
      <c r="A563" s="1">
        <v>3</v>
      </c>
      <c r="B563" s="1" t="s">
        <v>27</v>
      </c>
      <c r="C563" s="11">
        <v>23.68</v>
      </c>
      <c r="D563" s="11">
        <v>23.51</v>
      </c>
      <c r="E563" s="2">
        <f t="shared" si="17"/>
        <v>0.16999999999999815</v>
      </c>
      <c r="F563" s="11">
        <v>0</v>
      </c>
      <c r="G563" s="14">
        <f t="shared" si="18"/>
        <v>7.1790540540539764E-3</v>
      </c>
    </row>
    <row r="564" spans="1:7">
      <c r="A564" s="1">
        <v>4</v>
      </c>
      <c r="B564" s="1" t="s">
        <v>27</v>
      </c>
      <c r="C564" s="11">
        <v>0</v>
      </c>
      <c r="D564" s="11">
        <v>0</v>
      </c>
      <c r="E564" s="2">
        <f t="shared" si="17"/>
        <v>0</v>
      </c>
      <c r="F564" s="11">
        <v>0</v>
      </c>
      <c r="G564" s="14" t="e">
        <f t="shared" si="18"/>
        <v>#DIV/0!</v>
      </c>
    </row>
    <row r="565" spans="1:7">
      <c r="A565" s="1">
        <v>5</v>
      </c>
      <c r="B565" s="1" t="s">
        <v>27</v>
      </c>
      <c r="C565" s="11">
        <v>22.92</v>
      </c>
      <c r="D565" s="11">
        <v>22.69</v>
      </c>
      <c r="E565" s="2">
        <f t="shared" si="17"/>
        <v>0.23000000000000043</v>
      </c>
      <c r="F565" s="11">
        <v>0</v>
      </c>
      <c r="G565" s="14">
        <f t="shared" si="18"/>
        <v>1.0034904013961624E-2</v>
      </c>
    </row>
    <row r="566" spans="1:7">
      <c r="A566" s="1">
        <v>6</v>
      </c>
      <c r="B566" s="1" t="s">
        <v>27</v>
      </c>
      <c r="C566" s="11">
        <v>18.62</v>
      </c>
      <c r="D566" s="11">
        <v>18.53</v>
      </c>
      <c r="E566" s="2">
        <f t="shared" si="17"/>
        <v>8.9999999999999858E-2</v>
      </c>
      <c r="F566" s="11">
        <v>0</v>
      </c>
      <c r="G566" s="14">
        <f t="shared" si="18"/>
        <v>4.833512352309337E-3</v>
      </c>
    </row>
    <row r="567" spans="1:7">
      <c r="A567" s="1">
        <v>7</v>
      </c>
      <c r="B567" s="1" t="s">
        <v>27</v>
      </c>
      <c r="C567" s="11">
        <v>23.7</v>
      </c>
      <c r="D567" s="11">
        <v>23.09</v>
      </c>
      <c r="E567" s="2">
        <f t="shared" si="17"/>
        <v>0.60999999999999943</v>
      </c>
      <c r="F567" s="11">
        <v>0</v>
      </c>
      <c r="G567" s="14">
        <f t="shared" si="18"/>
        <v>2.573839662447255E-2</v>
      </c>
    </row>
    <row r="568" spans="1:7">
      <c r="A568" s="1">
        <v>10</v>
      </c>
      <c r="B568" s="1" t="s">
        <v>27</v>
      </c>
      <c r="C568" s="11">
        <v>21.45</v>
      </c>
      <c r="D568" s="11">
        <v>21.43</v>
      </c>
      <c r="E568" s="2">
        <f t="shared" si="17"/>
        <v>1.9999999999999574E-2</v>
      </c>
      <c r="F568" s="11">
        <v>0</v>
      </c>
      <c r="G568" s="14">
        <f t="shared" si="18"/>
        <v>9.3240093240091256E-4</v>
      </c>
    </row>
    <row r="569" spans="1:7">
      <c r="A569" s="1">
        <v>8</v>
      </c>
      <c r="B569" s="1" t="s">
        <v>27</v>
      </c>
      <c r="C569" s="11">
        <v>23.83</v>
      </c>
      <c r="D569" s="11">
        <v>23.77</v>
      </c>
      <c r="E569" s="2">
        <f t="shared" si="17"/>
        <v>5.9999999999998721E-2</v>
      </c>
      <c r="F569" s="11">
        <v>0</v>
      </c>
      <c r="G569" s="14">
        <f t="shared" si="18"/>
        <v>2.5178346621904627E-3</v>
      </c>
    </row>
    <row r="570" spans="1:7">
      <c r="A570" s="1">
        <v>9</v>
      </c>
      <c r="B570" s="1" t="s">
        <v>27</v>
      </c>
      <c r="C570" s="11">
        <v>47.21</v>
      </c>
      <c r="D570" s="11">
        <v>46.91</v>
      </c>
      <c r="E570" s="2">
        <f t="shared" si="17"/>
        <v>0.30000000000000426</v>
      </c>
      <c r="F570" s="11">
        <v>0</v>
      </c>
      <c r="G570" s="14">
        <f t="shared" si="18"/>
        <v>6.3545858928194081E-3</v>
      </c>
    </row>
    <row r="571" spans="1:7">
      <c r="A571" s="1">
        <v>11</v>
      </c>
      <c r="B571" s="1" t="s">
        <v>27</v>
      </c>
      <c r="C571" s="11">
        <v>22.11</v>
      </c>
      <c r="D571" s="11">
        <v>21.81</v>
      </c>
      <c r="E571" s="2">
        <f t="shared" si="17"/>
        <v>0.30000000000000071</v>
      </c>
      <c r="F571" s="11">
        <v>0</v>
      </c>
      <c r="G571" s="14">
        <f t="shared" si="18"/>
        <v>1.356852103120763E-2</v>
      </c>
    </row>
    <row r="572" spans="1:7">
      <c r="A572" s="1">
        <v>12</v>
      </c>
      <c r="B572" s="1" t="s">
        <v>27</v>
      </c>
      <c r="C572" s="11">
        <v>22.12</v>
      </c>
      <c r="D572" s="11">
        <v>21.45</v>
      </c>
      <c r="E572" s="2">
        <f t="shared" si="17"/>
        <v>0.67000000000000171</v>
      </c>
      <c r="F572" s="11">
        <v>0</v>
      </c>
      <c r="G572" s="14">
        <f t="shared" si="18"/>
        <v>3.028933092224239E-2</v>
      </c>
    </row>
    <row r="573" spans="1:7">
      <c r="A573" s="1">
        <v>13</v>
      </c>
      <c r="B573" s="1" t="s">
        <v>27</v>
      </c>
      <c r="C573" s="11">
        <v>19.28</v>
      </c>
      <c r="D573" s="11">
        <v>19.170000000000002</v>
      </c>
      <c r="E573" s="2">
        <f t="shared" si="17"/>
        <v>0.10999999999999943</v>
      </c>
      <c r="F573" s="11">
        <v>0</v>
      </c>
      <c r="G573" s="14">
        <f t="shared" si="18"/>
        <v>5.7053941908713395E-3</v>
      </c>
    </row>
    <row r="574" spans="1:7">
      <c r="A574" s="1">
        <v>14</v>
      </c>
      <c r="B574" s="1" t="s">
        <v>27</v>
      </c>
      <c r="C574" s="11">
        <v>20.28</v>
      </c>
      <c r="D574" s="11">
        <v>20.23</v>
      </c>
      <c r="E574" s="2">
        <f t="shared" si="17"/>
        <v>5.0000000000000711E-2</v>
      </c>
      <c r="F574" s="11">
        <v>0</v>
      </c>
      <c r="G574" s="14">
        <f t="shared" si="18"/>
        <v>2.4654832347140387E-3</v>
      </c>
    </row>
    <row r="575" spans="1:7">
      <c r="A575" s="1">
        <v>15</v>
      </c>
      <c r="B575" s="1" t="s">
        <v>27</v>
      </c>
      <c r="C575" s="11">
        <v>0</v>
      </c>
      <c r="D575" s="11">
        <v>0</v>
      </c>
      <c r="E575" s="2">
        <f t="shared" si="17"/>
        <v>0</v>
      </c>
      <c r="F575" s="11">
        <v>0</v>
      </c>
      <c r="G575" s="14" t="e">
        <f t="shared" si="18"/>
        <v>#DIV/0!</v>
      </c>
    </row>
    <row r="576" spans="1:7">
      <c r="A576" s="1">
        <v>16</v>
      </c>
      <c r="B576" s="1" t="s">
        <v>27</v>
      </c>
      <c r="C576" s="11">
        <v>52.84</v>
      </c>
      <c r="D576" s="11">
        <v>52.52</v>
      </c>
      <c r="E576" s="2">
        <f t="shared" si="17"/>
        <v>0.32000000000000028</v>
      </c>
      <c r="F576" s="11">
        <v>0</v>
      </c>
      <c r="G576" s="14">
        <f t="shared" si="18"/>
        <v>6.0560181680545094E-3</v>
      </c>
    </row>
    <row r="577" spans="1:7">
      <c r="A577" s="1">
        <v>17</v>
      </c>
      <c r="B577" s="1" t="s">
        <v>27</v>
      </c>
      <c r="C577" s="11">
        <v>50.4</v>
      </c>
      <c r="D577" s="11">
        <v>50.18</v>
      </c>
      <c r="E577" s="2">
        <f t="shared" si="17"/>
        <v>0.21999999999999886</v>
      </c>
      <c r="F577" s="11">
        <v>0</v>
      </c>
      <c r="G577" s="14">
        <f t="shared" si="18"/>
        <v>4.3650793650793426E-3</v>
      </c>
    </row>
    <row r="578" spans="1:7">
      <c r="A578" s="1">
        <v>18</v>
      </c>
      <c r="B578" s="1" t="s">
        <v>27</v>
      </c>
      <c r="C578" s="11">
        <v>0</v>
      </c>
      <c r="D578" s="11">
        <v>0</v>
      </c>
      <c r="E578" s="2">
        <f t="shared" si="17"/>
        <v>0</v>
      </c>
      <c r="F578" s="11">
        <v>0</v>
      </c>
      <c r="G578" s="14" t="e">
        <f t="shared" si="18"/>
        <v>#DIV/0!</v>
      </c>
    </row>
    <row r="579" spans="1:7">
      <c r="A579" s="1">
        <v>19</v>
      </c>
      <c r="B579" s="1" t="s">
        <v>27</v>
      </c>
      <c r="C579" s="11">
        <v>19.53</v>
      </c>
      <c r="D579" s="11">
        <v>19.25</v>
      </c>
      <c r="E579" s="2">
        <f t="shared" si="17"/>
        <v>0.28000000000000114</v>
      </c>
      <c r="F579" s="11">
        <v>0</v>
      </c>
      <c r="G579" s="14">
        <f t="shared" si="18"/>
        <v>1.4336917562724072E-2</v>
      </c>
    </row>
    <row r="580" spans="1:7">
      <c r="A580" s="1">
        <v>20</v>
      </c>
      <c r="B580" s="1" t="s">
        <v>27</v>
      </c>
      <c r="C580" s="11">
        <v>0</v>
      </c>
      <c r="D580" s="11">
        <v>0</v>
      </c>
      <c r="E580" s="2">
        <f t="shared" ref="E580:E643" si="19">C580-D580</f>
        <v>0</v>
      </c>
      <c r="F580" s="11">
        <v>0</v>
      </c>
      <c r="G580" s="14" t="e">
        <f t="shared" si="18"/>
        <v>#DIV/0!</v>
      </c>
    </row>
    <row r="581" spans="1:7">
      <c r="A581" s="1">
        <v>21</v>
      </c>
      <c r="B581" s="1" t="s">
        <v>27</v>
      </c>
      <c r="C581" s="11">
        <v>24</v>
      </c>
      <c r="D581" s="11">
        <v>23.9</v>
      </c>
      <c r="E581" s="2">
        <f t="shared" si="19"/>
        <v>0.10000000000000142</v>
      </c>
      <c r="F581" s="11">
        <v>0</v>
      </c>
      <c r="G581" s="14">
        <f t="shared" si="18"/>
        <v>4.1666666666667256E-3</v>
      </c>
    </row>
    <row r="582" spans="1:7">
      <c r="A582" s="1">
        <v>22</v>
      </c>
      <c r="B582" s="1" t="s">
        <v>27</v>
      </c>
      <c r="C582" s="11">
        <v>0</v>
      </c>
      <c r="D582" s="11">
        <v>0</v>
      </c>
      <c r="E582" s="2">
        <f t="shared" si="19"/>
        <v>0</v>
      </c>
      <c r="F582" s="11">
        <v>0</v>
      </c>
      <c r="G582" s="14" t="e">
        <f t="shared" si="18"/>
        <v>#DIV/0!</v>
      </c>
    </row>
    <row r="583" spans="1:7">
      <c r="A583" s="1">
        <v>23</v>
      </c>
      <c r="B583" s="1" t="s">
        <v>27</v>
      </c>
      <c r="C583" s="11">
        <v>19.82</v>
      </c>
      <c r="D583" s="11">
        <v>19.489999999999998</v>
      </c>
      <c r="E583" s="2">
        <f t="shared" si="19"/>
        <v>0.33000000000000185</v>
      </c>
      <c r="F583" s="11">
        <v>0</v>
      </c>
      <c r="G583" s="3">
        <f t="shared" si="18"/>
        <v>1.6649848637739748E-2</v>
      </c>
    </row>
    <row r="584" spans="1:7">
      <c r="A584" s="1">
        <v>24</v>
      </c>
      <c r="B584" s="1" t="s">
        <v>27</v>
      </c>
      <c r="C584" s="11">
        <v>19.62</v>
      </c>
      <c r="D584" s="11">
        <v>19.350000000000001</v>
      </c>
      <c r="E584" s="2">
        <f t="shared" si="19"/>
        <v>0.26999999999999957</v>
      </c>
      <c r="F584" s="11">
        <v>0</v>
      </c>
      <c r="G584" s="3">
        <f t="shared" si="18"/>
        <v>1.3761467889908235E-2</v>
      </c>
    </row>
    <row r="585" spans="1:7">
      <c r="A585" s="1">
        <v>25</v>
      </c>
      <c r="B585" s="1" t="s">
        <v>27</v>
      </c>
      <c r="C585" s="11">
        <v>0</v>
      </c>
      <c r="D585" s="11">
        <v>0</v>
      </c>
      <c r="E585" s="2">
        <f t="shared" si="19"/>
        <v>0</v>
      </c>
      <c r="F585" s="11">
        <v>0</v>
      </c>
      <c r="G585" s="3" t="e">
        <f t="shared" si="18"/>
        <v>#DIV/0!</v>
      </c>
    </row>
    <row r="586" spans="1:7">
      <c r="A586" s="1">
        <v>26</v>
      </c>
      <c r="B586" s="1" t="s">
        <v>27</v>
      </c>
      <c r="C586" s="11">
        <v>15.52</v>
      </c>
      <c r="D586" s="11">
        <v>15.49</v>
      </c>
      <c r="E586" s="2">
        <f t="shared" si="19"/>
        <v>2.9999999999999361E-2</v>
      </c>
      <c r="F586" s="11">
        <v>0</v>
      </c>
      <c r="G586" s="14">
        <f t="shared" si="18"/>
        <v>1.9329896907216084E-3</v>
      </c>
    </row>
    <row r="587" spans="1:7">
      <c r="A587" s="1">
        <v>27</v>
      </c>
      <c r="B587" s="1" t="s">
        <v>27</v>
      </c>
      <c r="C587" s="11">
        <v>26.97</v>
      </c>
      <c r="D587" s="11">
        <v>26.57</v>
      </c>
      <c r="E587" s="2">
        <f t="shared" si="19"/>
        <v>0.39999999999999858</v>
      </c>
      <c r="F587" s="11">
        <v>0</v>
      </c>
      <c r="G587" s="14">
        <f t="shared" si="18"/>
        <v>1.4831294030404101E-2</v>
      </c>
    </row>
    <row r="588" spans="1:7">
      <c r="A588" s="1">
        <v>28</v>
      </c>
      <c r="B588" s="1" t="s">
        <v>27</v>
      </c>
      <c r="C588" s="11">
        <v>29.07</v>
      </c>
      <c r="D588" s="11">
        <v>28.87</v>
      </c>
      <c r="E588" s="2">
        <f t="shared" si="19"/>
        <v>0.19999999999999929</v>
      </c>
      <c r="F588" s="11">
        <v>0</v>
      </c>
      <c r="G588" s="14">
        <f t="shared" si="18"/>
        <v>6.8799449604402922E-3</v>
      </c>
    </row>
    <row r="589" spans="1:7">
      <c r="A589" s="1">
        <v>29</v>
      </c>
      <c r="B589" s="1" t="s">
        <v>27</v>
      </c>
      <c r="C589" s="11">
        <v>0</v>
      </c>
      <c r="D589" s="11">
        <v>0</v>
      </c>
      <c r="E589" s="2">
        <f t="shared" si="19"/>
        <v>0</v>
      </c>
      <c r="F589" s="11">
        <v>0</v>
      </c>
      <c r="G589" s="14" t="e">
        <f t="shared" si="18"/>
        <v>#DIV/0!</v>
      </c>
    </row>
    <row r="590" spans="1:7">
      <c r="A590" s="1">
        <v>30</v>
      </c>
      <c r="B590" s="1" t="s">
        <v>27</v>
      </c>
      <c r="C590" s="11">
        <v>0</v>
      </c>
      <c r="D590" s="11">
        <v>0</v>
      </c>
      <c r="E590" s="2">
        <f t="shared" si="19"/>
        <v>0</v>
      </c>
      <c r="F590" s="11">
        <v>9.8000000000000004E-2</v>
      </c>
      <c r="G590" s="14" t="e">
        <f t="shared" si="18"/>
        <v>#DIV/0!</v>
      </c>
    </row>
    <row r="591" spans="1:7">
      <c r="A591" s="1">
        <v>31</v>
      </c>
      <c r="B591" s="1" t="s">
        <v>27</v>
      </c>
      <c r="C591" s="11">
        <v>26.53</v>
      </c>
      <c r="D591" s="11">
        <v>26.47</v>
      </c>
      <c r="E591" s="2">
        <f t="shared" si="19"/>
        <v>6.0000000000002274E-2</v>
      </c>
      <c r="F591" s="11">
        <v>0</v>
      </c>
      <c r="G591" s="14">
        <f t="shared" si="18"/>
        <v>2.261590652092057E-3</v>
      </c>
    </row>
    <row r="592" spans="1:7">
      <c r="A592" s="1">
        <v>1</v>
      </c>
      <c r="B592" s="1" t="s">
        <v>26</v>
      </c>
      <c r="C592" s="11">
        <v>0</v>
      </c>
      <c r="D592" s="11">
        <v>0</v>
      </c>
      <c r="E592" s="2">
        <f t="shared" si="19"/>
        <v>0</v>
      </c>
      <c r="F592" s="11">
        <v>0.18999999999999773</v>
      </c>
      <c r="G592" s="14" t="e">
        <f t="shared" si="18"/>
        <v>#DIV/0!</v>
      </c>
    </row>
    <row r="593" spans="1:7">
      <c r="A593" s="1">
        <v>2</v>
      </c>
      <c r="B593" s="1" t="s">
        <v>26</v>
      </c>
      <c r="C593" s="11">
        <v>0</v>
      </c>
      <c r="D593" s="11">
        <v>0</v>
      </c>
      <c r="E593" s="2">
        <f t="shared" si="19"/>
        <v>0</v>
      </c>
      <c r="F593" s="11">
        <v>0.121</v>
      </c>
      <c r="G593" s="14" t="e">
        <f t="shared" si="18"/>
        <v>#DIV/0!</v>
      </c>
    </row>
    <row r="594" spans="1:7">
      <c r="A594" s="1">
        <v>3</v>
      </c>
      <c r="B594" s="1" t="s">
        <v>26</v>
      </c>
      <c r="C594" s="11">
        <v>0</v>
      </c>
      <c r="D594" s="11">
        <v>0</v>
      </c>
      <c r="E594" s="2">
        <f t="shared" si="19"/>
        <v>0</v>
      </c>
      <c r="F594" s="11">
        <v>7.0000000000000007E-2</v>
      </c>
      <c r="G594" s="14" t="e">
        <f t="shared" si="18"/>
        <v>#DIV/0!</v>
      </c>
    </row>
    <row r="595" spans="1:7">
      <c r="A595" s="1">
        <v>4</v>
      </c>
      <c r="B595" s="1" t="s">
        <v>26</v>
      </c>
      <c r="C595" s="11">
        <v>0</v>
      </c>
      <c r="D595" s="11">
        <v>0</v>
      </c>
      <c r="E595" s="2">
        <f t="shared" si="19"/>
        <v>0</v>
      </c>
      <c r="F595" s="11">
        <v>0.104</v>
      </c>
      <c r="G595" s="14" t="e">
        <f t="shared" si="18"/>
        <v>#DIV/0!</v>
      </c>
    </row>
    <row r="596" spans="1:7">
      <c r="A596" s="1">
        <v>5</v>
      </c>
      <c r="B596" s="1" t="s">
        <v>26</v>
      </c>
      <c r="C596" s="11">
        <v>0</v>
      </c>
      <c r="D596" s="11">
        <v>0</v>
      </c>
      <c r="E596" s="2">
        <f t="shared" si="19"/>
        <v>0</v>
      </c>
      <c r="F596" s="11">
        <v>7.0000000000000007E-2</v>
      </c>
      <c r="G596" s="14" t="e">
        <f t="shared" si="18"/>
        <v>#DIV/0!</v>
      </c>
    </row>
    <row r="597" spans="1:7">
      <c r="A597" s="1">
        <v>6</v>
      </c>
      <c r="B597" s="1" t="s">
        <v>26</v>
      </c>
      <c r="C597" s="11">
        <v>0</v>
      </c>
      <c r="D597" s="11">
        <v>0</v>
      </c>
      <c r="E597" s="2">
        <f t="shared" si="19"/>
        <v>0</v>
      </c>
      <c r="F597" s="11">
        <v>0.11</v>
      </c>
      <c r="G597" s="14" t="e">
        <f t="shared" si="18"/>
        <v>#DIV/0!</v>
      </c>
    </row>
    <row r="598" spans="1:7">
      <c r="A598" s="1">
        <v>7</v>
      </c>
      <c r="B598" s="1" t="s">
        <v>26</v>
      </c>
      <c r="C598" s="11">
        <v>13.02</v>
      </c>
      <c r="D598" s="11">
        <v>12.68</v>
      </c>
      <c r="E598" s="2">
        <f t="shared" si="19"/>
        <v>0.33999999999999986</v>
      </c>
      <c r="F598" s="11">
        <v>0</v>
      </c>
      <c r="G598" s="14">
        <f t="shared" si="18"/>
        <v>2.6113671274961586E-2</v>
      </c>
    </row>
    <row r="599" spans="1:7">
      <c r="A599" s="1">
        <v>10</v>
      </c>
      <c r="B599" s="1" t="s">
        <v>26</v>
      </c>
      <c r="C599" s="11">
        <v>29.61</v>
      </c>
      <c r="D599" s="11">
        <v>29.38</v>
      </c>
      <c r="E599" s="2">
        <f t="shared" si="19"/>
        <v>0.23000000000000043</v>
      </c>
      <c r="F599" s="11">
        <v>0.34300000000000003</v>
      </c>
      <c r="G599" s="14">
        <f t="shared" si="18"/>
        <v>1.9351570415400216E-2</v>
      </c>
    </row>
    <row r="600" spans="1:7">
      <c r="A600" s="1">
        <v>8</v>
      </c>
      <c r="B600" s="1" t="s">
        <v>26</v>
      </c>
      <c r="C600" s="11">
        <v>6.05</v>
      </c>
      <c r="D600" s="11">
        <v>5.97</v>
      </c>
      <c r="E600" s="2">
        <f t="shared" si="19"/>
        <v>8.0000000000000071E-2</v>
      </c>
      <c r="F600" s="11">
        <v>0.182</v>
      </c>
      <c r="G600" s="14">
        <f t="shared" si="18"/>
        <v>4.3305785123966954E-2</v>
      </c>
    </row>
    <row r="601" spans="1:7">
      <c r="A601" s="1">
        <v>9</v>
      </c>
      <c r="B601" s="1" t="s">
        <v>26</v>
      </c>
      <c r="C601" s="11">
        <v>7.77</v>
      </c>
      <c r="D601" s="11">
        <v>7.71</v>
      </c>
      <c r="E601" s="2">
        <f t="shared" si="19"/>
        <v>5.9999999999999609E-2</v>
      </c>
      <c r="F601" s="11">
        <v>0.106</v>
      </c>
      <c r="G601" s="14">
        <f t="shared" si="18"/>
        <v>2.1364221364221312E-2</v>
      </c>
    </row>
    <row r="602" spans="1:7">
      <c r="A602" s="1">
        <v>11</v>
      </c>
      <c r="B602" s="1" t="s">
        <v>26</v>
      </c>
      <c r="C602" s="11">
        <v>0</v>
      </c>
      <c r="D602" s="11">
        <v>0</v>
      </c>
      <c r="E602" s="2">
        <f t="shared" si="19"/>
        <v>0</v>
      </c>
      <c r="F602" s="11">
        <v>0.23799999999999999</v>
      </c>
      <c r="G602" s="14" t="e">
        <f t="shared" si="18"/>
        <v>#DIV/0!</v>
      </c>
    </row>
    <row r="603" spans="1:7">
      <c r="A603" s="1">
        <v>12</v>
      </c>
      <c r="B603" s="1" t="s">
        <v>26</v>
      </c>
      <c r="C603" s="11">
        <v>0</v>
      </c>
      <c r="D603" s="11">
        <v>0</v>
      </c>
      <c r="E603" s="2">
        <f t="shared" si="19"/>
        <v>0</v>
      </c>
      <c r="F603" s="11">
        <v>0.20200000000000001</v>
      </c>
      <c r="G603" s="14" t="e">
        <f t="shared" si="18"/>
        <v>#DIV/0!</v>
      </c>
    </row>
    <row r="604" spans="1:7">
      <c r="A604" s="1">
        <v>13</v>
      </c>
      <c r="B604" s="1" t="s">
        <v>26</v>
      </c>
      <c r="C604" s="11">
        <v>0</v>
      </c>
      <c r="D604" s="11">
        <v>0</v>
      </c>
      <c r="E604" s="2">
        <f t="shared" si="19"/>
        <v>0</v>
      </c>
      <c r="F604" s="11">
        <v>0.128</v>
      </c>
      <c r="G604" s="14" t="e">
        <f t="shared" si="18"/>
        <v>#DIV/0!</v>
      </c>
    </row>
    <row r="605" spans="1:7">
      <c r="A605" s="1">
        <v>14</v>
      </c>
      <c r="B605" s="1" t="s">
        <v>26</v>
      </c>
      <c r="C605" s="11">
        <v>0</v>
      </c>
      <c r="D605" s="11">
        <v>0</v>
      </c>
      <c r="E605" s="2">
        <f t="shared" si="19"/>
        <v>0</v>
      </c>
      <c r="F605" s="11">
        <v>0.105</v>
      </c>
      <c r="G605" s="14" t="e">
        <f t="shared" si="18"/>
        <v>#DIV/0!</v>
      </c>
    </row>
    <row r="606" spans="1:7">
      <c r="A606" s="1">
        <v>15</v>
      </c>
      <c r="B606" s="1" t="s">
        <v>26</v>
      </c>
      <c r="C606" s="11">
        <v>0</v>
      </c>
      <c r="D606" s="11">
        <v>0</v>
      </c>
      <c r="E606" s="2">
        <f t="shared" si="19"/>
        <v>0</v>
      </c>
      <c r="F606" s="11">
        <v>6.5000000000000002E-2</v>
      </c>
      <c r="G606" s="14" t="e">
        <f t="shared" si="18"/>
        <v>#DIV/0!</v>
      </c>
    </row>
    <row r="607" spans="1:7">
      <c r="A607" s="1">
        <v>16</v>
      </c>
      <c r="B607" s="1" t="s">
        <v>26</v>
      </c>
      <c r="C607" s="11">
        <v>0</v>
      </c>
      <c r="D607" s="11">
        <v>0</v>
      </c>
      <c r="E607" s="2">
        <f t="shared" si="19"/>
        <v>0</v>
      </c>
      <c r="F607" s="11">
        <v>6.5000000000000002E-2</v>
      </c>
      <c r="G607" s="14" t="e">
        <f t="shared" si="18"/>
        <v>#DIV/0!</v>
      </c>
    </row>
    <row r="608" spans="1:7">
      <c r="A608" s="1">
        <v>17</v>
      </c>
      <c r="B608" s="1" t="s">
        <v>26</v>
      </c>
      <c r="C608" s="11">
        <v>0</v>
      </c>
      <c r="D608" s="11">
        <v>0</v>
      </c>
      <c r="E608" s="2">
        <f t="shared" si="19"/>
        <v>0</v>
      </c>
      <c r="F608" s="11">
        <v>8.2000000000000003E-2</v>
      </c>
      <c r="G608" s="14" t="e">
        <f t="shared" si="18"/>
        <v>#DIV/0!</v>
      </c>
    </row>
    <row r="609" spans="1:7">
      <c r="A609" s="1">
        <v>18</v>
      </c>
      <c r="B609" s="1" t="s">
        <v>26</v>
      </c>
      <c r="C609" s="11">
        <v>0</v>
      </c>
      <c r="D609" s="11">
        <v>0</v>
      </c>
      <c r="E609" s="2">
        <f t="shared" si="19"/>
        <v>0</v>
      </c>
      <c r="F609" s="11">
        <v>0.08</v>
      </c>
      <c r="G609" s="14" t="e">
        <f t="shared" si="18"/>
        <v>#DIV/0!</v>
      </c>
    </row>
    <row r="610" spans="1:7">
      <c r="A610" s="1">
        <v>19</v>
      </c>
      <c r="B610" s="1" t="s">
        <v>26</v>
      </c>
      <c r="C610" s="11">
        <v>0</v>
      </c>
      <c r="D610" s="11">
        <v>0</v>
      </c>
      <c r="E610" s="2">
        <f t="shared" si="19"/>
        <v>0</v>
      </c>
      <c r="F610" s="11">
        <v>6.5000000000000002E-2</v>
      </c>
      <c r="G610" s="14" t="e">
        <f t="shared" si="18"/>
        <v>#DIV/0!</v>
      </c>
    </row>
    <row r="611" spans="1:7">
      <c r="A611" s="1">
        <v>20</v>
      </c>
      <c r="B611" s="1" t="s">
        <v>26</v>
      </c>
      <c r="C611" s="11">
        <v>0</v>
      </c>
      <c r="D611" s="11">
        <v>0</v>
      </c>
      <c r="E611" s="2">
        <f t="shared" si="19"/>
        <v>0</v>
      </c>
      <c r="F611" s="11">
        <v>0.11899999999999999</v>
      </c>
      <c r="G611" s="14" t="e">
        <f t="shared" si="18"/>
        <v>#DIV/0!</v>
      </c>
    </row>
    <row r="612" spans="1:7">
      <c r="A612" s="1">
        <v>21</v>
      </c>
      <c r="B612" s="1" t="s">
        <v>26</v>
      </c>
      <c r="C612" s="11">
        <v>0</v>
      </c>
      <c r="D612" s="11">
        <v>0</v>
      </c>
      <c r="E612" s="2">
        <f t="shared" si="19"/>
        <v>0</v>
      </c>
      <c r="F612" s="11">
        <v>0.04</v>
      </c>
      <c r="G612" s="14" t="e">
        <f t="shared" si="18"/>
        <v>#DIV/0!</v>
      </c>
    </row>
    <row r="613" spans="1:7">
      <c r="A613" s="1">
        <v>22</v>
      </c>
      <c r="B613" s="1" t="s">
        <v>26</v>
      </c>
      <c r="C613" s="11">
        <v>0</v>
      </c>
      <c r="D613" s="11">
        <v>0</v>
      </c>
      <c r="E613" s="2">
        <f t="shared" si="19"/>
        <v>0</v>
      </c>
      <c r="F613" s="11">
        <v>8.4000000000000005E-2</v>
      </c>
      <c r="G613" s="14" t="e">
        <f t="shared" ref="G613:G676" si="20">(E613+F613)/C613</f>
        <v>#DIV/0!</v>
      </c>
    </row>
    <row r="614" spans="1:7">
      <c r="A614" s="1">
        <v>23</v>
      </c>
      <c r="B614" s="1" t="s">
        <v>26</v>
      </c>
      <c r="C614" s="11">
        <v>0</v>
      </c>
      <c r="D614" s="11">
        <v>0</v>
      </c>
      <c r="E614" s="2">
        <f t="shared" si="19"/>
        <v>0</v>
      </c>
      <c r="F614" s="11">
        <v>8.5000000000000006E-2</v>
      </c>
      <c r="G614" s="3" t="e">
        <f t="shared" si="20"/>
        <v>#DIV/0!</v>
      </c>
    </row>
    <row r="615" spans="1:7">
      <c r="A615" s="1">
        <v>24</v>
      </c>
      <c r="B615" s="1" t="s">
        <v>26</v>
      </c>
      <c r="C615" s="11">
        <v>0</v>
      </c>
      <c r="D615" s="11">
        <v>0</v>
      </c>
      <c r="E615" s="2">
        <f t="shared" si="19"/>
        <v>0</v>
      </c>
      <c r="F615" s="11">
        <v>9.6000000000000002E-2</v>
      </c>
      <c r="G615" s="3" t="e">
        <f t="shared" si="20"/>
        <v>#DIV/0!</v>
      </c>
    </row>
    <row r="616" spans="1:7">
      <c r="A616" s="1">
        <v>25</v>
      </c>
      <c r="B616" s="1" t="s">
        <v>26</v>
      </c>
      <c r="C616" s="11">
        <v>0</v>
      </c>
      <c r="D616" s="11">
        <v>0</v>
      </c>
      <c r="E616" s="2">
        <f t="shared" si="19"/>
        <v>0</v>
      </c>
      <c r="F616" s="11">
        <v>0.152</v>
      </c>
      <c r="G616" s="3" t="e">
        <f t="shared" si="20"/>
        <v>#DIV/0!</v>
      </c>
    </row>
    <row r="617" spans="1:7">
      <c r="A617" s="1">
        <v>26</v>
      </c>
      <c r="B617" s="1" t="s">
        <v>26</v>
      </c>
      <c r="C617" s="11">
        <v>0</v>
      </c>
      <c r="D617" s="11">
        <v>0</v>
      </c>
      <c r="E617" s="2">
        <f t="shared" si="19"/>
        <v>0</v>
      </c>
      <c r="F617" s="11">
        <v>0.17599999999999999</v>
      </c>
      <c r="G617" s="14" t="e">
        <f t="shared" si="20"/>
        <v>#DIV/0!</v>
      </c>
    </row>
    <row r="618" spans="1:7">
      <c r="A618" s="1">
        <v>27</v>
      </c>
      <c r="B618" s="1" t="s">
        <v>26</v>
      </c>
      <c r="C618" s="11">
        <v>0</v>
      </c>
      <c r="D618" s="11">
        <v>0</v>
      </c>
      <c r="E618" s="2">
        <f t="shared" si="19"/>
        <v>0</v>
      </c>
      <c r="F618" s="11">
        <v>0.13900000000000001</v>
      </c>
      <c r="G618" s="14" t="e">
        <f t="shared" si="20"/>
        <v>#DIV/0!</v>
      </c>
    </row>
    <row r="619" spans="1:7">
      <c r="A619" s="1">
        <v>28</v>
      </c>
      <c r="B619" s="1" t="s">
        <v>26</v>
      </c>
      <c r="C619" s="11">
        <v>0</v>
      </c>
      <c r="D619" s="11">
        <v>0</v>
      </c>
      <c r="E619" s="2">
        <f t="shared" si="19"/>
        <v>0</v>
      </c>
      <c r="F619" s="11">
        <v>3.9E-2</v>
      </c>
      <c r="G619" s="14" t="e">
        <f t="shared" si="20"/>
        <v>#DIV/0!</v>
      </c>
    </row>
    <row r="620" spans="1:7">
      <c r="A620" s="1">
        <v>29</v>
      </c>
      <c r="B620" s="1" t="s">
        <v>26</v>
      </c>
      <c r="C620" s="11">
        <v>0</v>
      </c>
      <c r="D620" s="11">
        <v>0</v>
      </c>
      <c r="E620" s="2">
        <f t="shared" si="19"/>
        <v>0</v>
      </c>
      <c r="F620" s="11">
        <v>0.10299999999999999</v>
      </c>
      <c r="G620" s="14" t="e">
        <f t="shared" si="20"/>
        <v>#DIV/0!</v>
      </c>
    </row>
    <row r="621" spans="1:7">
      <c r="A621" s="1">
        <v>30</v>
      </c>
      <c r="B621" s="1" t="s">
        <v>26</v>
      </c>
      <c r="C621" s="11">
        <v>0</v>
      </c>
      <c r="D621" s="11">
        <v>0</v>
      </c>
      <c r="E621" s="2">
        <f t="shared" si="19"/>
        <v>0</v>
      </c>
      <c r="F621" s="11">
        <v>0</v>
      </c>
      <c r="G621" s="14" t="e">
        <f t="shared" si="20"/>
        <v>#DIV/0!</v>
      </c>
    </row>
    <row r="622" spans="1:7">
      <c r="A622" s="1">
        <v>31</v>
      </c>
      <c r="B622" s="1" t="s">
        <v>26</v>
      </c>
      <c r="C622" s="11">
        <v>0</v>
      </c>
      <c r="D622" s="11">
        <v>0</v>
      </c>
      <c r="E622" s="2">
        <f t="shared" si="19"/>
        <v>0</v>
      </c>
      <c r="F622" s="11">
        <v>5.5E-2</v>
      </c>
      <c r="G622" s="14" t="e">
        <f t="shared" si="20"/>
        <v>#DIV/0!</v>
      </c>
    </row>
    <row r="623" spans="1:7">
      <c r="A623" s="1">
        <v>1</v>
      </c>
      <c r="B623" s="1" t="s">
        <v>28</v>
      </c>
      <c r="C623" s="11">
        <v>22.36</v>
      </c>
      <c r="D623" s="11">
        <v>22.05</v>
      </c>
      <c r="E623" s="2">
        <f t="shared" si="19"/>
        <v>0.30999999999999872</v>
      </c>
      <c r="F623" s="11">
        <v>7.0000000000000007E-2</v>
      </c>
      <c r="G623" s="14">
        <f t="shared" si="20"/>
        <v>1.6994633273702986E-2</v>
      </c>
    </row>
    <row r="624" spans="1:7">
      <c r="A624" s="1">
        <v>2</v>
      </c>
      <c r="B624" s="1" t="s">
        <v>28</v>
      </c>
      <c r="C624" s="11">
        <v>0</v>
      </c>
      <c r="D624" s="11">
        <v>0</v>
      </c>
      <c r="E624" s="2">
        <f t="shared" si="19"/>
        <v>0</v>
      </c>
      <c r="F624" s="11">
        <v>0.11899999999999999</v>
      </c>
      <c r="G624" s="14" t="e">
        <f t="shared" si="20"/>
        <v>#DIV/0!</v>
      </c>
    </row>
    <row r="625" spans="1:7">
      <c r="A625" s="1">
        <v>3</v>
      </c>
      <c r="B625" s="1" t="s">
        <v>28</v>
      </c>
      <c r="C625" s="11">
        <v>24.58</v>
      </c>
      <c r="D625" s="11">
        <v>23.88</v>
      </c>
      <c r="E625" s="2">
        <f t="shared" si="19"/>
        <v>0.69999999999999929</v>
      </c>
      <c r="F625" s="11">
        <v>0.113</v>
      </c>
      <c r="G625" s="14">
        <f t="shared" si="20"/>
        <v>3.3075671277461326E-2</v>
      </c>
    </row>
    <row r="626" spans="1:7">
      <c r="A626" s="1">
        <v>4</v>
      </c>
      <c r="B626" s="1" t="s">
        <v>28</v>
      </c>
      <c r="C626" s="11">
        <v>0</v>
      </c>
      <c r="D626" s="11">
        <v>0</v>
      </c>
      <c r="E626" s="2">
        <f t="shared" si="19"/>
        <v>0</v>
      </c>
      <c r="F626" s="11">
        <v>9.8000000000000004E-2</v>
      </c>
      <c r="G626" s="14" t="e">
        <f t="shared" si="20"/>
        <v>#DIV/0!</v>
      </c>
    </row>
    <row r="627" spans="1:7">
      <c r="A627" s="1">
        <v>5</v>
      </c>
      <c r="B627" s="1" t="s">
        <v>28</v>
      </c>
      <c r="C627" s="11">
        <v>26.44</v>
      </c>
      <c r="D627" s="11">
        <v>26.1</v>
      </c>
      <c r="E627" s="2">
        <f t="shared" si="19"/>
        <v>0.33999999999999986</v>
      </c>
      <c r="F627" s="11">
        <v>0.11000000000000298</v>
      </c>
      <c r="G627" s="14">
        <f t="shared" si="20"/>
        <v>1.7019667170953209E-2</v>
      </c>
    </row>
    <row r="628" spans="1:7">
      <c r="A628" s="1">
        <v>6</v>
      </c>
      <c r="B628" s="1" t="s">
        <v>28</v>
      </c>
      <c r="C628" s="11">
        <v>0</v>
      </c>
      <c r="D628" s="11">
        <v>0</v>
      </c>
      <c r="E628" s="2">
        <f t="shared" si="19"/>
        <v>0</v>
      </c>
      <c r="F628" s="11">
        <v>0.14199999999999999</v>
      </c>
      <c r="G628" s="14" t="e">
        <f t="shared" si="20"/>
        <v>#DIV/0!</v>
      </c>
    </row>
    <row r="629" spans="1:7">
      <c r="A629" s="1">
        <v>7</v>
      </c>
      <c r="B629" s="1" t="s">
        <v>28</v>
      </c>
      <c r="C629" s="11">
        <v>0</v>
      </c>
      <c r="D629" s="11">
        <v>0</v>
      </c>
      <c r="E629" s="2">
        <f t="shared" si="19"/>
        <v>0</v>
      </c>
      <c r="F629" s="11">
        <v>0.77500000000000002</v>
      </c>
      <c r="G629" s="14" t="e">
        <f t="shared" si="20"/>
        <v>#DIV/0!</v>
      </c>
    </row>
    <row r="630" spans="1:7">
      <c r="A630" s="1">
        <v>10</v>
      </c>
      <c r="B630" s="1" t="s">
        <v>28</v>
      </c>
      <c r="C630" s="11">
        <v>0</v>
      </c>
      <c r="D630" s="11">
        <v>0</v>
      </c>
      <c r="E630" s="2">
        <f t="shared" si="19"/>
        <v>0</v>
      </c>
      <c r="F630" s="11">
        <v>0.121</v>
      </c>
      <c r="G630" s="14" t="e">
        <f t="shared" si="20"/>
        <v>#DIV/0!</v>
      </c>
    </row>
    <row r="631" spans="1:7">
      <c r="A631" s="1">
        <v>8</v>
      </c>
      <c r="B631" s="1" t="s">
        <v>28</v>
      </c>
      <c r="C631" s="11">
        <v>0</v>
      </c>
      <c r="D631" s="11">
        <v>0</v>
      </c>
      <c r="E631" s="2">
        <f t="shared" si="19"/>
        <v>0</v>
      </c>
      <c r="F631" s="11">
        <v>-1.5249999999999999</v>
      </c>
      <c r="G631" s="14" t="e">
        <f t="shared" si="20"/>
        <v>#DIV/0!</v>
      </c>
    </row>
    <row r="632" spans="1:7">
      <c r="A632" s="1">
        <v>9</v>
      </c>
      <c r="B632" s="1" t="s">
        <v>28</v>
      </c>
      <c r="C632" s="11">
        <v>21.77</v>
      </c>
      <c r="D632" s="11">
        <v>21.56</v>
      </c>
      <c r="E632" s="2">
        <f t="shared" si="19"/>
        <v>0.21000000000000085</v>
      </c>
      <c r="F632" s="11">
        <v>0.122</v>
      </c>
      <c r="G632" s="14">
        <f t="shared" si="20"/>
        <v>1.5250344510794711E-2</v>
      </c>
    </row>
    <row r="633" spans="1:7">
      <c r="A633" s="1">
        <v>11</v>
      </c>
      <c r="B633" s="1" t="s">
        <v>28</v>
      </c>
      <c r="C633" s="11">
        <v>20.87</v>
      </c>
      <c r="D633" s="11">
        <v>20.68</v>
      </c>
      <c r="E633" s="2">
        <f t="shared" si="19"/>
        <v>0.19000000000000128</v>
      </c>
      <c r="F633" s="11">
        <v>0.11</v>
      </c>
      <c r="G633" s="14">
        <f t="shared" si="20"/>
        <v>1.4374700527072412E-2</v>
      </c>
    </row>
    <row r="634" spans="1:7">
      <c r="A634" s="1">
        <v>12</v>
      </c>
      <c r="B634" s="1" t="s">
        <v>28</v>
      </c>
      <c r="C634" s="11">
        <v>15.7</v>
      </c>
      <c r="D634" s="11">
        <v>15.67</v>
      </c>
      <c r="E634" s="2">
        <f t="shared" si="19"/>
        <v>2.9999999999999361E-2</v>
      </c>
      <c r="F634" s="11">
        <v>0.22</v>
      </c>
      <c r="G634" s="14">
        <f t="shared" si="20"/>
        <v>1.5923566878980853E-2</v>
      </c>
    </row>
    <row r="635" spans="1:7">
      <c r="A635" s="1">
        <v>13</v>
      </c>
      <c r="B635" s="1" t="s">
        <v>28</v>
      </c>
      <c r="C635" s="11">
        <v>0</v>
      </c>
      <c r="D635" s="11">
        <v>0</v>
      </c>
      <c r="E635" s="2">
        <f t="shared" si="19"/>
        <v>0</v>
      </c>
      <c r="F635" s="11">
        <v>0.19900000000000001</v>
      </c>
      <c r="G635" s="14" t="e">
        <f t="shared" si="20"/>
        <v>#DIV/0!</v>
      </c>
    </row>
    <row r="636" spans="1:7">
      <c r="A636" s="1">
        <v>14</v>
      </c>
      <c r="B636" s="1" t="s">
        <v>28</v>
      </c>
      <c r="C636" s="11">
        <v>0</v>
      </c>
      <c r="D636" s="11">
        <v>0</v>
      </c>
      <c r="E636" s="2">
        <f t="shared" si="19"/>
        <v>0</v>
      </c>
      <c r="F636" s="11">
        <v>0.121</v>
      </c>
      <c r="G636" s="14" t="e">
        <f t="shared" si="20"/>
        <v>#DIV/0!</v>
      </c>
    </row>
    <row r="637" spans="1:7">
      <c r="A637" s="1">
        <v>15</v>
      </c>
      <c r="B637" s="1" t="s">
        <v>28</v>
      </c>
      <c r="C637" s="11">
        <v>23.03</v>
      </c>
      <c r="D637" s="11">
        <v>22.79</v>
      </c>
      <c r="E637" s="2">
        <f t="shared" si="19"/>
        <v>0.24000000000000199</v>
      </c>
      <c r="F637" s="11">
        <v>0.20899999999999999</v>
      </c>
      <c r="G637" s="14">
        <f t="shared" si="20"/>
        <v>1.9496309161962742E-2</v>
      </c>
    </row>
    <row r="638" spans="1:7">
      <c r="A638" s="1">
        <v>16</v>
      </c>
      <c r="B638" s="1" t="s">
        <v>28</v>
      </c>
      <c r="C638" s="11">
        <v>0</v>
      </c>
      <c r="D638" s="11">
        <v>0</v>
      </c>
      <c r="E638" s="2">
        <f t="shared" si="19"/>
        <v>0</v>
      </c>
      <c r="F638" s="11">
        <v>0.14799999999999999</v>
      </c>
      <c r="G638" s="14" t="e">
        <f t="shared" si="20"/>
        <v>#DIV/0!</v>
      </c>
    </row>
    <row r="639" spans="1:7">
      <c r="A639" s="1">
        <v>17</v>
      </c>
      <c r="B639" s="1" t="s">
        <v>28</v>
      </c>
      <c r="C639" s="11">
        <v>25.02</v>
      </c>
      <c r="D639" s="11">
        <v>24.83</v>
      </c>
      <c r="E639" s="2">
        <f t="shared" si="19"/>
        <v>0.19000000000000128</v>
      </c>
      <c r="F639" s="11">
        <v>0.13800000000000001</v>
      </c>
      <c r="G639" s="14">
        <f t="shared" si="20"/>
        <v>1.3109512390087981E-2</v>
      </c>
    </row>
    <row r="640" spans="1:7">
      <c r="A640" s="1">
        <v>18</v>
      </c>
      <c r="B640" s="1" t="s">
        <v>28</v>
      </c>
      <c r="C640" s="11">
        <v>0</v>
      </c>
      <c r="D640" s="11">
        <v>0</v>
      </c>
      <c r="E640" s="2">
        <f t="shared" si="19"/>
        <v>0</v>
      </c>
      <c r="F640" s="11">
        <v>0.125</v>
      </c>
      <c r="G640" s="14" t="e">
        <f t="shared" si="20"/>
        <v>#DIV/0!</v>
      </c>
    </row>
    <row r="641" spans="1:7">
      <c r="A641" s="1">
        <v>19</v>
      </c>
      <c r="B641" s="1" t="s">
        <v>28</v>
      </c>
      <c r="C641" s="11">
        <v>21.01</v>
      </c>
      <c r="D641" s="11">
        <v>20.82</v>
      </c>
      <c r="E641" s="2">
        <f t="shared" si="19"/>
        <v>0.19000000000000128</v>
      </c>
      <c r="F641" s="11">
        <v>0.12</v>
      </c>
      <c r="G641" s="14">
        <f t="shared" si="20"/>
        <v>1.4754878629224238E-2</v>
      </c>
    </row>
    <row r="642" spans="1:7">
      <c r="A642" s="1">
        <v>20</v>
      </c>
      <c r="B642" s="1" t="s">
        <v>28</v>
      </c>
      <c r="C642" s="11">
        <v>0</v>
      </c>
      <c r="D642" s="11">
        <v>0</v>
      </c>
      <c r="E642" s="2">
        <f t="shared" si="19"/>
        <v>0</v>
      </c>
      <c r="F642" s="11">
        <v>0.105</v>
      </c>
      <c r="G642" s="14" t="e">
        <f t="shared" si="20"/>
        <v>#DIV/0!</v>
      </c>
    </row>
    <row r="643" spans="1:7">
      <c r="A643" s="1">
        <v>21</v>
      </c>
      <c r="B643" s="1" t="s">
        <v>28</v>
      </c>
      <c r="C643" s="11">
        <v>0</v>
      </c>
      <c r="D643" s="11">
        <v>0</v>
      </c>
      <c r="E643" s="2">
        <f t="shared" si="19"/>
        <v>0</v>
      </c>
      <c r="F643" s="11">
        <v>9.5000000000000001E-2</v>
      </c>
      <c r="G643" s="14" t="e">
        <f t="shared" si="20"/>
        <v>#DIV/0!</v>
      </c>
    </row>
    <row r="644" spans="1:7">
      <c r="A644" s="1">
        <v>22</v>
      </c>
      <c r="B644" s="1" t="s">
        <v>28</v>
      </c>
      <c r="C644" s="11">
        <v>16.34</v>
      </c>
      <c r="D644" s="11">
        <v>16.239999999999998</v>
      </c>
      <c r="E644" s="2">
        <f t="shared" ref="E644:E707" si="21">C644-D644</f>
        <v>0.10000000000000142</v>
      </c>
      <c r="F644" s="11">
        <v>0.22399999999999665</v>
      </c>
      <c r="G644" s="14">
        <f t="shared" si="20"/>
        <v>1.9828641370868916E-2</v>
      </c>
    </row>
    <row r="645" spans="1:7">
      <c r="A645" s="1">
        <v>23</v>
      </c>
      <c r="B645" s="1" t="s">
        <v>28</v>
      </c>
      <c r="C645" s="11">
        <v>21.16</v>
      </c>
      <c r="D645" s="11">
        <v>20.86</v>
      </c>
      <c r="E645" s="2">
        <f t="shared" si="21"/>
        <v>0.30000000000000071</v>
      </c>
      <c r="F645" s="11">
        <v>0.11600000000000001</v>
      </c>
      <c r="G645" s="3">
        <f t="shared" si="20"/>
        <v>1.9659735349716479E-2</v>
      </c>
    </row>
    <row r="646" spans="1:7">
      <c r="A646" s="1">
        <v>24</v>
      </c>
      <c r="B646" s="1" t="s">
        <v>28</v>
      </c>
      <c r="C646" s="11">
        <v>0</v>
      </c>
      <c r="D646" s="11">
        <v>0</v>
      </c>
      <c r="E646" s="2">
        <f t="shared" si="21"/>
        <v>0</v>
      </c>
      <c r="F646" s="11">
        <v>0.17</v>
      </c>
      <c r="G646" s="3" t="e">
        <f t="shared" si="20"/>
        <v>#DIV/0!</v>
      </c>
    </row>
    <row r="647" spans="1:7">
      <c r="A647" s="1">
        <v>25</v>
      </c>
      <c r="B647" s="1" t="s">
        <v>28</v>
      </c>
      <c r="C647" s="11">
        <v>0</v>
      </c>
      <c r="D647" s="11">
        <v>0</v>
      </c>
      <c r="E647" s="2">
        <f t="shared" si="21"/>
        <v>0</v>
      </c>
      <c r="F647" s="11">
        <v>0.19500000000000001</v>
      </c>
      <c r="G647" s="3" t="e">
        <f t="shared" si="20"/>
        <v>#DIV/0!</v>
      </c>
    </row>
    <row r="648" spans="1:7">
      <c r="A648" s="1">
        <v>26</v>
      </c>
      <c r="B648" s="1" t="s">
        <v>28</v>
      </c>
      <c r="C648" s="11">
        <v>21.21</v>
      </c>
      <c r="D648" s="11">
        <v>20.76</v>
      </c>
      <c r="E648" s="2">
        <f t="shared" si="21"/>
        <v>0.44999999999999929</v>
      </c>
      <c r="F648" s="11">
        <v>0.23499999999999999</v>
      </c>
      <c r="G648" s="14">
        <f t="shared" si="20"/>
        <v>3.2296086751532262E-2</v>
      </c>
    </row>
    <row r="649" spans="1:7">
      <c r="A649" s="1">
        <v>27</v>
      </c>
      <c r="B649" s="1" t="s">
        <v>28</v>
      </c>
      <c r="C649" s="11">
        <v>0</v>
      </c>
      <c r="D649" s="11">
        <v>0</v>
      </c>
      <c r="E649" s="2">
        <f t="shared" si="21"/>
        <v>0</v>
      </c>
      <c r="F649" s="11">
        <v>0.115</v>
      </c>
      <c r="G649" s="14" t="e">
        <f t="shared" si="20"/>
        <v>#DIV/0!</v>
      </c>
    </row>
    <row r="650" spans="1:7">
      <c r="A650" s="1">
        <v>28</v>
      </c>
      <c r="B650" s="1" t="s">
        <v>28</v>
      </c>
      <c r="C650" s="11">
        <v>0</v>
      </c>
      <c r="D650" s="11">
        <v>0</v>
      </c>
      <c r="E650" s="2">
        <f t="shared" si="21"/>
        <v>0</v>
      </c>
      <c r="F650" s="11">
        <v>0.11</v>
      </c>
      <c r="G650" s="14" t="e">
        <f t="shared" si="20"/>
        <v>#DIV/0!</v>
      </c>
    </row>
    <row r="651" spans="1:7">
      <c r="A651" s="1">
        <v>29</v>
      </c>
      <c r="B651" s="1" t="s">
        <v>28</v>
      </c>
      <c r="C651" s="11">
        <v>0</v>
      </c>
      <c r="D651" s="11">
        <v>0</v>
      </c>
      <c r="E651" s="2">
        <f t="shared" si="21"/>
        <v>0</v>
      </c>
      <c r="F651" s="11">
        <v>0.1</v>
      </c>
      <c r="G651" s="14" t="e">
        <f t="shared" si="20"/>
        <v>#DIV/0!</v>
      </c>
    </row>
    <row r="652" spans="1:7">
      <c r="A652" s="1">
        <v>30</v>
      </c>
      <c r="B652" s="1" t="s">
        <v>28</v>
      </c>
      <c r="C652" s="11">
        <v>27.29</v>
      </c>
      <c r="D652" s="11">
        <v>27.08</v>
      </c>
      <c r="E652" s="2">
        <f t="shared" si="21"/>
        <v>0.21000000000000085</v>
      </c>
      <c r="F652" s="11">
        <v>0.124</v>
      </c>
      <c r="G652" s="14">
        <f t="shared" si="20"/>
        <v>1.2238915353609412E-2</v>
      </c>
    </row>
    <row r="653" spans="1:7" ht="14.4" customHeight="1">
      <c r="A653" s="1">
        <v>31</v>
      </c>
      <c r="B653" s="1" t="s">
        <v>28</v>
      </c>
      <c r="C653" s="11">
        <v>0</v>
      </c>
      <c r="D653" s="11">
        <v>0</v>
      </c>
      <c r="E653" s="2">
        <f t="shared" si="21"/>
        <v>0</v>
      </c>
      <c r="F653" s="11">
        <v>0.109</v>
      </c>
      <c r="G653" s="14" t="e">
        <f t="shared" si="20"/>
        <v>#DIV/0!</v>
      </c>
    </row>
    <row r="654" spans="1:7" ht="14.4" customHeight="1">
      <c r="A654" s="1">
        <v>1</v>
      </c>
      <c r="B654" s="1" t="s">
        <v>29</v>
      </c>
      <c r="C654" s="11">
        <v>0</v>
      </c>
      <c r="D654" s="11">
        <v>0</v>
      </c>
      <c r="E654" s="2">
        <f t="shared" si="21"/>
        <v>0</v>
      </c>
      <c r="F654" s="11">
        <v>0.125</v>
      </c>
      <c r="G654" s="14" t="e">
        <f t="shared" si="20"/>
        <v>#DIV/0!</v>
      </c>
    </row>
    <row r="655" spans="1:7">
      <c r="A655" s="1">
        <v>2</v>
      </c>
      <c r="B655" s="1" t="s">
        <v>29</v>
      </c>
      <c r="C655" s="11">
        <v>0</v>
      </c>
      <c r="D655" s="11">
        <v>0</v>
      </c>
      <c r="E655" s="2">
        <f t="shared" si="21"/>
        <v>0</v>
      </c>
      <c r="F655" s="11">
        <v>0.15</v>
      </c>
      <c r="G655" s="14" t="e">
        <f t="shared" si="20"/>
        <v>#DIV/0!</v>
      </c>
    </row>
    <row r="656" spans="1:7">
      <c r="A656" s="1">
        <v>3</v>
      </c>
      <c r="B656" s="1" t="s">
        <v>29</v>
      </c>
      <c r="C656" s="11">
        <v>0</v>
      </c>
      <c r="D656" s="11">
        <v>0</v>
      </c>
      <c r="E656" s="2">
        <f t="shared" si="21"/>
        <v>0</v>
      </c>
      <c r="F656" s="11">
        <v>0</v>
      </c>
      <c r="G656" s="14" t="e">
        <f t="shared" si="20"/>
        <v>#DIV/0!</v>
      </c>
    </row>
    <row r="657" spans="1:7">
      <c r="A657" s="1">
        <v>4</v>
      </c>
      <c r="B657" s="1" t="s">
        <v>29</v>
      </c>
      <c r="C657" s="11">
        <v>0</v>
      </c>
      <c r="D657" s="11">
        <v>0</v>
      </c>
      <c r="E657" s="2">
        <f t="shared" si="21"/>
        <v>0</v>
      </c>
      <c r="F657" s="11">
        <v>0</v>
      </c>
      <c r="G657" s="14" t="e">
        <f t="shared" si="20"/>
        <v>#DIV/0!</v>
      </c>
    </row>
    <row r="658" spans="1:7">
      <c r="A658" s="1">
        <v>5</v>
      </c>
      <c r="B658" s="1" t="s">
        <v>29</v>
      </c>
      <c r="C658" s="11">
        <v>25.89</v>
      </c>
      <c r="D658" s="11">
        <v>25.79</v>
      </c>
      <c r="E658" s="2">
        <f t="shared" si="21"/>
        <v>0.10000000000000142</v>
      </c>
      <c r="F658" s="11">
        <v>0.12</v>
      </c>
      <c r="G658" s="14">
        <f t="shared" si="20"/>
        <v>8.4974893781383318E-3</v>
      </c>
    </row>
    <row r="659" spans="1:7">
      <c r="A659" s="1">
        <v>6</v>
      </c>
      <c r="B659" s="1" t="s">
        <v>29</v>
      </c>
      <c r="C659" s="11">
        <v>0</v>
      </c>
      <c r="D659" s="11">
        <v>0</v>
      </c>
      <c r="E659" s="2">
        <f t="shared" si="21"/>
        <v>0</v>
      </c>
      <c r="F659" s="11">
        <v>0.11</v>
      </c>
      <c r="G659" s="14" t="e">
        <f t="shared" si="20"/>
        <v>#DIV/0!</v>
      </c>
    </row>
    <row r="660" spans="1:7">
      <c r="A660" s="1">
        <v>7</v>
      </c>
      <c r="B660" s="1" t="s">
        <v>29</v>
      </c>
      <c r="C660" s="11">
        <v>0</v>
      </c>
      <c r="D660" s="11">
        <v>0</v>
      </c>
      <c r="E660" s="2">
        <f t="shared" si="21"/>
        <v>0</v>
      </c>
      <c r="F660" s="11">
        <v>0.11</v>
      </c>
      <c r="G660" s="14" t="e">
        <f t="shared" si="20"/>
        <v>#DIV/0!</v>
      </c>
    </row>
    <row r="661" spans="1:7">
      <c r="A661" s="1">
        <v>10</v>
      </c>
      <c r="B661" s="1" t="s">
        <v>29</v>
      </c>
      <c r="C661" s="11">
        <v>22.08</v>
      </c>
      <c r="D661" s="11">
        <v>21.94</v>
      </c>
      <c r="E661" s="2">
        <f t="shared" si="21"/>
        <v>0.13999999999999702</v>
      </c>
      <c r="F661" s="11">
        <v>0.1</v>
      </c>
      <c r="G661" s="14">
        <f t="shared" si="20"/>
        <v>1.086956521739117E-2</v>
      </c>
    </row>
    <row r="662" spans="1:7">
      <c r="A662" s="1">
        <v>8</v>
      </c>
      <c r="B662" s="1" t="s">
        <v>29</v>
      </c>
      <c r="C662" s="11">
        <v>22.2</v>
      </c>
      <c r="D662" s="11">
        <v>22.04</v>
      </c>
      <c r="E662" s="2">
        <f t="shared" si="21"/>
        <v>0.16000000000000014</v>
      </c>
      <c r="F662" s="11">
        <v>0.1</v>
      </c>
      <c r="G662" s="14">
        <f t="shared" si="20"/>
        <v>1.1711711711711717E-2</v>
      </c>
    </row>
    <row r="663" spans="1:7">
      <c r="A663" s="1">
        <v>9</v>
      </c>
      <c r="B663" s="1" t="s">
        <v>29</v>
      </c>
      <c r="C663" s="11">
        <v>0</v>
      </c>
      <c r="D663" s="11">
        <v>0</v>
      </c>
      <c r="E663" s="2">
        <f t="shared" si="21"/>
        <v>0</v>
      </c>
      <c r="F663" s="11">
        <v>0.12</v>
      </c>
      <c r="G663" s="14" t="e">
        <f t="shared" si="20"/>
        <v>#DIV/0!</v>
      </c>
    </row>
    <row r="664" spans="1:7">
      <c r="A664" s="1">
        <v>11</v>
      </c>
      <c r="B664" s="1" t="s">
        <v>29</v>
      </c>
      <c r="C664" s="11">
        <v>0</v>
      </c>
      <c r="D664" s="11">
        <v>0</v>
      </c>
      <c r="E664" s="2">
        <f t="shared" si="21"/>
        <v>0</v>
      </c>
      <c r="F664" s="11">
        <v>0.11</v>
      </c>
      <c r="G664" s="14" t="e">
        <f t="shared" si="20"/>
        <v>#DIV/0!</v>
      </c>
    </row>
    <row r="665" spans="1:7">
      <c r="A665" s="1">
        <v>12</v>
      </c>
      <c r="B665" s="1" t="s">
        <v>29</v>
      </c>
      <c r="C665" s="11">
        <v>0</v>
      </c>
      <c r="D665" s="11">
        <v>0</v>
      </c>
      <c r="E665" s="2">
        <f t="shared" si="21"/>
        <v>0</v>
      </c>
      <c r="F665" s="11">
        <v>0.16</v>
      </c>
      <c r="G665" s="14" t="e">
        <f t="shared" si="20"/>
        <v>#DIV/0!</v>
      </c>
    </row>
    <row r="666" spans="1:7">
      <c r="A666" s="1">
        <v>13</v>
      </c>
      <c r="B666" s="1" t="s">
        <v>29</v>
      </c>
      <c r="C666" s="11">
        <v>0</v>
      </c>
      <c r="D666" s="11">
        <v>0</v>
      </c>
      <c r="E666" s="2">
        <f t="shared" si="21"/>
        <v>0</v>
      </c>
      <c r="F666" s="11">
        <v>0.1</v>
      </c>
      <c r="G666" s="14" t="e">
        <f t="shared" si="20"/>
        <v>#DIV/0!</v>
      </c>
    </row>
    <row r="667" spans="1:7">
      <c r="A667" s="1">
        <v>14</v>
      </c>
      <c r="B667" s="1" t="s">
        <v>29</v>
      </c>
      <c r="C667" s="11">
        <v>0</v>
      </c>
      <c r="D667" s="11">
        <v>0</v>
      </c>
      <c r="E667" s="2">
        <f t="shared" si="21"/>
        <v>0</v>
      </c>
      <c r="F667" s="11">
        <v>0.15</v>
      </c>
      <c r="G667" s="14" t="e">
        <f t="shared" si="20"/>
        <v>#DIV/0!</v>
      </c>
    </row>
    <row r="668" spans="1:7">
      <c r="A668" s="1">
        <v>15</v>
      </c>
      <c r="B668" s="1" t="s">
        <v>29</v>
      </c>
      <c r="C668" s="11">
        <v>0</v>
      </c>
      <c r="D668" s="11">
        <v>0</v>
      </c>
      <c r="E668" s="2">
        <f t="shared" si="21"/>
        <v>0</v>
      </c>
      <c r="F668" s="11">
        <v>0.13</v>
      </c>
      <c r="G668" s="14" t="e">
        <f t="shared" si="20"/>
        <v>#DIV/0!</v>
      </c>
    </row>
    <row r="669" spans="1:7">
      <c r="A669" s="1">
        <v>16</v>
      </c>
      <c r="B669" s="1" t="s">
        <v>29</v>
      </c>
      <c r="C669" s="11">
        <v>22.35</v>
      </c>
      <c r="D669" s="11">
        <v>22.09</v>
      </c>
      <c r="E669" s="2">
        <f t="shared" si="21"/>
        <v>0.26000000000000156</v>
      </c>
      <c r="F669" s="11">
        <v>0.2</v>
      </c>
      <c r="G669" s="14">
        <f t="shared" si="20"/>
        <v>2.0581655480984409E-2</v>
      </c>
    </row>
    <row r="670" spans="1:7">
      <c r="A670" s="1">
        <v>17</v>
      </c>
      <c r="B670" s="1" t="s">
        <v>29</v>
      </c>
      <c r="C670" s="11">
        <v>0</v>
      </c>
      <c r="D670" s="11">
        <v>0</v>
      </c>
      <c r="E670" s="2">
        <f t="shared" si="21"/>
        <v>0</v>
      </c>
      <c r="F670" s="11">
        <v>0.12</v>
      </c>
      <c r="G670" s="14" t="e">
        <f t="shared" si="20"/>
        <v>#DIV/0!</v>
      </c>
    </row>
    <row r="671" spans="1:7">
      <c r="A671" s="1">
        <v>18</v>
      </c>
      <c r="B671" s="1" t="s">
        <v>29</v>
      </c>
      <c r="C671" s="11">
        <v>23.89</v>
      </c>
      <c r="D671" s="11">
        <v>23.1</v>
      </c>
      <c r="E671" s="2">
        <f t="shared" si="21"/>
        <v>0.78999999999999915</v>
      </c>
      <c r="F671" s="11">
        <v>0.14000000000000001</v>
      </c>
      <c r="G671" s="14">
        <f t="shared" si="20"/>
        <v>3.8928421933863505E-2</v>
      </c>
    </row>
    <row r="672" spans="1:7">
      <c r="A672" s="1">
        <v>19</v>
      </c>
      <c r="B672" s="1" t="s">
        <v>29</v>
      </c>
      <c r="C672" s="11">
        <v>0</v>
      </c>
      <c r="D672" s="11">
        <v>0</v>
      </c>
      <c r="E672" s="2">
        <f t="shared" si="21"/>
        <v>0</v>
      </c>
      <c r="F672" s="11">
        <v>0.115</v>
      </c>
      <c r="G672" s="14" t="e">
        <f t="shared" si="20"/>
        <v>#DIV/0!</v>
      </c>
    </row>
    <row r="673" spans="1:7">
      <c r="A673" s="1">
        <v>20</v>
      </c>
      <c r="B673" s="1" t="s">
        <v>29</v>
      </c>
      <c r="C673" s="11">
        <v>0</v>
      </c>
      <c r="D673" s="11">
        <v>0</v>
      </c>
      <c r="E673" s="2">
        <f t="shared" si="21"/>
        <v>0</v>
      </c>
      <c r="F673" s="11">
        <v>0.12</v>
      </c>
      <c r="G673" s="14" t="e">
        <f t="shared" si="20"/>
        <v>#DIV/0!</v>
      </c>
    </row>
    <row r="674" spans="1:7">
      <c r="A674" s="1">
        <v>21</v>
      </c>
      <c r="B674" s="1" t="s">
        <v>29</v>
      </c>
      <c r="C674" s="11">
        <v>0</v>
      </c>
      <c r="D674" s="11">
        <v>0</v>
      </c>
      <c r="E674" s="2">
        <f t="shared" si="21"/>
        <v>0</v>
      </c>
      <c r="F674" s="11">
        <v>0.12</v>
      </c>
      <c r="G674" s="14" t="e">
        <f t="shared" si="20"/>
        <v>#DIV/0!</v>
      </c>
    </row>
    <row r="675" spans="1:7">
      <c r="A675" s="1">
        <v>22</v>
      </c>
      <c r="B675" s="1" t="s">
        <v>29</v>
      </c>
      <c r="C675" s="11">
        <v>0</v>
      </c>
      <c r="D675" s="11">
        <v>0</v>
      </c>
      <c r="E675" s="2">
        <f t="shared" si="21"/>
        <v>0</v>
      </c>
      <c r="F675" s="11">
        <v>0.12</v>
      </c>
      <c r="G675" s="14" t="e">
        <f t="shared" si="20"/>
        <v>#DIV/0!</v>
      </c>
    </row>
    <row r="676" spans="1:7">
      <c r="A676" s="1">
        <v>23</v>
      </c>
      <c r="B676" s="1" t="s">
        <v>29</v>
      </c>
      <c r="C676" s="11">
        <v>0</v>
      </c>
      <c r="D676" s="11">
        <v>0</v>
      </c>
      <c r="E676" s="2">
        <f t="shared" si="21"/>
        <v>0</v>
      </c>
      <c r="F676" s="11">
        <v>0.11</v>
      </c>
      <c r="G676" s="3" t="e">
        <f t="shared" si="20"/>
        <v>#DIV/0!</v>
      </c>
    </row>
    <row r="677" spans="1:7">
      <c r="A677" s="1">
        <v>24</v>
      </c>
      <c r="B677" s="1" t="s">
        <v>29</v>
      </c>
      <c r="C677" s="11">
        <v>0</v>
      </c>
      <c r="D677" s="11">
        <v>0</v>
      </c>
      <c r="E677" s="2">
        <f t="shared" si="21"/>
        <v>0</v>
      </c>
      <c r="F677" s="11">
        <v>0.11</v>
      </c>
      <c r="G677" s="3" t="e">
        <f t="shared" ref="G677:G740" si="22">(E677+F677)/C677</f>
        <v>#DIV/0!</v>
      </c>
    </row>
    <row r="678" spans="1:7">
      <c r="A678" s="1">
        <v>25</v>
      </c>
      <c r="B678" s="1" t="s">
        <v>29</v>
      </c>
      <c r="C678" s="11">
        <v>0</v>
      </c>
      <c r="D678" s="11">
        <v>0</v>
      </c>
      <c r="E678" s="2">
        <f t="shared" si="21"/>
        <v>0</v>
      </c>
      <c r="F678" s="11">
        <v>0.11</v>
      </c>
      <c r="G678" s="3" t="e">
        <f t="shared" si="22"/>
        <v>#DIV/0!</v>
      </c>
    </row>
    <row r="679" spans="1:7">
      <c r="A679" s="1">
        <v>26</v>
      </c>
      <c r="B679" s="1" t="s">
        <v>29</v>
      </c>
      <c r="C679" s="11">
        <v>27.47</v>
      </c>
      <c r="D679" s="11">
        <v>27.16</v>
      </c>
      <c r="E679" s="2">
        <f t="shared" si="21"/>
        <v>0.30999999999999872</v>
      </c>
      <c r="F679" s="11">
        <v>0.13</v>
      </c>
      <c r="G679" s="14">
        <f t="shared" si="22"/>
        <v>1.6017473607571851E-2</v>
      </c>
    </row>
    <row r="680" spans="1:7">
      <c r="A680" s="1">
        <v>27</v>
      </c>
      <c r="B680" s="1" t="s">
        <v>29</v>
      </c>
      <c r="C680" s="11">
        <v>0</v>
      </c>
      <c r="D680" s="11">
        <v>0</v>
      </c>
      <c r="E680" s="2">
        <f t="shared" si="21"/>
        <v>0</v>
      </c>
      <c r="F680" s="11">
        <v>0.115</v>
      </c>
      <c r="G680" s="14" t="e">
        <f t="shared" si="22"/>
        <v>#DIV/0!</v>
      </c>
    </row>
    <row r="681" spans="1:7">
      <c r="A681" s="1">
        <v>28</v>
      </c>
      <c r="B681" s="1" t="s">
        <v>29</v>
      </c>
      <c r="C681" s="11">
        <v>0</v>
      </c>
      <c r="D681" s="11">
        <v>0</v>
      </c>
      <c r="E681" s="2">
        <f t="shared" si="21"/>
        <v>0</v>
      </c>
      <c r="F681" s="11">
        <v>0.12</v>
      </c>
      <c r="G681" s="14" t="e">
        <f t="shared" si="22"/>
        <v>#DIV/0!</v>
      </c>
    </row>
    <row r="682" spans="1:7">
      <c r="A682" s="1">
        <v>29</v>
      </c>
      <c r="B682" s="1" t="s">
        <v>29</v>
      </c>
      <c r="C682" s="11">
        <v>0</v>
      </c>
      <c r="D682" s="11">
        <v>0</v>
      </c>
      <c r="E682" s="2">
        <f t="shared" si="21"/>
        <v>0</v>
      </c>
      <c r="F682" s="11">
        <v>0.12</v>
      </c>
      <c r="G682" s="14" t="e">
        <f t="shared" si="22"/>
        <v>#DIV/0!</v>
      </c>
    </row>
    <row r="683" spans="1:7">
      <c r="A683" s="1">
        <v>30</v>
      </c>
      <c r="B683" s="1" t="s">
        <v>29</v>
      </c>
      <c r="C683" s="11">
        <v>0</v>
      </c>
      <c r="D683" s="11">
        <v>0</v>
      </c>
      <c r="E683" s="2">
        <f t="shared" si="21"/>
        <v>0</v>
      </c>
      <c r="F683" s="11">
        <v>0.12</v>
      </c>
      <c r="G683" s="14" t="e">
        <f t="shared" si="22"/>
        <v>#DIV/0!</v>
      </c>
    </row>
    <row r="684" spans="1:7">
      <c r="A684" s="1">
        <v>31</v>
      </c>
      <c r="B684" s="1" t="s">
        <v>29</v>
      </c>
      <c r="C684" s="11">
        <v>0</v>
      </c>
      <c r="D684" s="11">
        <v>0</v>
      </c>
      <c r="E684" s="2">
        <f t="shared" si="21"/>
        <v>0</v>
      </c>
      <c r="F684" s="11">
        <v>0.12</v>
      </c>
      <c r="G684" s="14" t="e">
        <f t="shared" si="22"/>
        <v>#DIV/0!</v>
      </c>
    </row>
    <row r="685" spans="1:7">
      <c r="A685" s="1">
        <v>1</v>
      </c>
      <c r="B685" s="1" t="s">
        <v>30</v>
      </c>
      <c r="C685" s="11">
        <v>0</v>
      </c>
      <c r="D685" s="11">
        <v>0</v>
      </c>
      <c r="E685" s="2">
        <f t="shared" si="21"/>
        <v>0</v>
      </c>
      <c r="F685" s="11">
        <v>0</v>
      </c>
      <c r="G685" s="14" t="e">
        <f t="shared" si="22"/>
        <v>#DIV/0!</v>
      </c>
    </row>
    <row r="686" spans="1:7">
      <c r="A686" s="1">
        <v>2</v>
      </c>
      <c r="B686" s="1" t="s">
        <v>30</v>
      </c>
      <c r="C686" s="11">
        <v>0</v>
      </c>
      <c r="D686" s="11">
        <v>0</v>
      </c>
      <c r="E686" s="2">
        <f t="shared" si="21"/>
        <v>0</v>
      </c>
      <c r="F686" s="11">
        <v>0</v>
      </c>
      <c r="G686" s="14" t="e">
        <f t="shared" si="22"/>
        <v>#DIV/0!</v>
      </c>
    </row>
    <row r="687" spans="1:7">
      <c r="A687" s="1">
        <v>3</v>
      </c>
      <c r="B687" s="1" t="s">
        <v>30</v>
      </c>
      <c r="C687" s="11">
        <v>0</v>
      </c>
      <c r="D687" s="11">
        <v>0</v>
      </c>
      <c r="E687" s="2">
        <f t="shared" si="21"/>
        <v>0</v>
      </c>
      <c r="F687" s="11">
        <v>0</v>
      </c>
      <c r="G687" s="14" t="e">
        <f t="shared" si="22"/>
        <v>#DIV/0!</v>
      </c>
    </row>
    <row r="688" spans="1:7">
      <c r="A688" s="1">
        <v>4</v>
      </c>
      <c r="B688" s="1" t="s">
        <v>30</v>
      </c>
      <c r="C688" s="11">
        <v>0</v>
      </c>
      <c r="D688" s="11">
        <v>0</v>
      </c>
      <c r="E688" s="2">
        <f t="shared" si="21"/>
        <v>0</v>
      </c>
      <c r="F688" s="11">
        <v>7.0000000000000007E-2</v>
      </c>
      <c r="G688" s="14" t="e">
        <f t="shared" si="22"/>
        <v>#DIV/0!</v>
      </c>
    </row>
    <row r="689" spans="1:7">
      <c r="A689" s="1">
        <v>5</v>
      </c>
      <c r="B689" s="1" t="s">
        <v>30</v>
      </c>
      <c r="C689" s="11">
        <v>0</v>
      </c>
      <c r="D689" s="11">
        <v>0</v>
      </c>
      <c r="E689" s="2">
        <f t="shared" si="21"/>
        <v>0</v>
      </c>
      <c r="F689" s="11">
        <v>0.13</v>
      </c>
      <c r="G689" s="14" t="e">
        <f t="shared" si="22"/>
        <v>#DIV/0!</v>
      </c>
    </row>
    <row r="690" spans="1:7">
      <c r="A690" s="1">
        <v>6</v>
      </c>
      <c r="B690" s="1" t="s">
        <v>30</v>
      </c>
      <c r="C690" s="11">
        <v>0</v>
      </c>
      <c r="D690" s="11">
        <v>0</v>
      </c>
      <c r="E690" s="2">
        <f t="shared" si="21"/>
        <v>0</v>
      </c>
      <c r="F690" s="11">
        <v>0.152</v>
      </c>
      <c r="G690" s="14" t="e">
        <f t="shared" si="22"/>
        <v>#DIV/0!</v>
      </c>
    </row>
    <row r="691" spans="1:7">
      <c r="A691" s="1">
        <v>7</v>
      </c>
      <c r="B691" s="1" t="s">
        <v>30</v>
      </c>
      <c r="C691" s="11">
        <v>23.22</v>
      </c>
      <c r="D691" s="11">
        <v>22.91</v>
      </c>
      <c r="E691" s="2">
        <f t="shared" si="21"/>
        <v>0.30999999999999872</v>
      </c>
      <c r="F691" s="11">
        <v>0.05</v>
      </c>
      <c r="G691" s="14">
        <f t="shared" si="22"/>
        <v>1.5503875968992194E-2</v>
      </c>
    </row>
    <row r="692" spans="1:7">
      <c r="A692" s="1">
        <v>10</v>
      </c>
      <c r="B692" s="1" t="s">
        <v>30</v>
      </c>
      <c r="C692" s="11">
        <v>26.61</v>
      </c>
      <c r="D692" s="11">
        <v>26.46</v>
      </c>
      <c r="E692" s="2">
        <f t="shared" si="21"/>
        <v>0.14999999999999858</v>
      </c>
      <c r="F692" s="11">
        <v>0.12</v>
      </c>
      <c r="G692" s="14">
        <f t="shared" si="22"/>
        <v>1.0146561443066464E-2</v>
      </c>
    </row>
    <row r="693" spans="1:7">
      <c r="A693" s="1">
        <v>8</v>
      </c>
      <c r="B693" s="1" t="s">
        <v>30</v>
      </c>
      <c r="C693" s="11">
        <v>0</v>
      </c>
      <c r="D693" s="11">
        <v>0</v>
      </c>
      <c r="E693" s="2">
        <f t="shared" si="21"/>
        <v>0</v>
      </c>
      <c r="F693" s="11">
        <v>0.05</v>
      </c>
      <c r="G693" s="14" t="e">
        <f t="shared" si="22"/>
        <v>#DIV/0!</v>
      </c>
    </row>
    <row r="694" spans="1:7">
      <c r="A694" s="1">
        <v>9</v>
      </c>
      <c r="B694" s="1" t="s">
        <v>30</v>
      </c>
      <c r="C694" s="11">
        <v>0</v>
      </c>
      <c r="D694" s="11">
        <v>0</v>
      </c>
      <c r="E694" s="2">
        <f t="shared" si="21"/>
        <v>0</v>
      </c>
      <c r="F694" s="11">
        <v>0.13</v>
      </c>
      <c r="G694" s="14" t="e">
        <f t="shared" si="22"/>
        <v>#DIV/0!</v>
      </c>
    </row>
    <row r="695" spans="1:7">
      <c r="A695" s="1">
        <v>11</v>
      </c>
      <c r="B695" s="1" t="s">
        <v>30</v>
      </c>
      <c r="C695" s="11">
        <v>23</v>
      </c>
      <c r="D695" s="11">
        <v>22.88</v>
      </c>
      <c r="E695" s="2">
        <f t="shared" si="21"/>
        <v>0.12000000000000099</v>
      </c>
      <c r="F695" s="11">
        <v>0.18</v>
      </c>
      <c r="G695" s="14">
        <f t="shared" si="22"/>
        <v>1.3043478260869608E-2</v>
      </c>
    </row>
    <row r="696" spans="1:7">
      <c r="A696" s="1">
        <v>12</v>
      </c>
      <c r="B696" s="1" t="s">
        <v>30</v>
      </c>
      <c r="C696" s="11">
        <v>0</v>
      </c>
      <c r="D696" s="11">
        <v>0</v>
      </c>
      <c r="E696" s="2">
        <f t="shared" si="21"/>
        <v>0</v>
      </c>
      <c r="F696" s="11">
        <v>0.1</v>
      </c>
      <c r="G696" s="14" t="e">
        <f t="shared" si="22"/>
        <v>#DIV/0!</v>
      </c>
    </row>
    <row r="697" spans="1:7">
      <c r="A697" s="1">
        <v>13</v>
      </c>
      <c r="B697" s="1" t="s">
        <v>30</v>
      </c>
      <c r="C697" s="11">
        <v>0</v>
      </c>
      <c r="D697" s="11">
        <v>0</v>
      </c>
      <c r="E697" s="2">
        <f t="shared" si="21"/>
        <v>0</v>
      </c>
      <c r="F697" s="11">
        <v>0</v>
      </c>
      <c r="G697" s="14" t="e">
        <f t="shared" si="22"/>
        <v>#DIV/0!</v>
      </c>
    </row>
    <row r="698" spans="1:7">
      <c r="A698" s="1">
        <v>14</v>
      </c>
      <c r="B698" s="1" t="s">
        <v>30</v>
      </c>
      <c r="C698" s="11">
        <v>24.55</v>
      </c>
      <c r="D698" s="11">
        <v>24.25</v>
      </c>
      <c r="E698" s="2">
        <f t="shared" si="21"/>
        <v>0.30000000000000071</v>
      </c>
      <c r="F698" s="11">
        <v>0.19</v>
      </c>
      <c r="G698" s="14">
        <f t="shared" si="22"/>
        <v>1.9959266802444021E-2</v>
      </c>
    </row>
    <row r="699" spans="1:7">
      <c r="A699" s="1">
        <v>15</v>
      </c>
      <c r="B699" s="1" t="s">
        <v>30</v>
      </c>
      <c r="C699" s="11">
        <v>0</v>
      </c>
      <c r="D699" s="11">
        <v>0</v>
      </c>
      <c r="E699" s="2">
        <f t="shared" si="21"/>
        <v>0</v>
      </c>
      <c r="F699" s="11">
        <v>0</v>
      </c>
      <c r="G699" s="14" t="e">
        <f t="shared" si="22"/>
        <v>#DIV/0!</v>
      </c>
    </row>
    <row r="700" spans="1:7">
      <c r="A700" s="1">
        <v>16</v>
      </c>
      <c r="B700" s="1" t="s">
        <v>30</v>
      </c>
      <c r="C700" s="11">
        <v>0</v>
      </c>
      <c r="D700" s="11">
        <v>0</v>
      </c>
      <c r="E700" s="2">
        <f t="shared" si="21"/>
        <v>0</v>
      </c>
      <c r="F700" s="11">
        <v>0.26</v>
      </c>
      <c r="G700" s="14" t="e">
        <f t="shared" si="22"/>
        <v>#DIV/0!</v>
      </c>
    </row>
    <row r="701" spans="1:7">
      <c r="A701" s="1">
        <v>17</v>
      </c>
      <c r="B701" s="1" t="s">
        <v>30</v>
      </c>
      <c r="C701" s="11">
        <v>0</v>
      </c>
      <c r="D701" s="11">
        <v>0</v>
      </c>
      <c r="E701" s="2">
        <f t="shared" si="21"/>
        <v>0</v>
      </c>
      <c r="F701" s="11">
        <v>0.25</v>
      </c>
      <c r="G701" s="14" t="e">
        <f t="shared" si="22"/>
        <v>#DIV/0!</v>
      </c>
    </row>
    <row r="702" spans="1:7">
      <c r="A702" s="1">
        <v>18</v>
      </c>
      <c r="B702" s="1" t="s">
        <v>30</v>
      </c>
      <c r="C702" s="11">
        <v>21.15</v>
      </c>
      <c r="D702" s="11">
        <v>20.82</v>
      </c>
      <c r="E702" s="2">
        <f t="shared" si="21"/>
        <v>0.32999999999999829</v>
      </c>
      <c r="F702" s="11">
        <v>0.25</v>
      </c>
      <c r="G702" s="14">
        <f t="shared" si="22"/>
        <v>2.7423167848699685E-2</v>
      </c>
    </row>
    <row r="703" spans="1:7">
      <c r="A703" s="1">
        <v>19</v>
      </c>
      <c r="B703" s="1" t="s">
        <v>30</v>
      </c>
      <c r="C703" s="11">
        <v>0</v>
      </c>
      <c r="D703" s="11">
        <v>0</v>
      </c>
      <c r="E703" s="2">
        <f t="shared" si="21"/>
        <v>0</v>
      </c>
      <c r="F703" s="11">
        <v>0.2</v>
      </c>
      <c r="G703" s="14" t="e">
        <f t="shared" si="22"/>
        <v>#DIV/0!</v>
      </c>
    </row>
    <row r="704" spans="1:7">
      <c r="A704" s="1">
        <v>20</v>
      </c>
      <c r="B704" s="1" t="s">
        <v>30</v>
      </c>
      <c r="C704" s="11">
        <v>0</v>
      </c>
      <c r="D704" s="11">
        <v>0</v>
      </c>
      <c r="E704" s="2">
        <f t="shared" si="21"/>
        <v>0</v>
      </c>
      <c r="F704" s="11">
        <v>0.21</v>
      </c>
      <c r="G704" s="14" t="e">
        <f t="shared" si="22"/>
        <v>#DIV/0!</v>
      </c>
    </row>
    <row r="705" spans="1:7">
      <c r="A705" s="1">
        <v>21</v>
      </c>
      <c r="B705" s="1" t="s">
        <v>30</v>
      </c>
      <c r="C705" s="11">
        <v>0</v>
      </c>
      <c r="D705" s="11">
        <v>0</v>
      </c>
      <c r="E705" s="2">
        <f t="shared" si="21"/>
        <v>0</v>
      </c>
      <c r="F705" s="11">
        <v>0.13500000000000001</v>
      </c>
      <c r="G705" s="14" t="e">
        <f t="shared" si="22"/>
        <v>#DIV/0!</v>
      </c>
    </row>
    <row r="706" spans="1:7">
      <c r="A706" s="1">
        <v>22</v>
      </c>
      <c r="B706" s="1" t="s">
        <v>30</v>
      </c>
      <c r="C706" s="11">
        <v>22.33</v>
      </c>
      <c r="D706" s="11">
        <v>21.95</v>
      </c>
      <c r="E706" s="2">
        <f t="shared" si="21"/>
        <v>0.37999999999999901</v>
      </c>
      <c r="F706" s="11">
        <v>0.2</v>
      </c>
      <c r="G706" s="14">
        <f t="shared" si="22"/>
        <v>2.5974025974025931E-2</v>
      </c>
    </row>
    <row r="707" spans="1:7">
      <c r="A707" s="1">
        <v>23</v>
      </c>
      <c r="B707" s="1" t="s">
        <v>30</v>
      </c>
      <c r="C707" s="11">
        <v>0</v>
      </c>
      <c r="D707" s="11">
        <v>0</v>
      </c>
      <c r="E707" s="2">
        <f t="shared" si="21"/>
        <v>0</v>
      </c>
      <c r="F707" s="11">
        <v>0.1</v>
      </c>
      <c r="G707" s="3" t="e">
        <f t="shared" si="22"/>
        <v>#DIV/0!</v>
      </c>
    </row>
    <row r="708" spans="1:7">
      <c r="A708" s="1">
        <v>24</v>
      </c>
      <c r="B708" s="1" t="s">
        <v>30</v>
      </c>
      <c r="C708" s="11">
        <v>77.885999999999996</v>
      </c>
      <c r="D708" s="11">
        <v>77.38</v>
      </c>
      <c r="E708" s="2">
        <f t="shared" ref="E708:E771" si="23">C708-D708</f>
        <v>0.50600000000000023</v>
      </c>
      <c r="F708" s="11">
        <v>0.15</v>
      </c>
      <c r="G708" s="3">
        <f t="shared" si="22"/>
        <v>8.4225663148704555E-3</v>
      </c>
    </row>
    <row r="709" spans="1:7">
      <c r="A709" s="1">
        <v>25</v>
      </c>
      <c r="B709" s="1" t="s">
        <v>30</v>
      </c>
      <c r="C709" s="11">
        <v>0</v>
      </c>
      <c r="D709" s="11">
        <v>0</v>
      </c>
      <c r="E709" s="2">
        <f t="shared" si="23"/>
        <v>0</v>
      </c>
      <c r="F709" s="11">
        <v>0.1</v>
      </c>
      <c r="G709" s="3" t="e">
        <f t="shared" si="22"/>
        <v>#DIV/0!</v>
      </c>
    </row>
    <row r="710" spans="1:7">
      <c r="A710" s="1">
        <v>26</v>
      </c>
      <c r="B710" s="1" t="s">
        <v>30</v>
      </c>
      <c r="C710" s="11">
        <v>23.611999999999998</v>
      </c>
      <c r="D710" s="11">
        <v>23.46</v>
      </c>
      <c r="E710" s="2">
        <f t="shared" si="23"/>
        <v>0.15199999999999747</v>
      </c>
      <c r="F710" s="11">
        <v>0.155</v>
      </c>
      <c r="G710" s="14">
        <f t="shared" si="22"/>
        <v>1.30018634592579E-2</v>
      </c>
    </row>
    <row r="711" spans="1:7">
      <c r="A711" s="1">
        <v>27</v>
      </c>
      <c r="B711" s="1" t="s">
        <v>30</v>
      </c>
      <c r="C711" s="11">
        <v>0</v>
      </c>
      <c r="D711" s="11">
        <v>0</v>
      </c>
      <c r="E711" s="2">
        <f t="shared" si="23"/>
        <v>0</v>
      </c>
      <c r="F711" s="11">
        <v>0.1</v>
      </c>
      <c r="G711" s="14" t="e">
        <f t="shared" si="22"/>
        <v>#DIV/0!</v>
      </c>
    </row>
    <row r="712" spans="1:7">
      <c r="A712" s="1">
        <v>28</v>
      </c>
      <c r="B712" s="1" t="s">
        <v>30</v>
      </c>
      <c r="C712" s="11">
        <v>0</v>
      </c>
      <c r="D712" s="11">
        <v>0</v>
      </c>
      <c r="E712" s="2">
        <f t="shared" si="23"/>
        <v>0</v>
      </c>
      <c r="F712" s="11">
        <v>0.1</v>
      </c>
      <c r="G712" s="14" t="e">
        <f t="shared" si="22"/>
        <v>#DIV/0!</v>
      </c>
    </row>
    <row r="713" spans="1:7">
      <c r="A713" s="1">
        <v>29</v>
      </c>
      <c r="B713" s="1" t="s">
        <v>30</v>
      </c>
      <c r="C713" s="11">
        <v>0</v>
      </c>
      <c r="D713" s="11">
        <v>0</v>
      </c>
      <c r="E713" s="2">
        <f t="shared" si="23"/>
        <v>0</v>
      </c>
      <c r="F713" s="11">
        <v>0.1</v>
      </c>
      <c r="G713" s="14" t="e">
        <f t="shared" si="22"/>
        <v>#DIV/0!</v>
      </c>
    </row>
    <row r="714" spans="1:7">
      <c r="A714" s="1">
        <v>30</v>
      </c>
      <c r="B714" s="1" t="s">
        <v>30</v>
      </c>
      <c r="C714" s="11">
        <v>0</v>
      </c>
      <c r="D714" s="11">
        <v>0</v>
      </c>
      <c r="E714" s="2">
        <f t="shared" si="23"/>
        <v>0</v>
      </c>
      <c r="F714" s="11">
        <v>0.1</v>
      </c>
      <c r="G714" s="14" t="e">
        <f t="shared" si="22"/>
        <v>#DIV/0!</v>
      </c>
    </row>
    <row r="715" spans="1:7">
      <c r="A715" s="1">
        <v>31</v>
      </c>
      <c r="B715" s="1" t="s">
        <v>30</v>
      </c>
      <c r="C715" s="11">
        <v>20.117999999999999</v>
      </c>
      <c r="D715" s="11">
        <v>19.91</v>
      </c>
      <c r="E715" s="2">
        <f t="shared" si="23"/>
        <v>0.20799999999999841</v>
      </c>
      <c r="F715" s="11">
        <v>0.12</v>
      </c>
      <c r="G715" s="14">
        <f t="shared" si="22"/>
        <v>1.6303807535540234E-2</v>
      </c>
    </row>
    <row r="716" spans="1:7">
      <c r="A716" s="1">
        <v>1</v>
      </c>
      <c r="B716" s="1" t="s">
        <v>31</v>
      </c>
      <c r="C716" s="11">
        <v>0</v>
      </c>
      <c r="D716" s="11">
        <v>0</v>
      </c>
      <c r="E716" s="2">
        <f t="shared" si="23"/>
        <v>0</v>
      </c>
      <c r="F716" s="11">
        <v>0.10299999999999999</v>
      </c>
      <c r="G716" s="14" t="e">
        <f t="shared" si="22"/>
        <v>#DIV/0!</v>
      </c>
    </row>
    <row r="717" spans="1:7">
      <c r="A717" s="1">
        <v>2</v>
      </c>
      <c r="B717" s="1" t="s">
        <v>31</v>
      </c>
      <c r="C717" s="11">
        <v>0</v>
      </c>
      <c r="D717" s="11">
        <v>0</v>
      </c>
      <c r="E717" s="2">
        <f t="shared" si="23"/>
        <v>0</v>
      </c>
      <c r="F717" s="11">
        <v>0</v>
      </c>
      <c r="G717" s="14" t="e">
        <f t="shared" si="22"/>
        <v>#DIV/0!</v>
      </c>
    </row>
    <row r="718" spans="1:7">
      <c r="A718" s="1">
        <v>3</v>
      </c>
      <c r="B718" s="1" t="s">
        <v>31</v>
      </c>
      <c r="C718" s="11">
        <v>23.72</v>
      </c>
      <c r="D718" s="11">
        <v>23.49</v>
      </c>
      <c r="E718" s="2">
        <f t="shared" si="23"/>
        <v>0.23000000000000043</v>
      </c>
      <c r="F718" s="11">
        <v>0.14899999999999999</v>
      </c>
      <c r="G718" s="14">
        <f t="shared" si="22"/>
        <v>1.5978077571669497E-2</v>
      </c>
    </row>
    <row r="719" spans="1:7">
      <c r="A719" s="1">
        <v>4</v>
      </c>
      <c r="B719" s="1" t="s">
        <v>31</v>
      </c>
      <c r="C719" s="11">
        <v>0</v>
      </c>
      <c r="D719" s="11">
        <v>0</v>
      </c>
      <c r="E719" s="2">
        <f t="shared" si="23"/>
        <v>0</v>
      </c>
      <c r="F719" s="11">
        <v>0.19800000000000001</v>
      </c>
      <c r="G719" s="14" t="e">
        <f t="shared" si="22"/>
        <v>#DIV/0!</v>
      </c>
    </row>
    <row r="720" spans="1:7">
      <c r="A720" s="1">
        <v>5</v>
      </c>
      <c r="B720" s="1" t="s">
        <v>31</v>
      </c>
      <c r="C720" s="11">
        <v>28.97</v>
      </c>
      <c r="D720" s="11">
        <v>28.77</v>
      </c>
      <c r="E720" s="2">
        <f t="shared" si="23"/>
        <v>0.19999999999999929</v>
      </c>
      <c r="F720" s="11">
        <v>0.19900000000000001</v>
      </c>
      <c r="G720" s="14">
        <f t="shared" si="22"/>
        <v>1.3772868484639258E-2</v>
      </c>
    </row>
    <row r="721" spans="1:7">
      <c r="A721" s="1">
        <v>6</v>
      </c>
      <c r="B721" s="1" t="s">
        <v>31</v>
      </c>
      <c r="C721" s="11">
        <v>0</v>
      </c>
      <c r="D721" s="11">
        <v>0</v>
      </c>
      <c r="E721" s="2">
        <f t="shared" si="23"/>
        <v>0</v>
      </c>
      <c r="F721" s="11">
        <v>8.7999999999999995E-2</v>
      </c>
      <c r="G721" s="14" t="e">
        <f t="shared" si="22"/>
        <v>#DIV/0!</v>
      </c>
    </row>
    <row r="722" spans="1:7">
      <c r="A722" s="1">
        <v>7</v>
      </c>
      <c r="B722" s="1" t="s">
        <v>31</v>
      </c>
      <c r="C722" s="11">
        <v>0</v>
      </c>
      <c r="D722" s="11">
        <v>0</v>
      </c>
      <c r="E722" s="2">
        <f t="shared" si="23"/>
        <v>0</v>
      </c>
      <c r="F722" s="11">
        <v>9.9000000000000005E-2</v>
      </c>
      <c r="G722" s="14" t="e">
        <f t="shared" si="22"/>
        <v>#DIV/0!</v>
      </c>
    </row>
    <row r="723" spans="1:7">
      <c r="A723" s="1">
        <v>10</v>
      </c>
      <c r="B723" s="1" t="s">
        <v>31</v>
      </c>
      <c r="C723" s="11">
        <v>25.94</v>
      </c>
      <c r="D723" s="11">
        <v>25.75</v>
      </c>
      <c r="E723" s="2">
        <f t="shared" si="23"/>
        <v>0.19000000000000128</v>
      </c>
      <c r="F723" s="11">
        <v>0.113</v>
      </c>
      <c r="G723" s="14">
        <f t="shared" si="22"/>
        <v>1.1680801850424104E-2</v>
      </c>
    </row>
    <row r="724" spans="1:7">
      <c r="A724" s="1">
        <v>8</v>
      </c>
      <c r="B724" s="1" t="s">
        <v>31</v>
      </c>
      <c r="C724" s="11">
        <v>27.51</v>
      </c>
      <c r="D724" s="11">
        <v>27.46</v>
      </c>
      <c r="E724" s="2">
        <f t="shared" si="23"/>
        <v>5.0000000000000711E-2</v>
      </c>
      <c r="F724" s="11">
        <v>0.13200000000000001</v>
      </c>
      <c r="G724" s="14">
        <f t="shared" si="22"/>
        <v>6.6157760814249617E-3</v>
      </c>
    </row>
    <row r="725" spans="1:7">
      <c r="A725" s="1">
        <v>9</v>
      </c>
      <c r="B725" s="1" t="s">
        <v>31</v>
      </c>
      <c r="C725" s="11">
        <v>0</v>
      </c>
      <c r="D725" s="11">
        <v>0</v>
      </c>
      <c r="E725" s="2">
        <f t="shared" si="23"/>
        <v>0</v>
      </c>
      <c r="F725" s="11">
        <v>0.188</v>
      </c>
      <c r="G725" s="14" t="e">
        <f t="shared" si="22"/>
        <v>#DIV/0!</v>
      </c>
    </row>
    <row r="726" spans="1:7">
      <c r="A726" s="1">
        <v>11</v>
      </c>
      <c r="B726" s="1" t="s">
        <v>31</v>
      </c>
      <c r="C726" s="11">
        <v>0</v>
      </c>
      <c r="D726" s="11">
        <v>0</v>
      </c>
      <c r="E726" s="2">
        <f t="shared" si="23"/>
        <v>0</v>
      </c>
      <c r="F726" s="11">
        <v>0</v>
      </c>
      <c r="G726" s="14" t="e">
        <f t="shared" si="22"/>
        <v>#DIV/0!</v>
      </c>
    </row>
    <row r="727" spans="1:7">
      <c r="A727" s="1">
        <v>12</v>
      </c>
      <c r="B727" s="1" t="s">
        <v>31</v>
      </c>
      <c r="C727" s="11">
        <v>0</v>
      </c>
      <c r="D727" s="11">
        <v>0</v>
      </c>
      <c r="E727" s="2">
        <f t="shared" si="23"/>
        <v>0</v>
      </c>
      <c r="F727" s="11">
        <v>0.121</v>
      </c>
      <c r="G727" s="14" t="e">
        <f t="shared" si="22"/>
        <v>#DIV/0!</v>
      </c>
    </row>
    <row r="728" spans="1:7">
      <c r="A728" s="1">
        <v>13</v>
      </c>
      <c r="B728" s="1" t="s">
        <v>31</v>
      </c>
      <c r="C728" s="11">
        <v>27.94</v>
      </c>
      <c r="D728" s="11">
        <v>27.83</v>
      </c>
      <c r="E728" s="2">
        <f t="shared" si="23"/>
        <v>0.11000000000000298</v>
      </c>
      <c r="F728" s="11">
        <v>0.19900000000000001</v>
      </c>
      <c r="G728" s="14">
        <f t="shared" si="22"/>
        <v>1.1059413027917072E-2</v>
      </c>
    </row>
    <row r="729" spans="1:7">
      <c r="A729" s="1">
        <v>14</v>
      </c>
      <c r="B729" s="1" t="s">
        <v>31</v>
      </c>
      <c r="C729" s="11">
        <v>0</v>
      </c>
      <c r="D729" s="11">
        <v>0</v>
      </c>
      <c r="E729" s="2">
        <f t="shared" si="23"/>
        <v>0</v>
      </c>
      <c r="F729" s="11">
        <v>0.21099999999999999</v>
      </c>
      <c r="G729" s="14" t="e">
        <f t="shared" si="22"/>
        <v>#DIV/0!</v>
      </c>
    </row>
    <row r="730" spans="1:7">
      <c r="A730" s="1">
        <v>15</v>
      </c>
      <c r="B730" s="1" t="s">
        <v>31</v>
      </c>
      <c r="C730" s="11">
        <v>23.89</v>
      </c>
      <c r="D730" s="11">
        <v>23.68</v>
      </c>
      <c r="E730" s="2">
        <f t="shared" si="23"/>
        <v>0.21000000000000085</v>
      </c>
      <c r="F730" s="11">
        <v>0.128</v>
      </c>
      <c r="G730" s="14">
        <f t="shared" si="22"/>
        <v>1.4148179154457968E-2</v>
      </c>
    </row>
    <row r="731" spans="1:7">
      <c r="A731" s="1">
        <v>16</v>
      </c>
      <c r="B731" s="1" t="s">
        <v>31</v>
      </c>
      <c r="C731" s="11">
        <v>0</v>
      </c>
      <c r="D731" s="11">
        <v>0</v>
      </c>
      <c r="E731" s="2">
        <f t="shared" si="23"/>
        <v>0</v>
      </c>
      <c r="F731" s="11">
        <v>0.23100000000000001</v>
      </c>
      <c r="G731" s="14" t="e">
        <f t="shared" si="22"/>
        <v>#DIV/0!</v>
      </c>
    </row>
    <row r="732" spans="1:7">
      <c r="A732" s="1">
        <v>17</v>
      </c>
      <c r="B732" s="1" t="s">
        <v>31</v>
      </c>
      <c r="C732" s="11">
        <v>22.61</v>
      </c>
      <c r="D732" s="11">
        <v>22.52</v>
      </c>
      <c r="E732" s="2">
        <f t="shared" si="23"/>
        <v>8.9999999999999858E-2</v>
      </c>
      <c r="F732" s="11">
        <v>0.13200000000000001</v>
      </c>
      <c r="G732" s="14">
        <f t="shared" si="22"/>
        <v>9.818664307828389E-3</v>
      </c>
    </row>
    <row r="733" spans="1:7">
      <c r="A733" s="1">
        <v>18</v>
      </c>
      <c r="B733" s="1" t="s">
        <v>31</v>
      </c>
      <c r="C733" s="11">
        <v>28.43</v>
      </c>
      <c r="D733" s="11">
        <v>28.33</v>
      </c>
      <c r="E733" s="2">
        <f t="shared" si="23"/>
        <v>0.10000000000000142</v>
      </c>
      <c r="F733" s="11">
        <v>0.222</v>
      </c>
      <c r="G733" s="14">
        <f t="shared" si="22"/>
        <v>1.1326064016883623E-2</v>
      </c>
    </row>
    <row r="734" spans="1:7">
      <c r="A734" s="1">
        <v>19</v>
      </c>
      <c r="B734" s="1" t="s">
        <v>31</v>
      </c>
      <c r="C734" s="11">
        <v>0</v>
      </c>
      <c r="D734" s="11">
        <v>0</v>
      </c>
      <c r="E734" s="2">
        <f t="shared" si="23"/>
        <v>0</v>
      </c>
      <c r="F734" s="11">
        <v>0.188</v>
      </c>
      <c r="G734" s="14" t="e">
        <f t="shared" si="22"/>
        <v>#DIV/0!</v>
      </c>
    </row>
    <row r="735" spans="1:7">
      <c r="A735" s="1">
        <v>20</v>
      </c>
      <c r="B735" s="1" t="s">
        <v>31</v>
      </c>
      <c r="C735" s="11">
        <v>22.48</v>
      </c>
      <c r="D735" s="11">
        <v>22.37</v>
      </c>
      <c r="E735" s="2">
        <f t="shared" si="23"/>
        <v>0.10999999999999943</v>
      </c>
      <c r="F735" s="11">
        <v>0.34200000000000003</v>
      </c>
      <c r="G735" s="14">
        <f t="shared" si="22"/>
        <v>2.0106761565836274E-2</v>
      </c>
    </row>
    <row r="736" spans="1:7">
      <c r="A736" s="1">
        <v>21</v>
      </c>
      <c r="B736" s="1" t="s">
        <v>31</v>
      </c>
      <c r="C736" s="11">
        <v>20.73</v>
      </c>
      <c r="D736" s="11">
        <v>20.65</v>
      </c>
      <c r="E736" s="2">
        <f t="shared" si="23"/>
        <v>8.0000000000001847E-2</v>
      </c>
      <c r="F736" s="11">
        <v>0.2</v>
      </c>
      <c r="G736" s="14">
        <f t="shared" si="22"/>
        <v>1.3506994693680746E-2</v>
      </c>
    </row>
    <row r="737" spans="1:7">
      <c r="A737" s="1">
        <v>22</v>
      </c>
      <c r="B737" s="1" t="s">
        <v>31</v>
      </c>
      <c r="C737" s="11">
        <v>22.39</v>
      </c>
      <c r="D737" s="11">
        <v>22.06</v>
      </c>
      <c r="E737" s="2">
        <f t="shared" si="23"/>
        <v>0.33000000000000185</v>
      </c>
      <c r="F737" s="11">
        <v>0.22</v>
      </c>
      <c r="G737" s="14">
        <f t="shared" si="22"/>
        <v>2.4564537740062609E-2</v>
      </c>
    </row>
    <row r="738" spans="1:7">
      <c r="A738" s="1">
        <v>23</v>
      </c>
      <c r="B738" s="1" t="s">
        <v>31</v>
      </c>
      <c r="C738" s="11">
        <v>19.329999999999998</v>
      </c>
      <c r="D738" s="11">
        <v>19.29</v>
      </c>
      <c r="E738" s="2">
        <f t="shared" si="23"/>
        <v>3.9999999999999147E-2</v>
      </c>
      <c r="F738" s="11">
        <v>4.4999999999999998E-2</v>
      </c>
      <c r="G738" s="3">
        <f t="shared" si="22"/>
        <v>4.3973098810139244E-3</v>
      </c>
    </row>
    <row r="739" spans="1:7">
      <c r="A739" s="1">
        <v>24</v>
      </c>
      <c r="B739" s="1" t="s">
        <v>31</v>
      </c>
      <c r="C739" s="11">
        <v>0</v>
      </c>
      <c r="D739" s="11">
        <v>0</v>
      </c>
      <c r="E739" s="2">
        <f t="shared" si="23"/>
        <v>0</v>
      </c>
      <c r="F739" s="11">
        <v>8.6999999999999994E-2</v>
      </c>
      <c r="G739" s="3" t="e">
        <f t="shared" si="22"/>
        <v>#DIV/0!</v>
      </c>
    </row>
    <row r="740" spans="1:7">
      <c r="A740" s="1">
        <v>25</v>
      </c>
      <c r="B740" s="1" t="s">
        <v>31</v>
      </c>
      <c r="C740" s="11">
        <v>26.49</v>
      </c>
      <c r="D740" s="11">
        <v>26.27</v>
      </c>
      <c r="E740" s="2">
        <f t="shared" si="23"/>
        <v>0.21999999999999886</v>
      </c>
      <c r="F740" s="11">
        <v>0.33100000000000002</v>
      </c>
      <c r="G740" s="3">
        <f t="shared" si="22"/>
        <v>2.0800302000754958E-2</v>
      </c>
    </row>
    <row r="741" spans="1:7">
      <c r="A741" s="1">
        <v>26</v>
      </c>
      <c r="B741" s="1" t="s">
        <v>31</v>
      </c>
      <c r="C741" s="11">
        <v>23.83</v>
      </c>
      <c r="D741" s="11">
        <v>23.68</v>
      </c>
      <c r="E741" s="2">
        <f t="shared" si="23"/>
        <v>0.14999999999999858</v>
      </c>
      <c r="F741" s="11">
        <v>0.19900000000000001</v>
      </c>
      <c r="G741" s="14">
        <f t="shared" ref="G741:G804" si="24">(E741+F741)/C741</f>
        <v>1.4645404951741443E-2</v>
      </c>
    </row>
    <row r="742" spans="1:7">
      <c r="A742" s="1">
        <v>27</v>
      </c>
      <c r="B742" s="1" t="s">
        <v>31</v>
      </c>
      <c r="C742" s="11">
        <v>21.13</v>
      </c>
      <c r="D742" s="11">
        <v>20.98</v>
      </c>
      <c r="E742" s="2">
        <f t="shared" si="23"/>
        <v>0.14999999999999858</v>
      </c>
      <c r="F742" s="11">
        <v>0.27600000000000002</v>
      </c>
      <c r="G742" s="14">
        <f t="shared" si="24"/>
        <v>2.0160908660671967E-2</v>
      </c>
    </row>
    <row r="743" spans="1:7">
      <c r="A743" s="1">
        <v>28</v>
      </c>
      <c r="B743" s="1" t="s">
        <v>31</v>
      </c>
      <c r="C743" s="11">
        <v>0</v>
      </c>
      <c r="D743" s="11">
        <v>0</v>
      </c>
      <c r="E743" s="2">
        <f t="shared" si="23"/>
        <v>0</v>
      </c>
      <c r="F743" s="11">
        <v>0.19800000000000001</v>
      </c>
      <c r="G743" s="14" t="e">
        <f t="shared" si="24"/>
        <v>#DIV/0!</v>
      </c>
    </row>
    <row r="744" spans="1:7">
      <c r="A744" s="1">
        <v>29</v>
      </c>
      <c r="B744" s="1" t="s">
        <v>31</v>
      </c>
      <c r="C744" s="11">
        <v>0</v>
      </c>
      <c r="D744" s="11">
        <v>0</v>
      </c>
      <c r="E744" s="2">
        <f t="shared" si="23"/>
        <v>0</v>
      </c>
      <c r="F744" s="11">
        <v>8.8999999999999996E-2</v>
      </c>
      <c r="G744" s="14" t="e">
        <f t="shared" si="24"/>
        <v>#DIV/0!</v>
      </c>
    </row>
    <row r="745" spans="1:7">
      <c r="A745" s="1">
        <v>30</v>
      </c>
      <c r="B745" s="1" t="s">
        <v>31</v>
      </c>
      <c r="C745" s="11">
        <v>0</v>
      </c>
      <c r="D745" s="11">
        <v>0</v>
      </c>
      <c r="E745" s="2">
        <f t="shared" si="23"/>
        <v>0</v>
      </c>
      <c r="F745" s="11">
        <v>0.19900000000000001</v>
      </c>
      <c r="G745" s="14" t="e">
        <f t="shared" si="24"/>
        <v>#DIV/0!</v>
      </c>
    </row>
    <row r="746" spans="1:7">
      <c r="A746" s="1">
        <v>31</v>
      </c>
      <c r="B746" s="1" t="s">
        <v>31</v>
      </c>
      <c r="C746" s="11">
        <v>48.79</v>
      </c>
      <c r="D746" s="11">
        <v>48.29</v>
      </c>
      <c r="E746" s="2">
        <f t="shared" si="23"/>
        <v>0.5</v>
      </c>
      <c r="F746" s="11">
        <v>0.189</v>
      </c>
      <c r="G746" s="14">
        <f t="shared" si="24"/>
        <v>1.4121746259479402E-2</v>
      </c>
    </row>
    <row r="747" spans="1:7">
      <c r="A747" s="1">
        <v>1</v>
      </c>
      <c r="B747" s="1" t="s">
        <v>32</v>
      </c>
      <c r="C747" s="11">
        <v>0</v>
      </c>
      <c r="D747" s="11">
        <v>0</v>
      </c>
      <c r="E747" s="2">
        <f t="shared" si="23"/>
        <v>0</v>
      </c>
      <c r="F747" s="11">
        <v>8.4000000000000005E-2</v>
      </c>
      <c r="G747" s="14" t="e">
        <f t="shared" si="24"/>
        <v>#DIV/0!</v>
      </c>
    </row>
    <row r="748" spans="1:7">
      <c r="A748" s="1">
        <v>2</v>
      </c>
      <c r="B748" s="1" t="s">
        <v>32</v>
      </c>
      <c r="C748" s="11">
        <v>20.98</v>
      </c>
      <c r="D748" s="11">
        <v>20.77</v>
      </c>
      <c r="E748" s="2">
        <f t="shared" si="23"/>
        <v>0.21000000000000085</v>
      </c>
      <c r="F748" s="11">
        <v>8.1000000000000003E-2</v>
      </c>
      <c r="G748" s="14">
        <f t="shared" si="24"/>
        <v>1.3870352716873254E-2</v>
      </c>
    </row>
    <row r="749" spans="1:7">
      <c r="A749" s="1">
        <v>3</v>
      </c>
      <c r="B749" s="1" t="s">
        <v>32</v>
      </c>
      <c r="C749" s="11">
        <v>0</v>
      </c>
      <c r="D749" s="11">
        <v>0</v>
      </c>
      <c r="E749" s="2">
        <f t="shared" si="23"/>
        <v>0</v>
      </c>
      <c r="F749" s="11">
        <v>0.122</v>
      </c>
      <c r="G749" s="14" t="e">
        <f t="shared" si="24"/>
        <v>#DIV/0!</v>
      </c>
    </row>
    <row r="750" spans="1:7">
      <c r="A750" s="1">
        <v>4</v>
      </c>
      <c r="B750" s="1" t="s">
        <v>32</v>
      </c>
      <c r="C750" s="11">
        <v>46.35</v>
      </c>
      <c r="D750" s="11">
        <v>45.96</v>
      </c>
      <c r="E750" s="2">
        <f t="shared" si="23"/>
        <v>0.39000000000000057</v>
      </c>
      <c r="F750" s="11">
        <v>0.128</v>
      </c>
      <c r="G750" s="14">
        <f t="shared" si="24"/>
        <v>1.1175836030204974E-2</v>
      </c>
    </row>
    <row r="751" spans="1:7">
      <c r="A751" s="1">
        <v>5</v>
      </c>
      <c r="B751" s="1" t="s">
        <v>32</v>
      </c>
      <c r="C751" s="11">
        <v>0</v>
      </c>
      <c r="D751" s="11">
        <v>0</v>
      </c>
      <c r="E751" s="2">
        <f t="shared" si="23"/>
        <v>0</v>
      </c>
      <c r="F751" s="11">
        <v>8.7999999999999995E-2</v>
      </c>
      <c r="G751" s="14" t="e">
        <f t="shared" si="24"/>
        <v>#DIV/0!</v>
      </c>
    </row>
    <row r="752" spans="1:7">
      <c r="A752" s="1">
        <v>6</v>
      </c>
      <c r="B752" s="1" t="s">
        <v>32</v>
      </c>
      <c r="C752" s="11">
        <v>0</v>
      </c>
      <c r="D752" s="11">
        <v>0</v>
      </c>
      <c r="E752" s="2">
        <f t="shared" si="23"/>
        <v>0</v>
      </c>
      <c r="F752" s="11">
        <v>0.16600000000000001</v>
      </c>
      <c r="G752" s="14" t="e">
        <f t="shared" si="24"/>
        <v>#DIV/0!</v>
      </c>
    </row>
    <row r="753" spans="1:7">
      <c r="A753" s="1">
        <v>7</v>
      </c>
      <c r="B753" s="1" t="s">
        <v>32</v>
      </c>
      <c r="C753" s="11">
        <v>0</v>
      </c>
      <c r="D753" s="11">
        <v>0</v>
      </c>
      <c r="E753" s="2">
        <f t="shared" si="23"/>
        <v>0</v>
      </c>
      <c r="F753" s="11">
        <v>0.19600000000000001</v>
      </c>
      <c r="G753" s="14" t="e">
        <f t="shared" si="24"/>
        <v>#DIV/0!</v>
      </c>
    </row>
    <row r="754" spans="1:7">
      <c r="A754" s="1">
        <v>10</v>
      </c>
      <c r="B754" s="1" t="s">
        <v>32</v>
      </c>
      <c r="C754" s="11">
        <v>0</v>
      </c>
      <c r="D754" s="11">
        <v>0</v>
      </c>
      <c r="E754" s="2">
        <f t="shared" si="23"/>
        <v>0</v>
      </c>
      <c r="F754" s="11">
        <v>0</v>
      </c>
      <c r="G754" s="14" t="e">
        <f t="shared" si="24"/>
        <v>#DIV/0!</v>
      </c>
    </row>
    <row r="755" spans="1:7">
      <c r="A755" s="1">
        <v>8</v>
      </c>
      <c r="B755" s="1" t="s">
        <v>32</v>
      </c>
      <c r="C755" s="11">
        <v>0</v>
      </c>
      <c r="D755" s="11">
        <v>0</v>
      </c>
      <c r="E755" s="2">
        <f t="shared" si="23"/>
        <v>0</v>
      </c>
      <c r="F755" s="11">
        <v>0.13400000000000001</v>
      </c>
      <c r="G755" s="14" t="e">
        <f t="shared" si="24"/>
        <v>#DIV/0!</v>
      </c>
    </row>
    <row r="756" spans="1:7">
      <c r="A756" s="1">
        <v>9</v>
      </c>
      <c r="B756" s="1" t="s">
        <v>32</v>
      </c>
      <c r="C756" s="11">
        <v>0</v>
      </c>
      <c r="D756" s="11">
        <v>0</v>
      </c>
      <c r="E756" s="2">
        <f t="shared" si="23"/>
        <v>0</v>
      </c>
      <c r="F756" s="11">
        <v>0.1</v>
      </c>
      <c r="G756" s="14" t="e">
        <f t="shared" si="24"/>
        <v>#DIV/0!</v>
      </c>
    </row>
    <row r="757" spans="1:7">
      <c r="A757" s="1">
        <v>11</v>
      </c>
      <c r="B757" s="1" t="s">
        <v>32</v>
      </c>
      <c r="C757" s="11">
        <v>0</v>
      </c>
      <c r="D757" s="11">
        <v>0</v>
      </c>
      <c r="E757" s="2">
        <f t="shared" si="23"/>
        <v>0</v>
      </c>
      <c r="F757" s="11">
        <v>0.182</v>
      </c>
      <c r="G757" s="14" t="e">
        <f t="shared" si="24"/>
        <v>#DIV/0!</v>
      </c>
    </row>
    <row r="758" spans="1:7">
      <c r="A758" s="1">
        <v>12</v>
      </c>
      <c r="B758" s="1" t="s">
        <v>32</v>
      </c>
      <c r="C758" s="11">
        <v>0</v>
      </c>
      <c r="D758" s="11">
        <v>0</v>
      </c>
      <c r="E758" s="2">
        <f t="shared" si="23"/>
        <v>0</v>
      </c>
      <c r="F758" s="11">
        <v>0.14399999999999835</v>
      </c>
      <c r="G758" s="14" t="e">
        <f t="shared" si="24"/>
        <v>#DIV/0!</v>
      </c>
    </row>
    <row r="759" spans="1:7">
      <c r="A759" s="1">
        <v>13</v>
      </c>
      <c r="B759" s="1" t="s">
        <v>32</v>
      </c>
      <c r="C759" s="11">
        <v>0</v>
      </c>
      <c r="D759" s="11">
        <v>0</v>
      </c>
      <c r="E759" s="2">
        <f t="shared" si="23"/>
        <v>0</v>
      </c>
      <c r="F759" s="11">
        <v>0.19800000000000001</v>
      </c>
      <c r="G759" s="14" t="e">
        <f t="shared" si="24"/>
        <v>#DIV/0!</v>
      </c>
    </row>
    <row r="760" spans="1:7">
      <c r="A760" s="1">
        <v>14</v>
      </c>
      <c r="B760" s="1" t="s">
        <v>32</v>
      </c>
      <c r="C760" s="11">
        <v>0</v>
      </c>
      <c r="D760" s="11">
        <v>0</v>
      </c>
      <c r="E760" s="2">
        <f t="shared" si="23"/>
        <v>0</v>
      </c>
      <c r="F760" s="11">
        <v>0.15</v>
      </c>
      <c r="G760" s="14" t="e">
        <f t="shared" si="24"/>
        <v>#DIV/0!</v>
      </c>
    </row>
    <row r="761" spans="1:7">
      <c r="A761" s="1">
        <v>15</v>
      </c>
      <c r="B761" s="1" t="s">
        <v>32</v>
      </c>
      <c r="C761" s="11">
        <v>25.1</v>
      </c>
      <c r="D761" s="11">
        <v>24.95</v>
      </c>
      <c r="E761" s="2">
        <f t="shared" si="23"/>
        <v>0.15000000000000213</v>
      </c>
      <c r="F761" s="11">
        <v>0.17799999999999999</v>
      </c>
      <c r="G761" s="14">
        <f t="shared" si="24"/>
        <v>1.3067729083665422E-2</v>
      </c>
    </row>
    <row r="762" spans="1:7">
      <c r="A762" s="1">
        <v>16</v>
      </c>
      <c r="B762" s="1" t="s">
        <v>32</v>
      </c>
      <c r="C762" s="11">
        <v>0</v>
      </c>
      <c r="D762" s="11">
        <v>0</v>
      </c>
      <c r="E762" s="2">
        <f t="shared" si="23"/>
        <v>0</v>
      </c>
      <c r="F762" s="11">
        <v>0.14799999999999999</v>
      </c>
      <c r="G762" s="14" t="e">
        <f t="shared" si="24"/>
        <v>#DIV/0!</v>
      </c>
    </row>
    <row r="763" spans="1:7">
      <c r="A763" s="1">
        <v>17</v>
      </c>
      <c r="B763" s="1" t="s">
        <v>32</v>
      </c>
      <c r="C763" s="11">
        <v>25.57</v>
      </c>
      <c r="D763" s="11">
        <v>25.16</v>
      </c>
      <c r="E763" s="2">
        <f t="shared" si="23"/>
        <v>0.41000000000000014</v>
      </c>
      <c r="F763" s="11">
        <v>0.19</v>
      </c>
      <c r="G763" s="14">
        <f t="shared" si="24"/>
        <v>2.3464998044583501E-2</v>
      </c>
    </row>
    <row r="764" spans="1:7">
      <c r="A764" s="1">
        <v>18</v>
      </c>
      <c r="B764" s="1" t="s">
        <v>32</v>
      </c>
      <c r="C764" s="11">
        <v>0</v>
      </c>
      <c r="D764" s="11">
        <v>0</v>
      </c>
      <c r="E764" s="2">
        <f t="shared" si="23"/>
        <v>0</v>
      </c>
      <c r="F764" s="11">
        <v>0.13200000000000001</v>
      </c>
      <c r="G764" s="14" t="e">
        <f t="shared" si="24"/>
        <v>#DIV/0!</v>
      </c>
    </row>
    <row r="765" spans="1:7">
      <c r="A765" s="1">
        <v>19</v>
      </c>
      <c r="B765" s="1" t="s">
        <v>32</v>
      </c>
      <c r="C765" s="11">
        <v>0</v>
      </c>
      <c r="D765" s="11">
        <v>0</v>
      </c>
      <c r="E765" s="2">
        <f t="shared" si="23"/>
        <v>0</v>
      </c>
      <c r="F765" s="11">
        <v>0.124</v>
      </c>
      <c r="G765" s="14" t="e">
        <f t="shared" si="24"/>
        <v>#DIV/0!</v>
      </c>
    </row>
    <row r="766" spans="1:7">
      <c r="A766" s="1">
        <v>20</v>
      </c>
      <c r="B766" s="1" t="s">
        <v>32</v>
      </c>
      <c r="C766" s="11">
        <v>27.73</v>
      </c>
      <c r="D766" s="11">
        <v>27.55</v>
      </c>
      <c r="E766" s="2">
        <f t="shared" si="23"/>
        <v>0.17999999999999972</v>
      </c>
      <c r="F766" s="11">
        <v>0.15</v>
      </c>
      <c r="G766" s="14">
        <f t="shared" si="24"/>
        <v>1.1900468806346907E-2</v>
      </c>
    </row>
    <row r="767" spans="1:7">
      <c r="A767" s="1">
        <v>21</v>
      </c>
      <c r="B767" s="1" t="s">
        <v>32</v>
      </c>
      <c r="C767" s="11">
        <v>0</v>
      </c>
      <c r="D767" s="11">
        <v>0</v>
      </c>
      <c r="E767" s="2">
        <f t="shared" si="23"/>
        <v>0</v>
      </c>
      <c r="F767" s="11">
        <v>0.13400000000000001</v>
      </c>
      <c r="G767" s="14" t="e">
        <f t="shared" si="24"/>
        <v>#DIV/0!</v>
      </c>
    </row>
    <row r="768" spans="1:7">
      <c r="A768" s="1">
        <v>22</v>
      </c>
      <c r="B768" s="1" t="s">
        <v>32</v>
      </c>
      <c r="C768" s="11">
        <v>0</v>
      </c>
      <c r="D768" s="11">
        <v>0</v>
      </c>
      <c r="E768" s="2">
        <f t="shared" si="23"/>
        <v>0</v>
      </c>
      <c r="F768" s="11">
        <v>0.11</v>
      </c>
      <c r="G768" s="14" t="e">
        <f t="shared" si="24"/>
        <v>#DIV/0!</v>
      </c>
    </row>
    <row r="769" spans="1:7">
      <c r="A769" s="1">
        <v>23</v>
      </c>
      <c r="B769" s="1" t="s">
        <v>32</v>
      </c>
      <c r="C769" s="11">
        <v>0</v>
      </c>
      <c r="D769" s="11">
        <v>0</v>
      </c>
      <c r="E769" s="2">
        <f t="shared" si="23"/>
        <v>0</v>
      </c>
      <c r="F769" s="11">
        <v>0.112</v>
      </c>
      <c r="G769" s="3" t="e">
        <f t="shared" si="24"/>
        <v>#DIV/0!</v>
      </c>
    </row>
    <row r="770" spans="1:7">
      <c r="A770" s="1">
        <v>24</v>
      </c>
      <c r="B770" s="1" t="s">
        <v>32</v>
      </c>
      <c r="C770" s="11">
        <v>20.260000000000002</v>
      </c>
      <c r="D770" s="11">
        <v>20.22</v>
      </c>
      <c r="E770" s="2">
        <f t="shared" si="23"/>
        <v>4.00000000000027E-2</v>
      </c>
      <c r="F770" s="11">
        <v>0.16400000000000001</v>
      </c>
      <c r="G770" s="3">
        <f t="shared" si="24"/>
        <v>1.0069101678183746E-2</v>
      </c>
    </row>
    <row r="771" spans="1:7">
      <c r="A771" s="1">
        <v>25</v>
      </c>
      <c r="B771" s="1" t="s">
        <v>32</v>
      </c>
      <c r="C771" s="11">
        <v>0</v>
      </c>
      <c r="D771" s="11">
        <v>0</v>
      </c>
      <c r="E771" s="2">
        <f t="shared" si="23"/>
        <v>0</v>
      </c>
      <c r="F771" s="11">
        <v>0.16800000000000001</v>
      </c>
      <c r="G771" s="3" t="e">
        <f t="shared" si="24"/>
        <v>#DIV/0!</v>
      </c>
    </row>
    <row r="772" spans="1:7">
      <c r="A772" s="1">
        <v>26</v>
      </c>
      <c r="B772" s="1" t="s">
        <v>32</v>
      </c>
      <c r="C772" s="11">
        <v>0</v>
      </c>
      <c r="D772" s="11">
        <v>0</v>
      </c>
      <c r="E772" s="2">
        <f t="shared" ref="E772:E835" si="25">C772-D772</f>
        <v>0</v>
      </c>
      <c r="F772" s="11">
        <v>0.112</v>
      </c>
      <c r="G772" s="14" t="e">
        <f t="shared" si="24"/>
        <v>#DIV/0!</v>
      </c>
    </row>
    <row r="773" spans="1:7">
      <c r="A773" s="1">
        <v>27</v>
      </c>
      <c r="B773" s="1" t="s">
        <v>32</v>
      </c>
      <c r="C773" s="11">
        <v>0</v>
      </c>
      <c r="D773" s="11">
        <v>0</v>
      </c>
      <c r="E773" s="2">
        <f t="shared" si="25"/>
        <v>0</v>
      </c>
      <c r="F773" s="11">
        <v>0.112</v>
      </c>
      <c r="G773" s="14" t="e">
        <f t="shared" si="24"/>
        <v>#DIV/0!</v>
      </c>
    </row>
    <row r="774" spans="1:7">
      <c r="A774" s="1">
        <v>28</v>
      </c>
      <c r="B774" s="1" t="s">
        <v>32</v>
      </c>
      <c r="C774" s="11">
        <v>0</v>
      </c>
      <c r="D774" s="11">
        <v>0</v>
      </c>
      <c r="E774" s="2">
        <f t="shared" si="25"/>
        <v>0</v>
      </c>
      <c r="F774" s="11">
        <v>0.14599999999999999</v>
      </c>
      <c r="G774" s="14" t="e">
        <f t="shared" si="24"/>
        <v>#DIV/0!</v>
      </c>
    </row>
    <row r="775" spans="1:7">
      <c r="A775" s="1">
        <v>29</v>
      </c>
      <c r="B775" s="1" t="s">
        <v>32</v>
      </c>
      <c r="C775" s="11">
        <v>0</v>
      </c>
      <c r="D775" s="11">
        <v>0</v>
      </c>
      <c r="E775" s="2">
        <f t="shared" si="25"/>
        <v>0</v>
      </c>
      <c r="F775" s="11">
        <v>0.12</v>
      </c>
      <c r="G775" s="14" t="e">
        <f t="shared" si="24"/>
        <v>#DIV/0!</v>
      </c>
    </row>
    <row r="776" spans="1:7">
      <c r="A776" s="1">
        <v>30</v>
      </c>
      <c r="B776" s="1" t="s">
        <v>32</v>
      </c>
      <c r="C776" s="11">
        <v>0</v>
      </c>
      <c r="D776" s="11">
        <v>0</v>
      </c>
      <c r="E776" s="2">
        <f t="shared" si="25"/>
        <v>0</v>
      </c>
      <c r="F776" s="11">
        <v>0.14000000000000001</v>
      </c>
      <c r="G776" s="14" t="e">
        <f t="shared" si="24"/>
        <v>#DIV/0!</v>
      </c>
    </row>
    <row r="777" spans="1:7">
      <c r="A777" s="1">
        <v>31</v>
      </c>
      <c r="B777" s="1" t="s">
        <v>32</v>
      </c>
      <c r="C777" s="11">
        <v>0</v>
      </c>
      <c r="D777" s="11">
        <v>0</v>
      </c>
      <c r="E777" s="2">
        <f t="shared" si="25"/>
        <v>0</v>
      </c>
      <c r="F777" s="11">
        <v>0.154</v>
      </c>
      <c r="G777" s="14" t="e">
        <f t="shared" si="24"/>
        <v>#DIV/0!</v>
      </c>
    </row>
    <row r="778" spans="1:7">
      <c r="A778" s="1">
        <v>1</v>
      </c>
      <c r="B778" s="1" t="s">
        <v>33</v>
      </c>
      <c r="C778" s="11">
        <v>0</v>
      </c>
      <c r="D778" s="11">
        <v>0</v>
      </c>
      <c r="E778" s="2">
        <f t="shared" si="25"/>
        <v>0</v>
      </c>
      <c r="F778" s="11">
        <v>8.5999999999999993E-2</v>
      </c>
      <c r="G778" s="14" t="e">
        <f t="shared" si="24"/>
        <v>#DIV/0!</v>
      </c>
    </row>
    <row r="779" spans="1:7">
      <c r="A779" s="1">
        <v>2</v>
      </c>
      <c r="B779" s="1" t="s">
        <v>33</v>
      </c>
      <c r="C779" s="11">
        <v>0</v>
      </c>
      <c r="D779" s="11">
        <v>0</v>
      </c>
      <c r="E779" s="2">
        <f t="shared" si="25"/>
        <v>0</v>
      </c>
      <c r="F779" s="11">
        <v>0</v>
      </c>
      <c r="G779" s="14" t="e">
        <f t="shared" si="24"/>
        <v>#DIV/0!</v>
      </c>
    </row>
    <row r="780" spans="1:7">
      <c r="A780" s="1">
        <v>3</v>
      </c>
      <c r="B780" s="1" t="s">
        <v>33</v>
      </c>
      <c r="C780" s="11">
        <v>0</v>
      </c>
      <c r="D780" s="11">
        <v>0</v>
      </c>
      <c r="E780" s="2">
        <f t="shared" si="25"/>
        <v>0</v>
      </c>
      <c r="F780" s="11">
        <v>0</v>
      </c>
      <c r="G780" s="14" t="e">
        <f t="shared" si="24"/>
        <v>#DIV/0!</v>
      </c>
    </row>
    <row r="781" spans="1:7">
      <c r="A781" s="1">
        <v>4</v>
      </c>
      <c r="B781" s="1" t="s">
        <v>33</v>
      </c>
      <c r="C781" s="11">
        <v>0</v>
      </c>
      <c r="D781" s="11">
        <v>0</v>
      </c>
      <c r="E781" s="2">
        <f t="shared" si="25"/>
        <v>0</v>
      </c>
      <c r="F781" s="11">
        <v>1.2E-2</v>
      </c>
      <c r="G781" s="14" t="e">
        <f t="shared" si="24"/>
        <v>#DIV/0!</v>
      </c>
    </row>
    <row r="782" spans="1:7">
      <c r="A782" s="1">
        <v>5</v>
      </c>
      <c r="B782" s="1" t="s">
        <v>33</v>
      </c>
      <c r="C782" s="11">
        <v>0</v>
      </c>
      <c r="D782" s="11">
        <v>0</v>
      </c>
      <c r="E782" s="2">
        <f t="shared" si="25"/>
        <v>0</v>
      </c>
      <c r="F782" s="11">
        <v>0</v>
      </c>
      <c r="G782" s="14" t="e">
        <f t="shared" si="24"/>
        <v>#DIV/0!</v>
      </c>
    </row>
    <row r="783" spans="1:7">
      <c r="A783" s="1">
        <v>6</v>
      </c>
      <c r="B783" s="1" t="s">
        <v>33</v>
      </c>
      <c r="C783" s="11">
        <v>23.77</v>
      </c>
      <c r="D783" s="11">
        <v>23.67</v>
      </c>
      <c r="E783" s="2">
        <f t="shared" si="25"/>
        <v>9.9999999999997868E-2</v>
      </c>
      <c r="F783" s="11">
        <v>0.02</v>
      </c>
      <c r="G783" s="14">
        <f t="shared" si="24"/>
        <v>5.0483803113166963E-3</v>
      </c>
    </row>
    <row r="784" spans="1:7">
      <c r="A784" s="1">
        <v>7</v>
      </c>
      <c r="B784" s="1" t="s">
        <v>33</v>
      </c>
      <c r="C784" s="11">
        <v>0</v>
      </c>
      <c r="D784" s="11">
        <v>0</v>
      </c>
      <c r="E784" s="2">
        <f t="shared" si="25"/>
        <v>0</v>
      </c>
      <c r="F784" s="11">
        <v>0.11600000000000001</v>
      </c>
      <c r="G784" s="14" t="e">
        <f t="shared" si="24"/>
        <v>#DIV/0!</v>
      </c>
    </row>
    <row r="785" spans="1:7">
      <c r="A785" s="1">
        <v>10</v>
      </c>
      <c r="B785" s="1" t="s">
        <v>33</v>
      </c>
      <c r="C785" s="11">
        <v>0</v>
      </c>
      <c r="D785" s="11">
        <v>0</v>
      </c>
      <c r="E785" s="2">
        <f t="shared" si="25"/>
        <v>0</v>
      </c>
      <c r="F785" s="11">
        <v>0.13700000000000001</v>
      </c>
      <c r="G785" s="14" t="e">
        <f t="shared" si="24"/>
        <v>#DIV/0!</v>
      </c>
    </row>
    <row r="786" spans="1:7">
      <c r="A786" s="1">
        <v>8</v>
      </c>
      <c r="B786" s="1" t="s">
        <v>33</v>
      </c>
      <c r="C786" s="11">
        <v>0</v>
      </c>
      <c r="D786" s="11">
        <v>0</v>
      </c>
      <c r="E786" s="2">
        <f t="shared" si="25"/>
        <v>0</v>
      </c>
      <c r="F786" s="11">
        <v>7.5999999999999998E-2</v>
      </c>
      <c r="G786" s="14" t="e">
        <f t="shared" si="24"/>
        <v>#DIV/0!</v>
      </c>
    </row>
    <row r="787" spans="1:7">
      <c r="A787" s="1">
        <v>9</v>
      </c>
      <c r="B787" s="1" t="s">
        <v>33</v>
      </c>
      <c r="C787" s="11">
        <v>0</v>
      </c>
      <c r="D787" s="11">
        <v>0</v>
      </c>
      <c r="E787" s="2">
        <f t="shared" si="25"/>
        <v>0</v>
      </c>
      <c r="F787" s="11">
        <v>9.5000000000000001E-2</v>
      </c>
      <c r="G787" s="14" t="e">
        <f t="shared" si="24"/>
        <v>#DIV/0!</v>
      </c>
    </row>
    <row r="788" spans="1:7">
      <c r="A788" s="1">
        <v>11</v>
      </c>
      <c r="B788" s="1" t="s">
        <v>33</v>
      </c>
      <c r="C788" s="11">
        <v>25.14</v>
      </c>
      <c r="D788" s="11">
        <v>24.82</v>
      </c>
      <c r="E788" s="2">
        <f t="shared" si="25"/>
        <v>0.32000000000000028</v>
      </c>
      <c r="F788" s="11">
        <v>0.32200000000000001</v>
      </c>
      <c r="G788" s="14">
        <f t="shared" si="24"/>
        <v>2.5536992840095477E-2</v>
      </c>
    </row>
    <row r="789" spans="1:7">
      <c r="A789" s="1">
        <v>12</v>
      </c>
      <c r="B789" s="1" t="s">
        <v>33</v>
      </c>
      <c r="C789" s="11">
        <v>0</v>
      </c>
      <c r="D789" s="11">
        <v>0</v>
      </c>
      <c r="E789" s="2">
        <f t="shared" si="25"/>
        <v>0</v>
      </c>
      <c r="F789" s="11">
        <v>0.17399999999999999</v>
      </c>
      <c r="G789" s="14" t="e">
        <f t="shared" si="24"/>
        <v>#DIV/0!</v>
      </c>
    </row>
    <row r="790" spans="1:7">
      <c r="A790" s="1">
        <v>13</v>
      </c>
      <c r="B790" s="1" t="s">
        <v>33</v>
      </c>
      <c r="C790" s="11">
        <v>25.25</v>
      </c>
      <c r="D790" s="11">
        <v>25.19</v>
      </c>
      <c r="E790" s="2">
        <f t="shared" si="25"/>
        <v>5.9999999999998721E-2</v>
      </c>
      <c r="F790" s="11">
        <v>0.20699999999999999</v>
      </c>
      <c r="G790" s="14">
        <f t="shared" si="24"/>
        <v>1.0574257425742523E-2</v>
      </c>
    </row>
    <row r="791" spans="1:7">
      <c r="A791" s="1">
        <v>14</v>
      </c>
      <c r="B791" s="1" t="s">
        <v>33</v>
      </c>
      <c r="C791" s="11">
        <v>0</v>
      </c>
      <c r="D791" s="11">
        <v>0</v>
      </c>
      <c r="E791" s="2">
        <f t="shared" si="25"/>
        <v>0</v>
      </c>
      <c r="F791" s="11">
        <v>0.151</v>
      </c>
      <c r="G791" s="14" t="e">
        <f t="shared" si="24"/>
        <v>#DIV/0!</v>
      </c>
    </row>
    <row r="792" spans="1:7">
      <c r="A792" s="1">
        <v>15</v>
      </c>
      <c r="B792" s="1" t="s">
        <v>33</v>
      </c>
      <c r="C792" s="11">
        <v>0</v>
      </c>
      <c r="D792" s="11">
        <v>0</v>
      </c>
      <c r="E792" s="2">
        <f t="shared" si="25"/>
        <v>0</v>
      </c>
      <c r="F792" s="11">
        <v>0.11</v>
      </c>
      <c r="G792" s="14" t="e">
        <f t="shared" si="24"/>
        <v>#DIV/0!</v>
      </c>
    </row>
    <row r="793" spans="1:7">
      <c r="A793" s="1">
        <v>16</v>
      </c>
      <c r="B793" s="1" t="s">
        <v>33</v>
      </c>
      <c r="C793" s="11">
        <v>0</v>
      </c>
      <c r="D793" s="11">
        <v>0</v>
      </c>
      <c r="E793" s="2">
        <f t="shared" si="25"/>
        <v>0</v>
      </c>
      <c r="F793" s="11">
        <v>0.106</v>
      </c>
      <c r="G793" s="14" t="e">
        <f t="shared" si="24"/>
        <v>#DIV/0!</v>
      </c>
    </row>
    <row r="794" spans="1:7">
      <c r="A794" s="1">
        <v>17</v>
      </c>
      <c r="B794" s="1" t="s">
        <v>33</v>
      </c>
      <c r="C794" s="11">
        <v>0</v>
      </c>
      <c r="D794" s="11">
        <v>0</v>
      </c>
      <c r="E794" s="2">
        <f t="shared" si="25"/>
        <v>0</v>
      </c>
      <c r="F794" s="11">
        <v>0</v>
      </c>
      <c r="G794" s="14" t="e">
        <f t="shared" si="24"/>
        <v>#DIV/0!</v>
      </c>
    </row>
    <row r="795" spans="1:7">
      <c r="A795" s="1">
        <v>18</v>
      </c>
      <c r="B795" s="1" t="s">
        <v>33</v>
      </c>
      <c r="C795" s="11">
        <v>0</v>
      </c>
      <c r="D795" s="11">
        <v>0</v>
      </c>
      <c r="E795" s="2">
        <f t="shared" si="25"/>
        <v>0</v>
      </c>
      <c r="F795" s="11">
        <v>0.11700000000000001</v>
      </c>
      <c r="G795" s="14" t="e">
        <f t="shared" si="24"/>
        <v>#DIV/0!</v>
      </c>
    </row>
    <row r="796" spans="1:7">
      <c r="A796" s="1">
        <v>19</v>
      </c>
      <c r="B796" s="1" t="s">
        <v>33</v>
      </c>
      <c r="C796" s="11">
        <v>0</v>
      </c>
      <c r="D796" s="11">
        <v>0</v>
      </c>
      <c r="E796" s="2">
        <f t="shared" si="25"/>
        <v>0</v>
      </c>
      <c r="F796" s="11">
        <v>0.125</v>
      </c>
      <c r="G796" s="14" t="e">
        <f t="shared" si="24"/>
        <v>#DIV/0!</v>
      </c>
    </row>
    <row r="797" spans="1:7">
      <c r="A797" s="1">
        <v>20</v>
      </c>
      <c r="B797" s="1" t="s">
        <v>33</v>
      </c>
      <c r="C797" s="11">
        <v>0</v>
      </c>
      <c r="D797" s="11">
        <v>0</v>
      </c>
      <c r="E797" s="2">
        <f t="shared" si="25"/>
        <v>0</v>
      </c>
      <c r="F797" s="11">
        <v>0.13800000000000001</v>
      </c>
      <c r="G797" s="14" t="e">
        <f t="shared" si="24"/>
        <v>#DIV/0!</v>
      </c>
    </row>
    <row r="798" spans="1:7">
      <c r="A798" s="1">
        <v>21</v>
      </c>
      <c r="B798" s="1" t="s">
        <v>33</v>
      </c>
      <c r="C798" s="11">
        <v>0</v>
      </c>
      <c r="D798" s="11">
        <v>0</v>
      </c>
      <c r="E798" s="2">
        <f t="shared" si="25"/>
        <v>0</v>
      </c>
      <c r="F798" s="11">
        <v>0.129</v>
      </c>
      <c r="G798" s="14" t="e">
        <f t="shared" si="24"/>
        <v>#DIV/0!</v>
      </c>
    </row>
    <row r="799" spans="1:7">
      <c r="A799" s="1">
        <v>22</v>
      </c>
      <c r="B799" s="1" t="s">
        <v>33</v>
      </c>
      <c r="C799" s="11">
        <v>0</v>
      </c>
      <c r="D799" s="11">
        <v>0</v>
      </c>
      <c r="E799" s="2">
        <f t="shared" si="25"/>
        <v>0</v>
      </c>
      <c r="F799" s="11">
        <v>9.8000000000000004E-2</v>
      </c>
      <c r="G799" s="14" t="e">
        <f t="shared" si="24"/>
        <v>#DIV/0!</v>
      </c>
    </row>
    <row r="800" spans="1:7">
      <c r="A800" s="1">
        <v>23</v>
      </c>
      <c r="B800" s="1" t="s">
        <v>33</v>
      </c>
      <c r="C800" s="11">
        <v>0</v>
      </c>
      <c r="D800" s="11">
        <v>0</v>
      </c>
      <c r="E800" s="2">
        <f t="shared" si="25"/>
        <v>0</v>
      </c>
      <c r="F800" s="11">
        <v>0.122</v>
      </c>
      <c r="G800" s="3" t="e">
        <f t="shared" si="24"/>
        <v>#DIV/0!</v>
      </c>
    </row>
    <row r="801" spans="1:7">
      <c r="A801" s="1">
        <v>24</v>
      </c>
      <c r="B801" s="1" t="s">
        <v>33</v>
      </c>
      <c r="C801" s="11">
        <v>0</v>
      </c>
      <c r="D801" s="11">
        <v>0</v>
      </c>
      <c r="E801" s="2">
        <f t="shared" si="25"/>
        <v>0</v>
      </c>
      <c r="F801" s="11">
        <v>0.106</v>
      </c>
      <c r="G801" s="3" t="e">
        <f t="shared" si="24"/>
        <v>#DIV/0!</v>
      </c>
    </row>
    <row r="802" spans="1:7">
      <c r="A802" s="1">
        <v>25</v>
      </c>
      <c r="B802" s="1" t="s">
        <v>33</v>
      </c>
      <c r="C802" s="11">
        <v>0</v>
      </c>
      <c r="D802" s="11">
        <v>0</v>
      </c>
      <c r="E802" s="2">
        <f t="shared" si="25"/>
        <v>0</v>
      </c>
      <c r="F802" s="11">
        <v>0.46100000000000002</v>
      </c>
      <c r="G802" s="3" t="e">
        <f t="shared" si="24"/>
        <v>#DIV/0!</v>
      </c>
    </row>
    <row r="803" spans="1:7">
      <c r="A803" s="1">
        <v>26</v>
      </c>
      <c r="B803" s="1" t="s">
        <v>33</v>
      </c>
      <c r="C803" s="11">
        <v>0</v>
      </c>
      <c r="D803" s="11">
        <v>0</v>
      </c>
      <c r="E803" s="2">
        <f t="shared" si="25"/>
        <v>0</v>
      </c>
      <c r="F803" s="11">
        <v>0.112</v>
      </c>
      <c r="G803" s="14" t="e">
        <f t="shared" si="24"/>
        <v>#DIV/0!</v>
      </c>
    </row>
    <row r="804" spans="1:7">
      <c r="A804" s="1">
        <v>27</v>
      </c>
      <c r="B804" s="1" t="s">
        <v>33</v>
      </c>
      <c r="C804" s="11">
        <v>22.6</v>
      </c>
      <c r="D804" s="11">
        <v>22.09</v>
      </c>
      <c r="E804" s="2">
        <f t="shared" si="25"/>
        <v>0.51000000000000156</v>
      </c>
      <c r="F804" s="11">
        <v>0.193</v>
      </c>
      <c r="G804" s="14">
        <f t="shared" si="24"/>
        <v>3.1106194690265557E-2</v>
      </c>
    </row>
    <row r="805" spans="1:7">
      <c r="A805" s="1">
        <v>28</v>
      </c>
      <c r="B805" s="1" t="s">
        <v>33</v>
      </c>
      <c r="C805" s="11">
        <v>0</v>
      </c>
      <c r="D805" s="11">
        <v>0</v>
      </c>
      <c r="E805" s="2">
        <f t="shared" si="25"/>
        <v>0</v>
      </c>
      <c r="F805" s="11">
        <v>0.20599999999999999</v>
      </c>
      <c r="G805" s="14" t="e">
        <f t="shared" ref="G805:G868" si="26">(E805+F805)/C805</f>
        <v>#DIV/0!</v>
      </c>
    </row>
    <row r="806" spans="1:7">
      <c r="A806" s="1">
        <v>29</v>
      </c>
      <c r="B806" s="1" t="s">
        <v>33</v>
      </c>
      <c r="C806" s="11">
        <v>0</v>
      </c>
      <c r="D806" s="11">
        <v>0</v>
      </c>
      <c r="E806" s="2">
        <f t="shared" si="25"/>
        <v>0</v>
      </c>
      <c r="F806" s="11">
        <v>0.114</v>
      </c>
      <c r="G806" s="14" t="e">
        <f t="shared" si="26"/>
        <v>#DIV/0!</v>
      </c>
    </row>
    <row r="807" spans="1:7">
      <c r="A807" s="1">
        <v>30</v>
      </c>
      <c r="B807" s="1" t="s">
        <v>33</v>
      </c>
      <c r="C807" s="11">
        <v>0</v>
      </c>
      <c r="D807" s="11">
        <v>0</v>
      </c>
      <c r="E807" s="2">
        <f t="shared" si="25"/>
        <v>0</v>
      </c>
      <c r="F807" s="11">
        <v>0</v>
      </c>
      <c r="G807" s="14" t="e">
        <f t="shared" si="26"/>
        <v>#DIV/0!</v>
      </c>
    </row>
    <row r="808" spans="1:7">
      <c r="A808" s="1">
        <v>31</v>
      </c>
      <c r="B808" s="1" t="s">
        <v>33</v>
      </c>
      <c r="C808" s="11">
        <v>22.96</v>
      </c>
      <c r="D808" s="11">
        <v>22.7</v>
      </c>
      <c r="E808" s="2">
        <f t="shared" si="25"/>
        <v>0.26000000000000156</v>
      </c>
      <c r="F808" s="11">
        <v>0.13100000000000001</v>
      </c>
      <c r="G808" s="14">
        <f t="shared" si="26"/>
        <v>1.7029616724738742E-2</v>
      </c>
    </row>
    <row r="809" spans="1:7">
      <c r="A809" s="1">
        <v>1</v>
      </c>
      <c r="B809" s="1" t="s">
        <v>34</v>
      </c>
      <c r="C809" s="11">
        <v>21.61</v>
      </c>
      <c r="D809" s="11">
        <v>21.31</v>
      </c>
      <c r="E809" s="2">
        <f t="shared" si="25"/>
        <v>0.30000000000000071</v>
      </c>
      <c r="F809" s="11">
        <v>5.6000000000000001E-2</v>
      </c>
      <c r="G809" s="14">
        <f t="shared" si="26"/>
        <v>1.6473854696899617E-2</v>
      </c>
    </row>
    <row r="810" spans="1:7">
      <c r="A810" s="1">
        <v>2</v>
      </c>
      <c r="B810" s="1" t="s">
        <v>34</v>
      </c>
      <c r="C810" s="11">
        <v>0</v>
      </c>
      <c r="D810" s="11">
        <v>0</v>
      </c>
      <c r="E810" s="2">
        <f t="shared" si="25"/>
        <v>0</v>
      </c>
      <c r="F810" s="11">
        <v>6.4000000000000001E-2</v>
      </c>
      <c r="G810" s="14" t="e">
        <f t="shared" si="26"/>
        <v>#DIV/0!</v>
      </c>
    </row>
    <row r="811" spans="1:7">
      <c r="A811" s="1">
        <v>3</v>
      </c>
      <c r="B811" s="1" t="s">
        <v>34</v>
      </c>
      <c r="C811" s="11">
        <v>0</v>
      </c>
      <c r="D811" s="11">
        <v>0</v>
      </c>
      <c r="E811" s="2">
        <f t="shared" si="25"/>
        <v>0</v>
      </c>
      <c r="F811" s="11">
        <v>4.7E-2</v>
      </c>
      <c r="G811" s="14" t="e">
        <f t="shared" si="26"/>
        <v>#DIV/0!</v>
      </c>
    </row>
    <row r="812" spans="1:7">
      <c r="A812" s="1">
        <v>4</v>
      </c>
      <c r="B812" s="1" t="s">
        <v>34</v>
      </c>
      <c r="C812" s="11">
        <v>0</v>
      </c>
      <c r="D812" s="11">
        <v>0</v>
      </c>
      <c r="E812" s="2">
        <f t="shared" si="25"/>
        <v>0</v>
      </c>
      <c r="F812" s="11">
        <v>0</v>
      </c>
      <c r="G812" s="14" t="e">
        <f t="shared" si="26"/>
        <v>#DIV/0!</v>
      </c>
    </row>
    <row r="813" spans="1:7">
      <c r="A813" s="1">
        <v>5</v>
      </c>
      <c r="B813" s="1" t="s">
        <v>34</v>
      </c>
      <c r="C813" s="11">
        <v>0</v>
      </c>
      <c r="D813" s="11">
        <v>0</v>
      </c>
      <c r="E813" s="2">
        <f t="shared" si="25"/>
        <v>0</v>
      </c>
      <c r="F813" s="11">
        <v>7.0000000000000007E-2</v>
      </c>
      <c r="G813" s="14" t="e">
        <f t="shared" si="26"/>
        <v>#DIV/0!</v>
      </c>
    </row>
    <row r="814" spans="1:7">
      <c r="A814" s="1">
        <v>6</v>
      </c>
      <c r="B814" s="1" t="s">
        <v>34</v>
      </c>
      <c r="C814" s="11">
        <v>0</v>
      </c>
      <c r="D814" s="11">
        <v>0</v>
      </c>
      <c r="E814" s="2">
        <f t="shared" si="25"/>
        <v>0</v>
      </c>
      <c r="F814" s="11">
        <v>6.6000000000000003E-2</v>
      </c>
      <c r="G814" s="14" t="e">
        <f t="shared" si="26"/>
        <v>#DIV/0!</v>
      </c>
    </row>
    <row r="815" spans="1:7">
      <c r="A815" s="1">
        <v>7</v>
      </c>
      <c r="B815" s="1" t="s">
        <v>34</v>
      </c>
      <c r="C815" s="11">
        <v>26.23</v>
      </c>
      <c r="D815" s="11">
        <v>25.93</v>
      </c>
      <c r="E815" s="2">
        <f t="shared" si="25"/>
        <v>0.30000000000000071</v>
      </c>
      <c r="F815" s="11">
        <v>5.8000000000000003E-2</v>
      </c>
      <c r="G815" s="14">
        <f t="shared" si="26"/>
        <v>1.3648494090735826E-2</v>
      </c>
    </row>
    <row r="816" spans="1:7">
      <c r="A816" s="1">
        <v>10</v>
      </c>
      <c r="B816" s="1" t="s">
        <v>34</v>
      </c>
      <c r="C816" s="11">
        <v>0</v>
      </c>
      <c r="D816" s="11">
        <v>0</v>
      </c>
      <c r="E816" s="2">
        <f t="shared" si="25"/>
        <v>0</v>
      </c>
      <c r="F816" s="11">
        <v>5.2999999999999999E-2</v>
      </c>
      <c r="G816" s="14" t="e">
        <f t="shared" si="26"/>
        <v>#DIV/0!</v>
      </c>
    </row>
    <row r="817" spans="1:7">
      <c r="A817" s="1">
        <v>8</v>
      </c>
      <c r="B817" s="1" t="s">
        <v>34</v>
      </c>
      <c r="C817" s="11">
        <v>0</v>
      </c>
      <c r="D817" s="11">
        <v>0</v>
      </c>
      <c r="E817" s="2">
        <f t="shared" si="25"/>
        <v>0</v>
      </c>
      <c r="F817" s="11">
        <v>6.8000000000000005E-2</v>
      </c>
      <c r="G817" s="14" t="e">
        <f t="shared" si="26"/>
        <v>#DIV/0!</v>
      </c>
    </row>
    <row r="818" spans="1:7">
      <c r="A818" s="1">
        <v>9</v>
      </c>
      <c r="B818" s="1" t="s">
        <v>34</v>
      </c>
      <c r="C818" s="11">
        <v>23.36</v>
      </c>
      <c r="D818" s="11">
        <v>23.06</v>
      </c>
      <c r="E818" s="2">
        <f t="shared" si="25"/>
        <v>0.30000000000000071</v>
      </c>
      <c r="F818" s="11">
        <v>5.8000000000000003E-2</v>
      </c>
      <c r="G818" s="14">
        <f t="shared" si="26"/>
        <v>1.5325342465753455E-2</v>
      </c>
    </row>
    <row r="819" spans="1:7">
      <c r="A819" s="1">
        <v>11</v>
      </c>
      <c r="B819" s="1" t="s">
        <v>34</v>
      </c>
      <c r="C819" s="11">
        <v>25.28</v>
      </c>
      <c r="D819" s="11">
        <v>24.93</v>
      </c>
      <c r="E819" s="2">
        <f t="shared" si="25"/>
        <v>0.35000000000000142</v>
      </c>
      <c r="F819" s="11">
        <v>7.4999999999999997E-2</v>
      </c>
      <c r="G819" s="14">
        <f t="shared" si="26"/>
        <v>1.6811708860759549E-2</v>
      </c>
    </row>
    <row r="820" spans="1:7">
      <c r="A820" s="1">
        <v>12</v>
      </c>
      <c r="B820" s="1" t="s">
        <v>34</v>
      </c>
      <c r="C820" s="11">
        <v>20.63</v>
      </c>
      <c r="D820" s="11">
        <v>20.329999999999998</v>
      </c>
      <c r="E820" s="2">
        <f t="shared" si="25"/>
        <v>0.30000000000000071</v>
      </c>
      <c r="F820" s="11">
        <v>5.0999999999999997E-2</v>
      </c>
      <c r="G820" s="14">
        <f t="shared" si="26"/>
        <v>1.7014057198255002E-2</v>
      </c>
    </row>
    <row r="821" spans="1:7">
      <c r="A821" s="1">
        <v>13</v>
      </c>
      <c r="B821" s="1" t="s">
        <v>34</v>
      </c>
      <c r="C821" s="11">
        <v>0</v>
      </c>
      <c r="D821" s="11">
        <v>0</v>
      </c>
      <c r="E821" s="2">
        <f t="shared" si="25"/>
        <v>0</v>
      </c>
      <c r="F821" s="11">
        <v>8.9999999999999993E-3</v>
      </c>
      <c r="G821" s="14" t="e">
        <f t="shared" si="26"/>
        <v>#DIV/0!</v>
      </c>
    </row>
    <row r="822" spans="1:7">
      <c r="A822" s="1">
        <v>14</v>
      </c>
      <c r="B822" s="1" t="s">
        <v>34</v>
      </c>
      <c r="C822" s="11">
        <v>0</v>
      </c>
      <c r="D822" s="11">
        <v>0</v>
      </c>
      <c r="E822" s="2">
        <f t="shared" si="25"/>
        <v>0</v>
      </c>
      <c r="F822" s="11">
        <v>6.2E-2</v>
      </c>
      <c r="G822" s="14" t="e">
        <f t="shared" si="26"/>
        <v>#DIV/0!</v>
      </c>
    </row>
    <row r="823" spans="1:7">
      <c r="A823" s="1">
        <v>15</v>
      </c>
      <c r="B823" s="1" t="s">
        <v>34</v>
      </c>
      <c r="C823" s="11">
        <v>0</v>
      </c>
      <c r="D823" s="11">
        <v>0</v>
      </c>
      <c r="E823" s="2">
        <f t="shared" si="25"/>
        <v>0</v>
      </c>
      <c r="F823" s="11">
        <v>3.2000000000000001E-2</v>
      </c>
      <c r="G823" s="14" t="e">
        <f t="shared" si="26"/>
        <v>#DIV/0!</v>
      </c>
    </row>
    <row r="824" spans="1:7">
      <c r="A824" s="1">
        <v>16</v>
      </c>
      <c r="B824" s="1" t="s">
        <v>34</v>
      </c>
      <c r="C824" s="11">
        <v>24.6</v>
      </c>
      <c r="D824" s="11">
        <v>24.3</v>
      </c>
      <c r="E824" s="2">
        <f t="shared" si="25"/>
        <v>0.30000000000000071</v>
      </c>
      <c r="F824" s="11">
        <v>8.4000000000000005E-2</v>
      </c>
      <c r="G824" s="14">
        <f t="shared" si="26"/>
        <v>1.5609756097561005E-2</v>
      </c>
    </row>
    <row r="825" spans="1:7">
      <c r="A825" s="1">
        <v>17</v>
      </c>
      <c r="B825" s="1" t="s">
        <v>34</v>
      </c>
      <c r="C825" s="11">
        <v>0</v>
      </c>
      <c r="D825" s="11">
        <v>0</v>
      </c>
      <c r="E825" s="2">
        <f t="shared" si="25"/>
        <v>0</v>
      </c>
      <c r="F825" s="11">
        <v>3.7999999999999999E-2</v>
      </c>
      <c r="G825" s="14" t="e">
        <f t="shared" si="26"/>
        <v>#DIV/0!</v>
      </c>
    </row>
    <row r="826" spans="1:7">
      <c r="A826" s="1">
        <v>18</v>
      </c>
      <c r="B826" s="1" t="s">
        <v>34</v>
      </c>
      <c r="C826" s="11">
        <v>0</v>
      </c>
      <c r="D826" s="11">
        <v>0</v>
      </c>
      <c r="E826" s="2">
        <f t="shared" si="25"/>
        <v>0</v>
      </c>
      <c r="F826" s="11">
        <v>5.3999999999999999E-2</v>
      </c>
      <c r="G826" s="14" t="e">
        <f t="shared" si="26"/>
        <v>#DIV/0!</v>
      </c>
    </row>
    <row r="827" spans="1:7">
      <c r="A827" s="1">
        <v>19</v>
      </c>
      <c r="B827" s="1" t="s">
        <v>34</v>
      </c>
      <c r="C827" s="11">
        <v>0</v>
      </c>
      <c r="D827" s="11">
        <v>0</v>
      </c>
      <c r="E827" s="2">
        <f t="shared" si="25"/>
        <v>0</v>
      </c>
      <c r="F827" s="11">
        <v>4.3999999999999997E-2</v>
      </c>
      <c r="G827" s="14" t="e">
        <f t="shared" si="26"/>
        <v>#DIV/0!</v>
      </c>
    </row>
    <row r="828" spans="1:7">
      <c r="A828" s="1">
        <v>20</v>
      </c>
      <c r="B828" s="1" t="s">
        <v>34</v>
      </c>
      <c r="C828" s="11">
        <v>0</v>
      </c>
      <c r="D828" s="11">
        <v>0</v>
      </c>
      <c r="E828" s="2">
        <f t="shared" si="25"/>
        <v>0</v>
      </c>
      <c r="F828" s="11">
        <v>8.5999999999999993E-2</v>
      </c>
      <c r="G828" s="14" t="e">
        <f t="shared" si="26"/>
        <v>#DIV/0!</v>
      </c>
    </row>
    <row r="829" spans="1:7">
      <c r="A829" s="1">
        <v>21</v>
      </c>
      <c r="B829" s="1" t="s">
        <v>34</v>
      </c>
      <c r="C829" s="11">
        <v>0</v>
      </c>
      <c r="D829" s="11">
        <v>0</v>
      </c>
      <c r="E829" s="2">
        <f t="shared" si="25"/>
        <v>0</v>
      </c>
      <c r="F829" s="11">
        <v>8.5999999999999993E-2</v>
      </c>
      <c r="G829" s="14" t="e">
        <f t="shared" si="26"/>
        <v>#DIV/0!</v>
      </c>
    </row>
    <row r="830" spans="1:7">
      <c r="A830" s="1">
        <v>22</v>
      </c>
      <c r="B830" s="1" t="s">
        <v>34</v>
      </c>
      <c r="C830" s="11">
        <v>0</v>
      </c>
      <c r="D830" s="11">
        <v>0</v>
      </c>
      <c r="E830" s="2">
        <f t="shared" si="25"/>
        <v>0</v>
      </c>
      <c r="F830" s="11">
        <v>4.2000000000000003E-2</v>
      </c>
      <c r="G830" s="14" t="e">
        <f t="shared" si="26"/>
        <v>#DIV/0!</v>
      </c>
    </row>
    <row r="831" spans="1:7">
      <c r="A831" s="1">
        <v>23</v>
      </c>
      <c r="B831" s="1" t="s">
        <v>34</v>
      </c>
      <c r="C831" s="11">
        <v>0</v>
      </c>
      <c r="D831" s="11">
        <v>0</v>
      </c>
      <c r="E831" s="2">
        <f t="shared" si="25"/>
        <v>0</v>
      </c>
      <c r="F831" s="11">
        <v>0.06</v>
      </c>
      <c r="G831" s="3" t="e">
        <f t="shared" si="26"/>
        <v>#DIV/0!</v>
      </c>
    </row>
    <row r="832" spans="1:7">
      <c r="A832" s="1">
        <v>24</v>
      </c>
      <c r="B832" s="1" t="s">
        <v>34</v>
      </c>
      <c r="C832" s="11">
        <v>0</v>
      </c>
      <c r="D832" s="11">
        <v>0</v>
      </c>
      <c r="E832" s="2">
        <f t="shared" si="25"/>
        <v>0</v>
      </c>
      <c r="F832" s="11">
        <v>6.3E-2</v>
      </c>
      <c r="G832" s="3" t="e">
        <f t="shared" si="26"/>
        <v>#DIV/0!</v>
      </c>
    </row>
    <row r="833" spans="1:7">
      <c r="A833" s="1">
        <v>25</v>
      </c>
      <c r="B833" s="1" t="s">
        <v>34</v>
      </c>
      <c r="C833" s="11">
        <v>0</v>
      </c>
      <c r="D833" s="11">
        <v>0</v>
      </c>
      <c r="E833" s="2">
        <f t="shared" si="25"/>
        <v>0</v>
      </c>
      <c r="F833" s="11">
        <v>6.3E-2</v>
      </c>
      <c r="G833" s="3" t="e">
        <f t="shared" si="26"/>
        <v>#DIV/0!</v>
      </c>
    </row>
    <row r="834" spans="1:7">
      <c r="A834" s="1">
        <v>26</v>
      </c>
      <c r="B834" s="1" t="s">
        <v>34</v>
      </c>
      <c r="C834" s="11">
        <v>11.38</v>
      </c>
      <c r="D834" s="11">
        <v>11.22</v>
      </c>
      <c r="E834" s="2">
        <f t="shared" si="25"/>
        <v>0.16000000000000014</v>
      </c>
      <c r="F834" s="11">
        <v>5.3999999999999999E-2</v>
      </c>
      <c r="G834" s="14">
        <f t="shared" si="26"/>
        <v>1.8804920913884016E-2</v>
      </c>
    </row>
    <row r="835" spans="1:7">
      <c r="A835" s="1">
        <v>27</v>
      </c>
      <c r="B835" s="1" t="s">
        <v>34</v>
      </c>
      <c r="C835" s="11">
        <v>0</v>
      </c>
      <c r="D835" s="11">
        <v>0</v>
      </c>
      <c r="E835" s="2">
        <f t="shared" si="25"/>
        <v>0</v>
      </c>
      <c r="F835" s="11">
        <v>5.6000000000000001E-2</v>
      </c>
      <c r="G835" s="14" t="e">
        <f t="shared" si="26"/>
        <v>#DIV/0!</v>
      </c>
    </row>
    <row r="836" spans="1:7">
      <c r="A836" s="1">
        <v>28</v>
      </c>
      <c r="B836" s="1" t="s">
        <v>34</v>
      </c>
      <c r="C836" s="11">
        <v>0</v>
      </c>
      <c r="D836" s="11">
        <v>0</v>
      </c>
      <c r="E836" s="2">
        <f t="shared" ref="E836:E899" si="27">C836-D836</f>
        <v>0</v>
      </c>
      <c r="F836" s="11">
        <v>5.8999999999999997E-2</v>
      </c>
      <c r="G836" s="14" t="e">
        <f t="shared" si="26"/>
        <v>#DIV/0!</v>
      </c>
    </row>
    <row r="837" spans="1:7">
      <c r="A837" s="1">
        <v>29</v>
      </c>
      <c r="B837" s="1" t="s">
        <v>34</v>
      </c>
      <c r="C837" s="11">
        <v>32.94</v>
      </c>
      <c r="D837" s="11">
        <v>32.590000000000003</v>
      </c>
      <c r="E837" s="2">
        <f t="shared" si="27"/>
        <v>0.34999999999999432</v>
      </c>
      <c r="F837" s="11">
        <v>4.2999999999999997E-2</v>
      </c>
      <c r="G837" s="14">
        <f t="shared" si="26"/>
        <v>1.1930783242258479E-2</v>
      </c>
    </row>
    <row r="838" spans="1:7">
      <c r="A838" s="1">
        <v>30</v>
      </c>
      <c r="B838" s="1" t="s">
        <v>34</v>
      </c>
      <c r="C838" s="11">
        <v>0</v>
      </c>
      <c r="D838" s="11">
        <v>0</v>
      </c>
      <c r="E838" s="2">
        <f t="shared" si="27"/>
        <v>0</v>
      </c>
      <c r="F838" s="11">
        <v>4.1000000000000002E-2</v>
      </c>
      <c r="G838" s="14" t="e">
        <f t="shared" si="26"/>
        <v>#DIV/0!</v>
      </c>
    </row>
    <row r="839" spans="1:7">
      <c r="A839" s="1">
        <v>31</v>
      </c>
      <c r="B839" s="1" t="s">
        <v>34</v>
      </c>
      <c r="C839" s="11">
        <v>11.25</v>
      </c>
      <c r="D839" s="11">
        <v>11.05</v>
      </c>
      <c r="E839" s="2">
        <f t="shared" si="27"/>
        <v>0.19999999999999929</v>
      </c>
      <c r="F839" s="11">
        <v>5.8999999999999997E-2</v>
      </c>
      <c r="G839" s="14">
        <f t="shared" si="26"/>
        <v>2.3022222222222159E-2</v>
      </c>
    </row>
    <row r="840" spans="1:7">
      <c r="A840" s="1">
        <v>1</v>
      </c>
      <c r="B840" s="1" t="s">
        <v>35</v>
      </c>
      <c r="C840" s="11">
        <v>24.78</v>
      </c>
      <c r="D840" s="11">
        <v>24.35</v>
      </c>
      <c r="E840" s="2">
        <f t="shared" si="27"/>
        <v>0.42999999999999972</v>
      </c>
      <c r="F840" s="11">
        <v>0.20599999999999999</v>
      </c>
      <c r="G840" s="14">
        <f t="shared" si="26"/>
        <v>2.5665859564164634E-2</v>
      </c>
    </row>
    <row r="841" spans="1:7">
      <c r="A841" s="1">
        <v>2</v>
      </c>
      <c r="B841" s="1" t="s">
        <v>35</v>
      </c>
      <c r="C841" s="11">
        <v>23.5</v>
      </c>
      <c r="D841" s="11">
        <v>23.32</v>
      </c>
      <c r="E841" s="2">
        <f t="shared" si="27"/>
        <v>0.17999999999999972</v>
      </c>
      <c r="F841" s="11">
        <v>0.13700000000000001</v>
      </c>
      <c r="G841" s="14">
        <f t="shared" si="26"/>
        <v>1.3489361702127648E-2</v>
      </c>
    </row>
    <row r="842" spans="1:7">
      <c r="A842" s="1">
        <v>3</v>
      </c>
      <c r="B842" s="1" t="s">
        <v>35</v>
      </c>
      <c r="C842" s="11">
        <v>0</v>
      </c>
      <c r="D842" s="11">
        <v>0</v>
      </c>
      <c r="E842" s="2">
        <f t="shared" si="27"/>
        <v>0</v>
      </c>
      <c r="F842" s="11">
        <v>0.105</v>
      </c>
      <c r="G842" s="14" t="e">
        <f t="shared" si="26"/>
        <v>#DIV/0!</v>
      </c>
    </row>
    <row r="843" spans="1:7">
      <c r="A843" s="1">
        <v>4</v>
      </c>
      <c r="B843" s="1" t="s">
        <v>35</v>
      </c>
      <c r="C843" s="11">
        <v>18.62</v>
      </c>
      <c r="D843" s="11">
        <v>18.37</v>
      </c>
      <c r="E843" s="2">
        <f t="shared" si="27"/>
        <v>0.25</v>
      </c>
      <c r="F843" s="11">
        <v>0.153</v>
      </c>
      <c r="G843" s="14">
        <f t="shared" si="26"/>
        <v>2.1643394199785178E-2</v>
      </c>
    </row>
    <row r="844" spans="1:7">
      <c r="A844" s="1">
        <v>5</v>
      </c>
      <c r="B844" s="1" t="s">
        <v>35</v>
      </c>
      <c r="C844" s="11">
        <v>26.53</v>
      </c>
      <c r="D844" s="11">
        <v>26.3</v>
      </c>
      <c r="E844" s="2">
        <f t="shared" si="27"/>
        <v>0.23000000000000043</v>
      </c>
      <c r="F844" s="11">
        <v>0.152</v>
      </c>
      <c r="G844" s="14">
        <f t="shared" si="26"/>
        <v>1.43987938183189E-2</v>
      </c>
    </row>
    <row r="845" spans="1:7">
      <c r="A845" s="1">
        <v>6</v>
      </c>
      <c r="B845" s="1" t="s">
        <v>35</v>
      </c>
      <c r="C845" s="11">
        <v>0</v>
      </c>
      <c r="D845" s="11">
        <v>0</v>
      </c>
      <c r="E845" s="2">
        <f t="shared" si="27"/>
        <v>0</v>
      </c>
      <c r="F845" s="11">
        <v>0.152</v>
      </c>
      <c r="G845" s="14" t="e">
        <f t="shared" si="26"/>
        <v>#DIV/0!</v>
      </c>
    </row>
    <row r="846" spans="1:7">
      <c r="A846" s="1">
        <v>7</v>
      </c>
      <c r="B846" s="1" t="s">
        <v>35</v>
      </c>
      <c r="C846" s="11">
        <v>0</v>
      </c>
      <c r="D846" s="11">
        <v>0</v>
      </c>
      <c r="E846" s="2">
        <f t="shared" si="27"/>
        <v>0</v>
      </c>
      <c r="F846" s="11">
        <v>0.191</v>
      </c>
      <c r="G846" s="14" t="e">
        <f t="shared" si="26"/>
        <v>#DIV/0!</v>
      </c>
    </row>
    <row r="847" spans="1:7">
      <c r="A847" s="1">
        <v>10</v>
      </c>
      <c r="B847" s="1" t="s">
        <v>35</v>
      </c>
      <c r="C847" s="11">
        <v>45.9</v>
      </c>
      <c r="D847" s="11">
        <v>45.5</v>
      </c>
      <c r="E847" s="2">
        <f t="shared" si="27"/>
        <v>0.39999999999999858</v>
      </c>
      <c r="F847" s="11">
        <v>9.8000000000000004E-2</v>
      </c>
      <c r="G847" s="14">
        <f t="shared" si="26"/>
        <v>1.0849673202614348E-2</v>
      </c>
    </row>
    <row r="848" spans="1:7">
      <c r="A848" s="1">
        <v>8</v>
      </c>
      <c r="B848" s="1" t="s">
        <v>35</v>
      </c>
      <c r="C848" s="11">
        <v>23.69</v>
      </c>
      <c r="D848" s="11">
        <v>23.4</v>
      </c>
      <c r="E848" s="2">
        <f t="shared" si="27"/>
        <v>0.2900000000000027</v>
      </c>
      <c r="F848" s="11">
        <v>0.11899999999999999</v>
      </c>
      <c r="G848" s="14">
        <f t="shared" si="26"/>
        <v>1.7264668636555621E-2</v>
      </c>
    </row>
    <row r="849" spans="1:7">
      <c r="A849" s="1">
        <v>9</v>
      </c>
      <c r="B849" s="1" t="s">
        <v>35</v>
      </c>
      <c r="C849" s="11">
        <v>48.05</v>
      </c>
      <c r="D849" s="11">
        <v>47.68</v>
      </c>
      <c r="E849" s="2">
        <f t="shared" si="27"/>
        <v>0.36999999999999744</v>
      </c>
      <c r="F849" s="11">
        <v>0.24399999999999999</v>
      </c>
      <c r="G849" s="14">
        <f t="shared" si="26"/>
        <v>1.2778355879292351E-2</v>
      </c>
    </row>
    <row r="850" spans="1:7">
      <c r="A850" s="1">
        <v>11</v>
      </c>
      <c r="B850" s="1" t="s">
        <v>35</v>
      </c>
      <c r="C850" s="11">
        <v>0</v>
      </c>
      <c r="D850" s="11">
        <v>0</v>
      </c>
      <c r="E850" s="2">
        <f t="shared" si="27"/>
        <v>0</v>
      </c>
      <c r="F850" s="11">
        <v>0.112</v>
      </c>
      <c r="G850" s="14" t="e">
        <f t="shared" si="26"/>
        <v>#DIV/0!</v>
      </c>
    </row>
    <row r="851" spans="1:7">
      <c r="A851" s="1">
        <v>12</v>
      </c>
      <c r="B851" s="1" t="s">
        <v>35</v>
      </c>
      <c r="C851" s="11">
        <v>0</v>
      </c>
      <c r="D851" s="11">
        <v>0</v>
      </c>
      <c r="E851" s="2">
        <f t="shared" si="27"/>
        <v>0</v>
      </c>
      <c r="F851" s="11">
        <v>0.14199999999999999</v>
      </c>
      <c r="G851" s="14" t="e">
        <f t="shared" si="26"/>
        <v>#DIV/0!</v>
      </c>
    </row>
    <row r="852" spans="1:7">
      <c r="A852" s="1">
        <v>13</v>
      </c>
      <c r="B852" s="1" t="s">
        <v>35</v>
      </c>
      <c r="C852" s="11">
        <v>14.01</v>
      </c>
      <c r="D852" s="11">
        <v>13.73</v>
      </c>
      <c r="E852" s="2">
        <f t="shared" si="27"/>
        <v>0.27999999999999936</v>
      </c>
      <c r="F852" s="11">
        <v>0.154</v>
      </c>
      <c r="G852" s="14">
        <f t="shared" si="26"/>
        <v>3.0977872947894319E-2</v>
      </c>
    </row>
    <row r="853" spans="1:7">
      <c r="A853" s="1">
        <v>14</v>
      </c>
      <c r="B853" s="1" t="s">
        <v>35</v>
      </c>
      <c r="C853" s="11">
        <v>43.15</v>
      </c>
      <c r="D853" s="11">
        <v>42.63</v>
      </c>
      <c r="E853" s="2">
        <f t="shared" si="27"/>
        <v>0.51999999999999602</v>
      </c>
      <c r="F853" s="11">
        <v>9.6000000000000002E-2</v>
      </c>
      <c r="G853" s="14">
        <f t="shared" si="26"/>
        <v>1.4275782155272214E-2</v>
      </c>
    </row>
    <row r="854" spans="1:7">
      <c r="A854" s="1">
        <v>15</v>
      </c>
      <c r="B854" s="1" t="s">
        <v>35</v>
      </c>
      <c r="C854" s="11">
        <v>15.35</v>
      </c>
      <c r="D854" s="11">
        <v>15.27</v>
      </c>
      <c r="E854" s="2">
        <f t="shared" si="27"/>
        <v>8.0000000000000071E-2</v>
      </c>
      <c r="F854" s="11">
        <v>0.157</v>
      </c>
      <c r="G854" s="14">
        <f t="shared" si="26"/>
        <v>1.5439739413680787E-2</v>
      </c>
    </row>
    <row r="855" spans="1:7">
      <c r="A855" s="1">
        <v>16</v>
      </c>
      <c r="B855" s="1" t="s">
        <v>35</v>
      </c>
      <c r="C855" s="11">
        <v>19.91</v>
      </c>
      <c r="D855" s="11">
        <v>19.68</v>
      </c>
      <c r="E855" s="2">
        <f t="shared" si="27"/>
        <v>0.23000000000000043</v>
      </c>
      <c r="F855" s="11">
        <v>0.109</v>
      </c>
      <c r="G855" s="14">
        <f t="shared" si="26"/>
        <v>1.7026619789050748E-2</v>
      </c>
    </row>
    <row r="856" spans="1:7">
      <c r="A856" s="1">
        <v>17</v>
      </c>
      <c r="B856" s="1" t="s">
        <v>35</v>
      </c>
      <c r="C856" s="11">
        <v>0</v>
      </c>
      <c r="D856" s="11">
        <v>0</v>
      </c>
      <c r="E856" s="2">
        <f t="shared" si="27"/>
        <v>0</v>
      </c>
      <c r="F856" s="11">
        <v>0.12</v>
      </c>
      <c r="G856" s="14" t="e">
        <f t="shared" si="26"/>
        <v>#DIV/0!</v>
      </c>
    </row>
    <row r="857" spans="1:7">
      <c r="A857" s="1">
        <v>18</v>
      </c>
      <c r="B857" s="1" t="s">
        <v>35</v>
      </c>
      <c r="C857" s="11">
        <v>0</v>
      </c>
      <c r="D857" s="11">
        <v>0</v>
      </c>
      <c r="E857" s="2">
        <f t="shared" si="27"/>
        <v>0</v>
      </c>
      <c r="F857" s="11">
        <v>0.123</v>
      </c>
      <c r="G857" s="14" t="e">
        <f t="shared" si="26"/>
        <v>#DIV/0!</v>
      </c>
    </row>
    <row r="858" spans="1:7">
      <c r="A858" s="1">
        <v>19</v>
      </c>
      <c r="B858" s="1" t="s">
        <v>35</v>
      </c>
      <c r="C858" s="11">
        <v>0</v>
      </c>
      <c r="D858" s="11">
        <v>0</v>
      </c>
      <c r="E858" s="2">
        <f t="shared" si="27"/>
        <v>0</v>
      </c>
      <c r="F858" s="11">
        <v>0.111</v>
      </c>
      <c r="G858" s="14" t="e">
        <f t="shared" si="26"/>
        <v>#DIV/0!</v>
      </c>
    </row>
    <row r="859" spans="1:7">
      <c r="A859" s="1">
        <v>20</v>
      </c>
      <c r="B859" s="1" t="s">
        <v>35</v>
      </c>
      <c r="C859" s="11">
        <v>0</v>
      </c>
      <c r="D859" s="11">
        <v>0</v>
      </c>
      <c r="E859" s="2">
        <f t="shared" si="27"/>
        <v>0</v>
      </c>
      <c r="F859" s="11">
        <v>0.18</v>
      </c>
      <c r="G859" s="14" t="e">
        <f t="shared" si="26"/>
        <v>#DIV/0!</v>
      </c>
    </row>
    <row r="860" spans="1:7">
      <c r="A860" s="1">
        <v>21</v>
      </c>
      <c r="B860" s="1" t="s">
        <v>35</v>
      </c>
      <c r="C860" s="11">
        <v>18.579999999999998</v>
      </c>
      <c r="D860" s="11">
        <v>18.46</v>
      </c>
      <c r="E860" s="2">
        <f t="shared" si="27"/>
        <v>0.11999999999999744</v>
      </c>
      <c r="F860" s="11">
        <v>0.14599999999999999</v>
      </c>
      <c r="G860" s="14">
        <f t="shared" si="26"/>
        <v>1.4316469321851318E-2</v>
      </c>
    </row>
    <row r="861" spans="1:7">
      <c r="A861" s="1">
        <v>22</v>
      </c>
      <c r="B861" s="1" t="s">
        <v>35</v>
      </c>
      <c r="C861" s="11">
        <v>35.42</v>
      </c>
      <c r="D861" s="11">
        <v>35</v>
      </c>
      <c r="E861" s="2">
        <f t="shared" si="27"/>
        <v>0.42000000000000171</v>
      </c>
      <c r="F861" s="11">
        <v>0.17399999999999999</v>
      </c>
      <c r="G861" s="14">
        <f t="shared" si="26"/>
        <v>1.6770186335403774E-2</v>
      </c>
    </row>
    <row r="862" spans="1:7">
      <c r="A862" s="1">
        <v>23</v>
      </c>
      <c r="B862" s="1" t="s">
        <v>35</v>
      </c>
      <c r="C862" s="11">
        <v>0</v>
      </c>
      <c r="D862" s="11">
        <v>0</v>
      </c>
      <c r="E862" s="2">
        <f t="shared" si="27"/>
        <v>0</v>
      </c>
      <c r="F862" s="11">
        <v>0.20100000000000001</v>
      </c>
      <c r="G862" s="3" t="e">
        <f t="shared" si="26"/>
        <v>#DIV/0!</v>
      </c>
    </row>
    <row r="863" spans="1:7">
      <c r="A863" s="1">
        <v>24</v>
      </c>
      <c r="B863" s="1" t="s">
        <v>35</v>
      </c>
      <c r="C863" s="11">
        <v>0</v>
      </c>
      <c r="D863" s="11">
        <v>0</v>
      </c>
      <c r="E863" s="2">
        <f t="shared" si="27"/>
        <v>0</v>
      </c>
      <c r="F863" s="11">
        <v>0.247</v>
      </c>
      <c r="G863" s="3" t="e">
        <f t="shared" si="26"/>
        <v>#DIV/0!</v>
      </c>
    </row>
    <row r="864" spans="1:7">
      <c r="A864" s="1">
        <v>25</v>
      </c>
      <c r="B864" s="1" t="s">
        <v>35</v>
      </c>
      <c r="C864" s="11">
        <v>24.68</v>
      </c>
      <c r="D864" s="11">
        <v>24.39</v>
      </c>
      <c r="E864" s="2">
        <f t="shared" si="27"/>
        <v>0.28999999999999915</v>
      </c>
      <c r="F864" s="11">
        <v>0.182</v>
      </c>
      <c r="G864" s="3">
        <f t="shared" si="26"/>
        <v>1.9124797406807097E-2</v>
      </c>
    </row>
    <row r="865" spans="1:7">
      <c r="A865" s="1">
        <v>26</v>
      </c>
      <c r="B865" s="1" t="s">
        <v>35</v>
      </c>
      <c r="C865" s="11">
        <v>22.06</v>
      </c>
      <c r="D865" s="11">
        <v>21.8</v>
      </c>
      <c r="E865" s="2">
        <f t="shared" si="27"/>
        <v>0.25999999999999801</v>
      </c>
      <c r="F865" s="11">
        <v>0.14799999999999999</v>
      </c>
      <c r="G865" s="14">
        <f t="shared" si="26"/>
        <v>1.8495013599274617E-2</v>
      </c>
    </row>
    <row r="866" spans="1:7">
      <c r="A866" s="1">
        <v>27</v>
      </c>
      <c r="B866" s="1" t="s">
        <v>35</v>
      </c>
      <c r="C866" s="11">
        <v>0</v>
      </c>
      <c r="D866" s="11">
        <v>0</v>
      </c>
      <c r="E866" s="2">
        <f t="shared" si="27"/>
        <v>0</v>
      </c>
      <c r="F866" s="11">
        <v>0.20599999999999999</v>
      </c>
      <c r="G866" s="14" t="e">
        <f t="shared" si="26"/>
        <v>#DIV/0!</v>
      </c>
    </row>
    <row r="867" spans="1:7">
      <c r="A867" s="1">
        <v>28</v>
      </c>
      <c r="B867" s="1" t="s">
        <v>35</v>
      </c>
      <c r="C867" s="11">
        <v>0</v>
      </c>
      <c r="D867" s="11">
        <v>0</v>
      </c>
      <c r="E867" s="2">
        <f t="shared" si="27"/>
        <v>0</v>
      </c>
      <c r="F867" s="11">
        <v>0.156</v>
      </c>
      <c r="G867" s="14" t="e">
        <f t="shared" si="26"/>
        <v>#DIV/0!</v>
      </c>
    </row>
    <row r="868" spans="1:7">
      <c r="A868" s="1">
        <v>29</v>
      </c>
      <c r="B868" s="1" t="s">
        <v>35</v>
      </c>
      <c r="C868" s="11">
        <v>42.73</v>
      </c>
      <c r="D868" s="11">
        <v>42.14</v>
      </c>
      <c r="E868" s="2">
        <f t="shared" si="27"/>
        <v>0.58999999999999631</v>
      </c>
      <c r="F868" s="11">
        <v>0.23300000000000001</v>
      </c>
      <c r="G868" s="14">
        <f t="shared" si="26"/>
        <v>1.9260472735782738E-2</v>
      </c>
    </row>
    <row r="869" spans="1:7">
      <c r="A869" s="1">
        <v>30</v>
      </c>
      <c r="B869" s="1" t="s">
        <v>35</v>
      </c>
      <c r="C869" s="11">
        <v>0</v>
      </c>
      <c r="D869" s="11">
        <v>0</v>
      </c>
      <c r="E869" s="2">
        <f t="shared" si="27"/>
        <v>0</v>
      </c>
      <c r="F869" s="11">
        <v>0.123</v>
      </c>
      <c r="G869" s="14" t="e">
        <f t="shared" ref="G869:G932" si="28">(E869+F869)/C869</f>
        <v>#DIV/0!</v>
      </c>
    </row>
    <row r="870" spans="1:7">
      <c r="A870" s="1">
        <v>31</v>
      </c>
      <c r="B870" s="1" t="s">
        <v>35</v>
      </c>
      <c r="C870" s="11">
        <v>23.98</v>
      </c>
      <c r="D870" s="11">
        <v>23.75</v>
      </c>
      <c r="E870" s="2">
        <f t="shared" si="27"/>
        <v>0.23000000000000043</v>
      </c>
      <c r="F870" s="11">
        <v>0.17299999999999999</v>
      </c>
      <c r="G870" s="14">
        <f t="shared" si="28"/>
        <v>1.6805671392827373E-2</v>
      </c>
    </row>
    <row r="871" spans="1:7">
      <c r="A871" s="1">
        <v>1</v>
      </c>
      <c r="B871" s="1" t="s">
        <v>36</v>
      </c>
      <c r="C871" s="11">
        <v>0</v>
      </c>
      <c r="D871" s="11">
        <v>0</v>
      </c>
      <c r="E871" s="2">
        <f t="shared" si="27"/>
        <v>0</v>
      </c>
      <c r="F871" s="11">
        <v>0.18</v>
      </c>
      <c r="G871" s="14" t="e">
        <f t="shared" si="28"/>
        <v>#DIV/0!</v>
      </c>
    </row>
    <row r="872" spans="1:7">
      <c r="A872" s="1">
        <v>2</v>
      </c>
      <c r="B872" s="1" t="s">
        <v>36</v>
      </c>
      <c r="C872" s="11">
        <v>0</v>
      </c>
      <c r="D872" s="11">
        <v>0</v>
      </c>
      <c r="E872" s="2">
        <f t="shared" si="27"/>
        <v>0</v>
      </c>
      <c r="F872" s="11">
        <v>0.105</v>
      </c>
      <c r="G872" s="14" t="e">
        <f t="shared" si="28"/>
        <v>#DIV/0!</v>
      </c>
    </row>
    <row r="873" spans="1:7">
      <c r="A873" s="1">
        <v>3</v>
      </c>
      <c r="B873" s="1" t="s">
        <v>36</v>
      </c>
      <c r="C873" s="11">
        <v>0</v>
      </c>
      <c r="D873" s="11">
        <v>0</v>
      </c>
      <c r="E873" s="2">
        <f t="shared" si="27"/>
        <v>0</v>
      </c>
      <c r="F873" s="11">
        <v>0.03</v>
      </c>
      <c r="G873" s="14" t="e">
        <f t="shared" si="28"/>
        <v>#DIV/0!</v>
      </c>
    </row>
    <row r="874" spans="1:7">
      <c r="A874" s="1">
        <v>4</v>
      </c>
      <c r="B874" s="1" t="s">
        <v>36</v>
      </c>
      <c r="C874" s="11">
        <v>0</v>
      </c>
      <c r="D874" s="11">
        <v>0</v>
      </c>
      <c r="E874" s="2">
        <f t="shared" si="27"/>
        <v>0</v>
      </c>
      <c r="F874" s="11">
        <v>0.115</v>
      </c>
      <c r="G874" s="14" t="e">
        <f t="shared" si="28"/>
        <v>#DIV/0!</v>
      </c>
    </row>
    <row r="875" spans="1:7">
      <c r="A875" s="1">
        <v>5</v>
      </c>
      <c r="B875" s="1" t="s">
        <v>36</v>
      </c>
      <c r="C875" s="11">
        <v>0</v>
      </c>
      <c r="D875" s="11">
        <v>0</v>
      </c>
      <c r="E875" s="2">
        <f t="shared" si="27"/>
        <v>0</v>
      </c>
      <c r="F875" s="11">
        <v>0.08</v>
      </c>
      <c r="G875" s="14" t="e">
        <f t="shared" si="28"/>
        <v>#DIV/0!</v>
      </c>
    </row>
    <row r="876" spans="1:7">
      <c r="A876" s="1">
        <v>6</v>
      </c>
      <c r="B876" s="1" t="s">
        <v>36</v>
      </c>
      <c r="C876" s="11">
        <v>0</v>
      </c>
      <c r="D876" s="11">
        <v>0</v>
      </c>
      <c r="E876" s="2">
        <f t="shared" si="27"/>
        <v>0</v>
      </c>
      <c r="F876" s="11">
        <v>8.5000000000000006E-2</v>
      </c>
      <c r="G876" s="14" t="e">
        <f t="shared" si="28"/>
        <v>#DIV/0!</v>
      </c>
    </row>
    <row r="877" spans="1:7">
      <c r="A877" s="1">
        <v>7</v>
      </c>
      <c r="B877" s="1" t="s">
        <v>36</v>
      </c>
      <c r="C877" s="11">
        <v>0</v>
      </c>
      <c r="D877" s="11">
        <v>0</v>
      </c>
      <c r="E877" s="2">
        <f t="shared" si="27"/>
        <v>0</v>
      </c>
      <c r="F877" s="11">
        <v>0.13500000000000001</v>
      </c>
      <c r="G877" s="14" t="e">
        <f t="shared" si="28"/>
        <v>#DIV/0!</v>
      </c>
    </row>
    <row r="878" spans="1:7">
      <c r="A878" s="1">
        <v>10</v>
      </c>
      <c r="B878" s="1" t="s">
        <v>36</v>
      </c>
      <c r="C878" s="11">
        <v>0</v>
      </c>
      <c r="D878" s="11">
        <v>0</v>
      </c>
      <c r="E878" s="2">
        <f t="shared" si="27"/>
        <v>0</v>
      </c>
      <c r="F878" s="11">
        <v>7.0000000000000007E-2</v>
      </c>
      <c r="G878" s="14" t="e">
        <f t="shared" si="28"/>
        <v>#DIV/0!</v>
      </c>
    </row>
    <row r="879" spans="1:7">
      <c r="A879" s="1">
        <v>8</v>
      </c>
      <c r="B879" s="1" t="s">
        <v>36</v>
      </c>
      <c r="C879" s="11">
        <v>0</v>
      </c>
      <c r="D879" s="11">
        <v>0</v>
      </c>
      <c r="E879" s="2">
        <f t="shared" si="27"/>
        <v>0</v>
      </c>
      <c r="F879" s="11">
        <v>0</v>
      </c>
      <c r="G879" s="14" t="e">
        <f t="shared" si="28"/>
        <v>#DIV/0!</v>
      </c>
    </row>
    <row r="880" spans="1:7">
      <c r="A880" s="1">
        <v>9</v>
      </c>
      <c r="B880" s="1" t="s">
        <v>36</v>
      </c>
      <c r="C880" s="11">
        <v>12.7</v>
      </c>
      <c r="D880" s="11">
        <v>12.6</v>
      </c>
      <c r="E880" s="2">
        <f t="shared" si="27"/>
        <v>9.9999999999999645E-2</v>
      </c>
      <c r="F880" s="11">
        <v>-5.0000000000000001E-3</v>
      </c>
      <c r="G880" s="14">
        <f t="shared" si="28"/>
        <v>7.4803149606298934E-3</v>
      </c>
    </row>
    <row r="881" spans="1:7">
      <c r="A881" s="1">
        <v>11</v>
      </c>
      <c r="B881" s="1" t="s">
        <v>36</v>
      </c>
      <c r="C881" s="11">
        <v>0</v>
      </c>
      <c r="D881" s="11">
        <v>0</v>
      </c>
      <c r="E881" s="2">
        <f t="shared" si="27"/>
        <v>0</v>
      </c>
      <c r="F881" s="11">
        <v>0.27</v>
      </c>
      <c r="G881" s="14" t="e">
        <f t="shared" si="28"/>
        <v>#DIV/0!</v>
      </c>
    </row>
    <row r="882" spans="1:7">
      <c r="A882" s="1">
        <v>12</v>
      </c>
      <c r="B882" s="1" t="s">
        <v>36</v>
      </c>
      <c r="C882" s="11">
        <v>0</v>
      </c>
      <c r="D882" s="11">
        <v>0</v>
      </c>
      <c r="E882" s="2">
        <f t="shared" si="27"/>
        <v>0</v>
      </c>
      <c r="F882" s="11">
        <v>0.17</v>
      </c>
      <c r="G882" s="14" t="e">
        <f t="shared" si="28"/>
        <v>#DIV/0!</v>
      </c>
    </row>
    <row r="883" spans="1:7">
      <c r="A883" s="1">
        <v>13</v>
      </c>
      <c r="B883" s="1" t="s">
        <v>36</v>
      </c>
      <c r="C883" s="11">
        <v>0</v>
      </c>
      <c r="D883" s="11">
        <v>0</v>
      </c>
      <c r="E883" s="2">
        <f t="shared" si="27"/>
        <v>0</v>
      </c>
      <c r="F883" s="11">
        <v>0.12</v>
      </c>
      <c r="G883" s="14" t="e">
        <f t="shared" si="28"/>
        <v>#DIV/0!</v>
      </c>
    </row>
    <row r="884" spans="1:7">
      <c r="A884" s="1">
        <v>14</v>
      </c>
      <c r="B884" s="1" t="s">
        <v>36</v>
      </c>
      <c r="C884" s="11">
        <v>0</v>
      </c>
      <c r="D884" s="11">
        <v>0</v>
      </c>
      <c r="E884" s="2">
        <f t="shared" si="27"/>
        <v>0</v>
      </c>
      <c r="F884" s="11">
        <v>0.255</v>
      </c>
      <c r="G884" s="14" t="e">
        <f t="shared" si="28"/>
        <v>#DIV/0!</v>
      </c>
    </row>
    <row r="885" spans="1:7">
      <c r="A885" s="1">
        <v>15</v>
      </c>
      <c r="B885" s="1" t="s">
        <v>36</v>
      </c>
      <c r="C885" s="11">
        <v>24.95</v>
      </c>
      <c r="D885" s="11">
        <v>24.85</v>
      </c>
      <c r="E885" s="2">
        <f t="shared" si="27"/>
        <v>9.9999999999997868E-2</v>
      </c>
      <c r="F885" s="11">
        <v>0.125</v>
      </c>
      <c r="G885" s="14">
        <f t="shared" si="28"/>
        <v>9.0180360721442039E-3</v>
      </c>
    </row>
    <row r="886" spans="1:7">
      <c r="A886" s="1">
        <v>16</v>
      </c>
      <c r="B886" s="1" t="s">
        <v>36</v>
      </c>
      <c r="C886" s="11">
        <v>0</v>
      </c>
      <c r="D886" s="11">
        <v>0</v>
      </c>
      <c r="E886" s="2">
        <f t="shared" si="27"/>
        <v>0</v>
      </c>
      <c r="F886" s="11">
        <v>4.4999999999999998E-2</v>
      </c>
      <c r="G886" s="14" t="e">
        <f t="shared" si="28"/>
        <v>#DIV/0!</v>
      </c>
    </row>
    <row r="887" spans="1:7">
      <c r="A887" s="1">
        <v>17</v>
      </c>
      <c r="B887" s="1" t="s">
        <v>36</v>
      </c>
      <c r="C887" s="11">
        <v>0</v>
      </c>
      <c r="D887" s="11">
        <v>0</v>
      </c>
      <c r="E887" s="2">
        <f t="shared" si="27"/>
        <v>0</v>
      </c>
      <c r="F887" s="11">
        <v>0.7</v>
      </c>
      <c r="G887" s="14" t="e">
        <f t="shared" si="28"/>
        <v>#DIV/0!</v>
      </c>
    </row>
    <row r="888" spans="1:7">
      <c r="A888" s="1">
        <v>18</v>
      </c>
      <c r="B888" s="1" t="s">
        <v>36</v>
      </c>
      <c r="C888" s="11">
        <v>0</v>
      </c>
      <c r="D888" s="11">
        <v>0</v>
      </c>
      <c r="E888" s="2">
        <f t="shared" si="27"/>
        <v>0</v>
      </c>
      <c r="F888" s="11">
        <v>0.19000000000000039</v>
      </c>
      <c r="G888" s="14" t="e">
        <f t="shared" si="28"/>
        <v>#DIV/0!</v>
      </c>
    </row>
    <row r="889" spans="1:7">
      <c r="A889" s="1">
        <v>19</v>
      </c>
      <c r="B889" s="1" t="s">
        <v>36</v>
      </c>
      <c r="C889" s="11">
        <v>0</v>
      </c>
      <c r="D889" s="11">
        <v>0</v>
      </c>
      <c r="E889" s="2">
        <f t="shared" si="27"/>
        <v>0</v>
      </c>
      <c r="F889" s="11">
        <v>0.13</v>
      </c>
      <c r="G889" s="14" t="e">
        <f t="shared" si="28"/>
        <v>#DIV/0!</v>
      </c>
    </row>
    <row r="890" spans="1:7">
      <c r="A890" s="1">
        <v>20</v>
      </c>
      <c r="B890" s="1" t="s">
        <v>36</v>
      </c>
      <c r="C890" s="11">
        <v>0</v>
      </c>
      <c r="D890" s="11">
        <v>0</v>
      </c>
      <c r="E890" s="2">
        <f t="shared" si="27"/>
        <v>0</v>
      </c>
      <c r="F890" s="11">
        <v>0.18</v>
      </c>
      <c r="G890" s="14" t="e">
        <f t="shared" si="28"/>
        <v>#DIV/0!</v>
      </c>
    </row>
    <row r="891" spans="1:7">
      <c r="A891" s="1">
        <v>21</v>
      </c>
      <c r="B891" s="1" t="s">
        <v>36</v>
      </c>
      <c r="C891" s="11">
        <v>49.3</v>
      </c>
      <c r="D891" s="11">
        <v>49.15</v>
      </c>
      <c r="E891" s="2">
        <f t="shared" si="27"/>
        <v>0.14999999999999858</v>
      </c>
      <c r="F891" s="11">
        <v>0.1</v>
      </c>
      <c r="G891" s="14">
        <f t="shared" si="28"/>
        <v>5.0709939148072735E-3</v>
      </c>
    </row>
    <row r="892" spans="1:7">
      <c r="A892" s="1">
        <v>22</v>
      </c>
      <c r="B892" s="1" t="s">
        <v>36</v>
      </c>
      <c r="C892" s="11">
        <v>12.1</v>
      </c>
      <c r="D892" s="11">
        <v>12.05</v>
      </c>
      <c r="E892" s="2">
        <f t="shared" si="27"/>
        <v>4.9999999999998934E-2</v>
      </c>
      <c r="F892" s="11">
        <v>1.7800000000000011</v>
      </c>
      <c r="G892" s="14">
        <f t="shared" si="28"/>
        <v>0.15123966942148762</v>
      </c>
    </row>
    <row r="893" spans="1:7">
      <c r="A893" s="1">
        <v>23</v>
      </c>
      <c r="B893" s="1" t="s">
        <v>36</v>
      </c>
      <c r="C893" s="11">
        <v>0</v>
      </c>
      <c r="D893" s="11">
        <v>0</v>
      </c>
      <c r="E893" s="2">
        <f t="shared" si="27"/>
        <v>0</v>
      </c>
      <c r="F893" s="11">
        <v>0</v>
      </c>
      <c r="G893" s="3" t="e">
        <f t="shared" si="28"/>
        <v>#DIV/0!</v>
      </c>
    </row>
    <row r="894" spans="1:7">
      <c r="A894" s="1">
        <v>24</v>
      </c>
      <c r="B894" s="1" t="s">
        <v>36</v>
      </c>
      <c r="C894" s="11">
        <v>0</v>
      </c>
      <c r="D894" s="11">
        <v>0</v>
      </c>
      <c r="E894" s="2">
        <f t="shared" si="27"/>
        <v>0</v>
      </c>
      <c r="F894" s="11">
        <v>0.12</v>
      </c>
      <c r="G894" s="3" t="e">
        <f t="shared" si="28"/>
        <v>#DIV/0!</v>
      </c>
    </row>
    <row r="895" spans="1:7">
      <c r="A895" s="1">
        <v>25</v>
      </c>
      <c r="B895" s="1" t="s">
        <v>36</v>
      </c>
      <c r="C895" s="11">
        <v>0</v>
      </c>
      <c r="D895" s="11">
        <v>0</v>
      </c>
      <c r="E895" s="2">
        <f t="shared" si="27"/>
        <v>0</v>
      </c>
      <c r="F895" s="11">
        <v>0.4</v>
      </c>
      <c r="G895" s="3" t="e">
        <f t="shared" si="28"/>
        <v>#DIV/0!</v>
      </c>
    </row>
    <row r="896" spans="1:7">
      <c r="A896" s="1">
        <v>26</v>
      </c>
      <c r="B896" s="1" t="s">
        <v>36</v>
      </c>
      <c r="C896" s="11">
        <v>0</v>
      </c>
      <c r="D896" s="11">
        <v>0</v>
      </c>
      <c r="E896" s="2">
        <f t="shared" si="27"/>
        <v>0</v>
      </c>
      <c r="F896" s="11">
        <v>6.5000000000000002E-2</v>
      </c>
      <c r="G896" s="14" t="e">
        <f t="shared" si="28"/>
        <v>#DIV/0!</v>
      </c>
    </row>
    <row r="897" spans="1:7">
      <c r="A897" s="1">
        <v>27</v>
      </c>
      <c r="B897" s="1" t="s">
        <v>36</v>
      </c>
      <c r="C897" s="11">
        <v>0</v>
      </c>
      <c r="D897" s="11">
        <v>0</v>
      </c>
      <c r="E897" s="2">
        <f t="shared" si="27"/>
        <v>0</v>
      </c>
      <c r="F897" s="11">
        <v>0.20499999999999999</v>
      </c>
      <c r="G897" s="14" t="e">
        <f t="shared" si="28"/>
        <v>#DIV/0!</v>
      </c>
    </row>
    <row r="898" spans="1:7">
      <c r="A898" s="1">
        <v>28</v>
      </c>
      <c r="B898" s="1" t="s">
        <v>36</v>
      </c>
      <c r="C898" s="11">
        <v>9.85</v>
      </c>
      <c r="D898" s="11">
        <v>9.8000000000000007</v>
      </c>
      <c r="E898" s="2">
        <f t="shared" si="27"/>
        <v>4.9999999999998934E-2</v>
      </c>
      <c r="F898" s="11">
        <v>0.21</v>
      </c>
      <c r="G898" s="14">
        <f t="shared" si="28"/>
        <v>2.6395939086294305E-2</v>
      </c>
    </row>
    <row r="899" spans="1:7">
      <c r="A899" s="1">
        <v>29</v>
      </c>
      <c r="B899" s="1" t="s">
        <v>36</v>
      </c>
      <c r="C899" s="11">
        <v>0</v>
      </c>
      <c r="D899" s="11">
        <v>0</v>
      </c>
      <c r="E899" s="2">
        <f t="shared" si="27"/>
        <v>0</v>
      </c>
      <c r="F899" s="11">
        <v>0.14000000000000001</v>
      </c>
      <c r="G899" s="14" t="e">
        <f t="shared" si="28"/>
        <v>#DIV/0!</v>
      </c>
    </row>
    <row r="900" spans="1:7">
      <c r="A900" s="1">
        <v>30</v>
      </c>
      <c r="B900" s="1" t="s">
        <v>36</v>
      </c>
      <c r="C900" s="11">
        <v>0</v>
      </c>
      <c r="D900" s="11">
        <v>0</v>
      </c>
      <c r="E900" s="2">
        <f t="shared" ref="E900:E963" si="29">C900-D900</f>
        <v>0</v>
      </c>
      <c r="F900" s="11">
        <v>0.115</v>
      </c>
      <c r="G900" s="14" t="e">
        <f t="shared" si="28"/>
        <v>#DIV/0!</v>
      </c>
    </row>
    <row r="901" spans="1:7">
      <c r="A901" s="1">
        <v>31</v>
      </c>
      <c r="B901" s="1" t="s">
        <v>36</v>
      </c>
      <c r="C901" s="11">
        <v>10.5</v>
      </c>
      <c r="D901" s="11">
        <v>10.45</v>
      </c>
      <c r="E901" s="2">
        <f t="shared" si="29"/>
        <v>5.0000000000000711E-2</v>
      </c>
      <c r="F901" s="11">
        <v>0.28000000000000003</v>
      </c>
      <c r="G901" s="14">
        <f t="shared" si="28"/>
        <v>3.14285714285715E-2</v>
      </c>
    </row>
    <row r="902" spans="1:7">
      <c r="A902" s="1">
        <v>1</v>
      </c>
      <c r="B902" s="1" t="s">
        <v>37</v>
      </c>
      <c r="C902" s="11">
        <v>21.64</v>
      </c>
      <c r="D902" s="11">
        <v>21.49</v>
      </c>
      <c r="E902" s="2">
        <f t="shared" si="29"/>
        <v>0.15000000000000213</v>
      </c>
      <c r="F902" s="11">
        <v>0</v>
      </c>
      <c r="G902" s="14">
        <f t="shared" si="28"/>
        <v>6.9316081330869743E-3</v>
      </c>
    </row>
    <row r="903" spans="1:7">
      <c r="A903" s="1">
        <v>2</v>
      </c>
      <c r="B903" s="1" t="s">
        <v>37</v>
      </c>
      <c r="C903" s="11">
        <v>0</v>
      </c>
      <c r="D903" s="11">
        <v>0</v>
      </c>
      <c r="E903" s="2">
        <f t="shared" si="29"/>
        <v>0</v>
      </c>
      <c r="F903" s="11">
        <v>0</v>
      </c>
      <c r="G903" s="14" t="e">
        <f t="shared" si="28"/>
        <v>#DIV/0!</v>
      </c>
    </row>
    <row r="904" spans="1:7">
      <c r="A904" s="1">
        <v>3</v>
      </c>
      <c r="B904" s="1" t="s">
        <v>37</v>
      </c>
      <c r="C904" s="11">
        <v>0</v>
      </c>
      <c r="D904" s="11">
        <v>0</v>
      </c>
      <c r="E904" s="2">
        <f t="shared" si="29"/>
        <v>0</v>
      </c>
      <c r="F904" s="11">
        <v>0</v>
      </c>
      <c r="G904" s="14" t="e">
        <f t="shared" si="28"/>
        <v>#DIV/0!</v>
      </c>
    </row>
    <row r="905" spans="1:7">
      <c r="A905" s="1">
        <v>4</v>
      </c>
      <c r="B905" s="1" t="s">
        <v>37</v>
      </c>
      <c r="C905" s="11">
        <v>24.36</v>
      </c>
      <c r="D905" s="11">
        <v>24.33</v>
      </c>
      <c r="E905" s="2">
        <f t="shared" si="29"/>
        <v>3.0000000000001137E-2</v>
      </c>
      <c r="F905" s="11">
        <v>0</v>
      </c>
      <c r="G905" s="14">
        <f t="shared" si="28"/>
        <v>1.2315270935961057E-3</v>
      </c>
    </row>
    <row r="906" spans="1:7">
      <c r="A906" s="1">
        <v>5</v>
      </c>
      <c r="B906" s="1" t="s">
        <v>37</v>
      </c>
      <c r="C906" s="11">
        <v>0</v>
      </c>
      <c r="D906" s="11">
        <v>0</v>
      </c>
      <c r="E906" s="2">
        <f t="shared" si="29"/>
        <v>0</v>
      </c>
      <c r="F906" s="11">
        <v>0</v>
      </c>
      <c r="G906" s="14" t="e">
        <f t="shared" si="28"/>
        <v>#DIV/0!</v>
      </c>
    </row>
    <row r="907" spans="1:7">
      <c r="A907" s="1">
        <v>6</v>
      </c>
      <c r="B907" s="1" t="s">
        <v>37</v>
      </c>
      <c r="C907" s="11">
        <v>0</v>
      </c>
      <c r="D907" s="11">
        <v>0</v>
      </c>
      <c r="E907" s="2">
        <f t="shared" si="29"/>
        <v>0</v>
      </c>
      <c r="F907" s="11">
        <v>0</v>
      </c>
      <c r="G907" s="14" t="e">
        <f t="shared" si="28"/>
        <v>#DIV/0!</v>
      </c>
    </row>
    <row r="908" spans="1:7">
      <c r="A908" s="1">
        <v>7</v>
      </c>
      <c r="B908" s="1" t="s">
        <v>37</v>
      </c>
      <c r="C908" s="11">
        <v>26.32</v>
      </c>
      <c r="D908" s="11">
        <v>26.18</v>
      </c>
      <c r="E908" s="2">
        <f t="shared" si="29"/>
        <v>0.14000000000000057</v>
      </c>
      <c r="F908" s="11">
        <v>0</v>
      </c>
      <c r="G908" s="14">
        <f t="shared" si="28"/>
        <v>5.3191489361702343E-3</v>
      </c>
    </row>
    <row r="909" spans="1:7">
      <c r="A909" s="1">
        <v>10</v>
      </c>
      <c r="B909" s="1" t="s">
        <v>37</v>
      </c>
      <c r="C909" s="11">
        <v>0</v>
      </c>
      <c r="D909" s="11">
        <v>0</v>
      </c>
      <c r="E909" s="2">
        <f t="shared" si="29"/>
        <v>0</v>
      </c>
      <c r="F909" s="11">
        <v>0</v>
      </c>
      <c r="G909" s="14" t="e">
        <f t="shared" si="28"/>
        <v>#DIV/0!</v>
      </c>
    </row>
    <row r="910" spans="1:7">
      <c r="A910" s="1">
        <v>8</v>
      </c>
      <c r="B910" s="1" t="s">
        <v>37</v>
      </c>
      <c r="C910" s="11">
        <v>0</v>
      </c>
      <c r="D910" s="11">
        <v>0</v>
      </c>
      <c r="E910" s="2">
        <f t="shared" si="29"/>
        <v>0</v>
      </c>
      <c r="F910" s="11">
        <v>0</v>
      </c>
      <c r="G910" s="14" t="e">
        <f t="shared" si="28"/>
        <v>#DIV/0!</v>
      </c>
    </row>
    <row r="911" spans="1:7">
      <c r="A911" s="1">
        <v>9</v>
      </c>
      <c r="B911" s="1" t="s">
        <v>37</v>
      </c>
      <c r="C911" s="11">
        <v>26.44</v>
      </c>
      <c r="D911" s="11">
        <v>26.39</v>
      </c>
      <c r="E911" s="2">
        <f t="shared" si="29"/>
        <v>5.0000000000000711E-2</v>
      </c>
      <c r="F911" s="11">
        <v>0</v>
      </c>
      <c r="G911" s="14">
        <f t="shared" si="28"/>
        <v>1.8910741301059269E-3</v>
      </c>
    </row>
    <row r="912" spans="1:7">
      <c r="A912" s="1">
        <v>11</v>
      </c>
      <c r="B912" s="1" t="s">
        <v>37</v>
      </c>
      <c r="C912" s="11">
        <v>21.6</v>
      </c>
      <c r="D912" s="11">
        <v>21.47</v>
      </c>
      <c r="E912" s="2">
        <f t="shared" si="29"/>
        <v>0.13000000000000256</v>
      </c>
      <c r="F912" s="11">
        <v>0</v>
      </c>
      <c r="G912" s="14">
        <f t="shared" si="28"/>
        <v>6.0185185185186365E-3</v>
      </c>
    </row>
    <row r="913" spans="1:7">
      <c r="A913" s="1">
        <v>12</v>
      </c>
      <c r="B913" s="1" t="s">
        <v>37</v>
      </c>
      <c r="C913" s="11">
        <v>29.07</v>
      </c>
      <c r="D913" s="11">
        <v>28.89</v>
      </c>
      <c r="E913" s="2">
        <f t="shared" si="29"/>
        <v>0.17999999999999972</v>
      </c>
      <c r="F913" s="11">
        <v>0</v>
      </c>
      <c r="G913" s="14">
        <f t="shared" si="28"/>
        <v>6.1919504643962748E-3</v>
      </c>
    </row>
    <row r="914" spans="1:7">
      <c r="A914" s="1">
        <v>13</v>
      </c>
      <c r="B914" s="1" t="s">
        <v>37</v>
      </c>
      <c r="C914" s="11">
        <v>0</v>
      </c>
      <c r="D914" s="11">
        <v>0</v>
      </c>
      <c r="E914" s="2">
        <f t="shared" si="29"/>
        <v>0</v>
      </c>
      <c r="F914" s="11">
        <v>0</v>
      </c>
      <c r="G914" s="14" t="e">
        <f t="shared" si="28"/>
        <v>#DIV/0!</v>
      </c>
    </row>
    <row r="915" spans="1:7">
      <c r="A915" s="1">
        <v>14</v>
      </c>
      <c r="B915" s="1" t="s">
        <v>37</v>
      </c>
      <c r="C915" s="11">
        <v>0</v>
      </c>
      <c r="D915" s="11">
        <v>0</v>
      </c>
      <c r="E915" s="2">
        <f t="shared" si="29"/>
        <v>0</v>
      </c>
      <c r="F915" s="11">
        <v>0</v>
      </c>
      <c r="G915" s="14" t="e">
        <f t="shared" si="28"/>
        <v>#DIV/0!</v>
      </c>
    </row>
    <row r="916" spans="1:7">
      <c r="A916" s="1">
        <v>15</v>
      </c>
      <c r="B916" s="1" t="s">
        <v>37</v>
      </c>
      <c r="C916" s="11">
        <v>0</v>
      </c>
      <c r="D916" s="11">
        <v>0</v>
      </c>
      <c r="E916" s="2">
        <f t="shared" si="29"/>
        <v>0</v>
      </c>
      <c r="F916" s="11">
        <v>0.17899999999999999</v>
      </c>
      <c r="G916" s="14" t="e">
        <f t="shared" si="28"/>
        <v>#DIV/0!</v>
      </c>
    </row>
    <row r="917" spans="1:7">
      <c r="A917" s="1">
        <v>16</v>
      </c>
      <c r="B917" s="1" t="s">
        <v>37</v>
      </c>
      <c r="C917" s="11">
        <v>21.64</v>
      </c>
      <c r="D917" s="11">
        <v>21.55</v>
      </c>
      <c r="E917" s="2">
        <f t="shared" si="29"/>
        <v>8.9999999999999858E-2</v>
      </c>
      <c r="F917" s="11">
        <v>6.9000000000000006E-2</v>
      </c>
      <c r="G917" s="14">
        <f t="shared" si="28"/>
        <v>7.3475046210720821E-3</v>
      </c>
    </row>
    <row r="918" spans="1:7">
      <c r="A918" s="1">
        <v>17</v>
      </c>
      <c r="B918" s="1" t="s">
        <v>37</v>
      </c>
      <c r="C918" s="11">
        <v>0</v>
      </c>
      <c r="D918" s="11">
        <v>0</v>
      </c>
      <c r="E918" s="2">
        <f t="shared" si="29"/>
        <v>0</v>
      </c>
      <c r="F918" s="11">
        <v>0</v>
      </c>
      <c r="G918" s="14" t="e">
        <f t="shared" si="28"/>
        <v>#DIV/0!</v>
      </c>
    </row>
    <row r="919" spans="1:7">
      <c r="A919" s="1">
        <v>18</v>
      </c>
      <c r="B919" s="1" t="s">
        <v>37</v>
      </c>
      <c r="C919" s="11">
        <v>15.15</v>
      </c>
      <c r="D919" s="11">
        <v>14.99</v>
      </c>
      <c r="E919" s="2">
        <f t="shared" si="29"/>
        <v>0.16000000000000014</v>
      </c>
      <c r="F919" s="11">
        <v>0</v>
      </c>
      <c r="G919" s="14">
        <f t="shared" si="28"/>
        <v>1.056105610561057E-2</v>
      </c>
    </row>
    <row r="920" spans="1:7">
      <c r="A920" s="1">
        <v>19</v>
      </c>
      <c r="B920" s="1" t="s">
        <v>37</v>
      </c>
      <c r="C920" s="11">
        <v>21.91</v>
      </c>
      <c r="D920" s="11">
        <v>21.9</v>
      </c>
      <c r="E920" s="2">
        <f t="shared" si="29"/>
        <v>1.0000000000001563E-2</v>
      </c>
      <c r="F920" s="11">
        <v>0</v>
      </c>
      <c r="G920" s="14">
        <f t="shared" si="28"/>
        <v>4.564125969877482E-4</v>
      </c>
    </row>
    <row r="921" spans="1:7">
      <c r="A921" s="1">
        <v>20</v>
      </c>
      <c r="B921" s="1" t="s">
        <v>37</v>
      </c>
      <c r="C921" s="11">
        <v>22.93</v>
      </c>
      <c r="D921" s="11">
        <v>22.83</v>
      </c>
      <c r="E921" s="2">
        <f t="shared" si="29"/>
        <v>0.10000000000000142</v>
      </c>
      <c r="F921" s="11">
        <v>0</v>
      </c>
      <c r="G921" s="14">
        <f t="shared" si="28"/>
        <v>4.3610989969472928E-3</v>
      </c>
    </row>
    <row r="922" spans="1:7">
      <c r="A922" s="1">
        <v>21</v>
      </c>
      <c r="B922" s="1" t="s">
        <v>37</v>
      </c>
      <c r="C922" s="11">
        <v>0</v>
      </c>
      <c r="D922" s="11">
        <v>0</v>
      </c>
      <c r="E922" s="2">
        <f t="shared" si="29"/>
        <v>0</v>
      </c>
      <c r="F922" s="11">
        <v>0.19700000000000001</v>
      </c>
      <c r="G922" s="14" t="e">
        <f t="shared" si="28"/>
        <v>#DIV/0!</v>
      </c>
    </row>
    <row r="923" spans="1:7">
      <c r="A923" s="1">
        <v>22</v>
      </c>
      <c r="B923" s="1" t="s">
        <v>37</v>
      </c>
      <c r="C923" s="11">
        <v>0</v>
      </c>
      <c r="D923" s="11">
        <v>0</v>
      </c>
      <c r="E923" s="2">
        <f t="shared" si="29"/>
        <v>0</v>
      </c>
      <c r="F923" s="11">
        <v>0.108</v>
      </c>
      <c r="G923" s="14" t="e">
        <f t="shared" si="28"/>
        <v>#DIV/0!</v>
      </c>
    </row>
    <row r="924" spans="1:7">
      <c r="A924" s="1">
        <v>23</v>
      </c>
      <c r="B924" s="1" t="s">
        <v>37</v>
      </c>
      <c r="C924" s="11">
        <v>0</v>
      </c>
      <c r="D924" s="11">
        <v>0</v>
      </c>
      <c r="E924" s="2">
        <f t="shared" si="29"/>
        <v>0</v>
      </c>
      <c r="F924" s="11">
        <v>0</v>
      </c>
      <c r="G924" s="3" t="e">
        <f t="shared" si="28"/>
        <v>#DIV/0!</v>
      </c>
    </row>
    <row r="925" spans="1:7">
      <c r="A925" s="1">
        <v>24</v>
      </c>
      <c r="B925" s="1" t="s">
        <v>37</v>
      </c>
      <c r="C925" s="11">
        <v>0</v>
      </c>
      <c r="D925" s="11">
        <v>0</v>
      </c>
      <c r="E925" s="2">
        <f t="shared" si="29"/>
        <v>0</v>
      </c>
      <c r="F925" s="11">
        <v>0</v>
      </c>
      <c r="G925" s="3" t="e">
        <f t="shared" si="28"/>
        <v>#DIV/0!</v>
      </c>
    </row>
    <row r="926" spans="1:7">
      <c r="A926" s="1">
        <v>25</v>
      </c>
      <c r="B926" s="1" t="s">
        <v>37</v>
      </c>
      <c r="C926" s="11">
        <v>21.28</v>
      </c>
      <c r="D926" s="11">
        <v>21.2</v>
      </c>
      <c r="E926" s="2">
        <f t="shared" si="29"/>
        <v>8.0000000000001847E-2</v>
      </c>
      <c r="F926" s="11">
        <v>0</v>
      </c>
      <c r="G926" s="3">
        <f t="shared" si="28"/>
        <v>3.759398496240688E-3</v>
      </c>
    </row>
    <row r="927" spans="1:7">
      <c r="A927" s="1">
        <v>26</v>
      </c>
      <c r="B927" s="1" t="s">
        <v>37</v>
      </c>
      <c r="C927" s="11">
        <v>23.34</v>
      </c>
      <c r="D927" s="11">
        <v>23.26</v>
      </c>
      <c r="E927" s="2">
        <f t="shared" si="29"/>
        <v>7.9999999999998295E-2</v>
      </c>
      <c r="F927" s="11">
        <v>0.27</v>
      </c>
      <c r="G927" s="14">
        <f t="shared" si="28"/>
        <v>1.4995715509854256E-2</v>
      </c>
    </row>
    <row r="928" spans="1:7">
      <c r="A928" s="1">
        <v>27</v>
      </c>
      <c r="B928" s="1" t="s">
        <v>37</v>
      </c>
      <c r="C928" s="11">
        <v>0</v>
      </c>
      <c r="D928" s="11">
        <v>0</v>
      </c>
      <c r="E928" s="2">
        <f t="shared" si="29"/>
        <v>0</v>
      </c>
      <c r="F928" s="11">
        <v>0</v>
      </c>
      <c r="G928" s="14" t="e">
        <f t="shared" si="28"/>
        <v>#DIV/0!</v>
      </c>
    </row>
    <row r="929" spans="1:7">
      <c r="A929" s="1">
        <v>28</v>
      </c>
      <c r="B929" s="1" t="s">
        <v>37</v>
      </c>
      <c r="C929" s="11">
        <v>0</v>
      </c>
      <c r="D929" s="11">
        <v>0</v>
      </c>
      <c r="E929" s="2">
        <f t="shared" si="29"/>
        <v>0</v>
      </c>
      <c r="F929" s="11">
        <v>0</v>
      </c>
      <c r="G929" s="14" t="e">
        <f t="shared" si="28"/>
        <v>#DIV/0!</v>
      </c>
    </row>
    <row r="930" spans="1:7">
      <c r="A930" s="1">
        <v>29</v>
      </c>
      <c r="B930" s="1" t="s">
        <v>37</v>
      </c>
      <c r="C930" s="11">
        <v>0</v>
      </c>
      <c r="D930" s="11">
        <v>0</v>
      </c>
      <c r="E930" s="2">
        <f t="shared" si="29"/>
        <v>0</v>
      </c>
      <c r="F930" s="11">
        <v>0</v>
      </c>
      <c r="G930" s="14" t="e">
        <f t="shared" si="28"/>
        <v>#DIV/0!</v>
      </c>
    </row>
    <row r="931" spans="1:7">
      <c r="A931" s="1">
        <v>30</v>
      </c>
      <c r="B931" s="1" t="s">
        <v>37</v>
      </c>
      <c r="C931" s="11">
        <v>21.14</v>
      </c>
      <c r="D931" s="11">
        <v>21.05</v>
      </c>
      <c r="E931" s="2">
        <f t="shared" si="29"/>
        <v>8.9999999999999858E-2</v>
      </c>
      <c r="F931" s="11">
        <v>0.34699999999999998</v>
      </c>
      <c r="G931" s="14">
        <f t="shared" si="28"/>
        <v>2.0671712393566691E-2</v>
      </c>
    </row>
    <row r="932" spans="1:7">
      <c r="A932" s="1">
        <v>31</v>
      </c>
      <c r="B932" s="1" t="s">
        <v>37</v>
      </c>
      <c r="C932" s="11">
        <v>0</v>
      </c>
      <c r="D932" s="11">
        <v>0</v>
      </c>
      <c r="E932" s="2">
        <f t="shared" si="29"/>
        <v>0</v>
      </c>
      <c r="F932" s="11">
        <v>0</v>
      </c>
      <c r="G932" s="14" t="e">
        <f t="shared" si="28"/>
        <v>#DIV/0!</v>
      </c>
    </row>
    <row r="933" spans="1:7">
      <c r="A933" s="1">
        <v>1</v>
      </c>
      <c r="B933" s="1" t="s">
        <v>38</v>
      </c>
      <c r="C933" s="11">
        <v>0</v>
      </c>
      <c r="D933" s="11">
        <v>0</v>
      </c>
      <c r="E933" s="2">
        <f t="shared" si="29"/>
        <v>0</v>
      </c>
      <c r="F933" s="11">
        <v>0.115</v>
      </c>
      <c r="G933" s="14" t="e">
        <f t="shared" ref="G933:G1089" si="30">(E933+F933)/C933</f>
        <v>#DIV/0!</v>
      </c>
    </row>
    <row r="934" spans="1:7">
      <c r="A934" s="1">
        <v>2</v>
      </c>
      <c r="B934" s="1" t="s">
        <v>38</v>
      </c>
      <c r="C934" s="11">
        <v>0</v>
      </c>
      <c r="D934" s="11">
        <v>0</v>
      </c>
      <c r="E934" s="2">
        <f t="shared" si="29"/>
        <v>0</v>
      </c>
      <c r="F934" s="11">
        <v>0.08</v>
      </c>
      <c r="G934" s="14" t="e">
        <f t="shared" si="30"/>
        <v>#DIV/0!</v>
      </c>
    </row>
    <row r="935" spans="1:7">
      <c r="A935" s="1">
        <v>3</v>
      </c>
      <c r="B935" s="1" t="s">
        <v>38</v>
      </c>
      <c r="C935" s="11">
        <v>0</v>
      </c>
      <c r="D935" s="11">
        <v>0</v>
      </c>
      <c r="E935" s="2">
        <f t="shared" si="29"/>
        <v>0</v>
      </c>
      <c r="F935" s="11">
        <v>0.248</v>
      </c>
      <c r="G935" s="14" t="e">
        <f t="shared" si="30"/>
        <v>#DIV/0!</v>
      </c>
    </row>
    <row r="936" spans="1:7">
      <c r="A936" s="1">
        <v>4</v>
      </c>
      <c r="B936" s="1" t="s">
        <v>38</v>
      </c>
      <c r="C936" s="11">
        <v>0</v>
      </c>
      <c r="D936" s="11">
        <v>0</v>
      </c>
      <c r="E936" s="2">
        <f t="shared" si="29"/>
        <v>0</v>
      </c>
      <c r="F936" s="11">
        <v>0.40699999999999997</v>
      </c>
      <c r="G936" s="14" t="e">
        <f t="shared" si="30"/>
        <v>#DIV/0!</v>
      </c>
    </row>
    <row r="937" spans="1:7">
      <c r="A937" s="1">
        <v>5</v>
      </c>
      <c r="B937" s="1" t="s">
        <v>38</v>
      </c>
      <c r="C937" s="11">
        <v>0</v>
      </c>
      <c r="D937" s="11">
        <v>0</v>
      </c>
      <c r="E937" s="2">
        <f t="shared" si="29"/>
        <v>0</v>
      </c>
      <c r="F937" s="11">
        <v>0.16800000000000001</v>
      </c>
      <c r="G937" s="14" t="e">
        <f t="shared" si="30"/>
        <v>#DIV/0!</v>
      </c>
    </row>
    <row r="938" spans="1:7">
      <c r="A938" s="1">
        <v>6</v>
      </c>
      <c r="B938" s="1" t="s">
        <v>38</v>
      </c>
      <c r="C938" s="11">
        <v>0</v>
      </c>
      <c r="D938" s="11">
        <v>0</v>
      </c>
      <c r="E938" s="2">
        <f t="shared" si="29"/>
        <v>0</v>
      </c>
      <c r="F938" s="11">
        <v>0.16200000000000001</v>
      </c>
      <c r="G938" s="14" t="e">
        <f t="shared" si="30"/>
        <v>#DIV/0!</v>
      </c>
    </row>
    <row r="939" spans="1:7">
      <c r="A939" s="1">
        <v>7</v>
      </c>
      <c r="B939" s="1" t="s">
        <v>38</v>
      </c>
      <c r="C939" s="11">
        <v>0</v>
      </c>
      <c r="D939" s="11">
        <v>0</v>
      </c>
      <c r="E939" s="2">
        <f t="shared" si="29"/>
        <v>0</v>
      </c>
      <c r="F939" s="11">
        <v>0</v>
      </c>
      <c r="G939" s="14" t="e">
        <f t="shared" si="30"/>
        <v>#DIV/0!</v>
      </c>
    </row>
    <row r="940" spans="1:7">
      <c r="A940" s="1">
        <v>10</v>
      </c>
      <c r="B940" s="1" t="s">
        <v>38</v>
      </c>
      <c r="C940" s="11">
        <v>0</v>
      </c>
      <c r="D940" s="11">
        <v>0</v>
      </c>
      <c r="E940" s="2">
        <f t="shared" si="29"/>
        <v>0</v>
      </c>
      <c r="F940" s="11">
        <v>0.16400000000000001</v>
      </c>
      <c r="G940" s="14" t="e">
        <f t="shared" si="30"/>
        <v>#DIV/0!</v>
      </c>
    </row>
    <row r="941" spans="1:7">
      <c r="A941" s="1">
        <v>8</v>
      </c>
      <c r="B941" s="1" t="s">
        <v>38</v>
      </c>
      <c r="C941" s="11">
        <v>23.34</v>
      </c>
      <c r="D941" s="11">
        <v>23.03</v>
      </c>
      <c r="E941" s="2">
        <f t="shared" si="29"/>
        <v>0.30999999999999872</v>
      </c>
      <c r="F941" s="11">
        <v>9.2999999999999999E-2</v>
      </c>
      <c r="G941" s="14">
        <f t="shared" si="30"/>
        <v>1.7266495287060785E-2</v>
      </c>
    </row>
    <row r="942" spans="1:7">
      <c r="A942" s="1">
        <v>9</v>
      </c>
      <c r="B942" s="1" t="s">
        <v>38</v>
      </c>
      <c r="C942" s="11">
        <v>0</v>
      </c>
      <c r="D942" s="11">
        <v>0</v>
      </c>
      <c r="E942" s="2">
        <f t="shared" si="29"/>
        <v>0</v>
      </c>
      <c r="F942" s="11">
        <v>0.20799999999999999</v>
      </c>
      <c r="G942" s="14" t="e">
        <f t="shared" si="30"/>
        <v>#DIV/0!</v>
      </c>
    </row>
    <row r="943" spans="1:7">
      <c r="A943" s="1">
        <v>11</v>
      </c>
      <c r="B943" s="1" t="s">
        <v>38</v>
      </c>
      <c r="C943" s="11">
        <v>0</v>
      </c>
      <c r="D943" s="11">
        <v>0</v>
      </c>
      <c r="E943" s="2">
        <f t="shared" si="29"/>
        <v>0</v>
      </c>
      <c r="F943" s="11">
        <v>7.0000000000000007E-2</v>
      </c>
      <c r="G943" s="14" t="e">
        <f t="shared" si="30"/>
        <v>#DIV/0!</v>
      </c>
    </row>
    <row r="944" spans="1:7">
      <c r="A944" s="1">
        <v>12</v>
      </c>
      <c r="B944" s="1" t="s">
        <v>38</v>
      </c>
      <c r="C944" s="11">
        <v>0</v>
      </c>
      <c r="D944" s="11">
        <v>0</v>
      </c>
      <c r="E944" s="2">
        <f t="shared" si="29"/>
        <v>0</v>
      </c>
      <c r="F944" s="11">
        <v>0.26500000000000001</v>
      </c>
      <c r="G944" s="14" t="e">
        <f t="shared" si="30"/>
        <v>#DIV/0!</v>
      </c>
    </row>
    <row r="945" spans="1:7">
      <c r="A945" s="1">
        <v>13</v>
      </c>
      <c r="B945" s="1" t="s">
        <v>38</v>
      </c>
      <c r="C945" s="11">
        <v>0</v>
      </c>
      <c r="D945" s="11">
        <v>0</v>
      </c>
      <c r="E945" s="2">
        <f t="shared" si="29"/>
        <v>0</v>
      </c>
      <c r="F945" s="11">
        <v>0.11700000000000001</v>
      </c>
      <c r="G945" s="14" t="e">
        <f t="shared" si="30"/>
        <v>#DIV/0!</v>
      </c>
    </row>
    <row r="946" spans="1:7">
      <c r="A946" s="1">
        <v>14</v>
      </c>
      <c r="B946" s="1" t="s">
        <v>38</v>
      </c>
      <c r="C946" s="11">
        <v>0</v>
      </c>
      <c r="D946" s="11">
        <v>0</v>
      </c>
      <c r="E946" s="2">
        <f t="shared" si="29"/>
        <v>0</v>
      </c>
      <c r="F946" s="11">
        <v>0.28899999999999998</v>
      </c>
      <c r="G946" s="14" t="e">
        <f t="shared" si="30"/>
        <v>#DIV/0!</v>
      </c>
    </row>
    <row r="947" spans="1:7">
      <c r="A947" s="1">
        <v>15</v>
      </c>
      <c r="B947" s="1" t="s">
        <v>38</v>
      </c>
      <c r="C947" s="11">
        <v>0</v>
      </c>
      <c r="D947" s="11">
        <v>0</v>
      </c>
      <c r="E947" s="2">
        <f t="shared" si="29"/>
        <v>0</v>
      </c>
      <c r="F947" s="11">
        <v>0</v>
      </c>
      <c r="G947" s="14" t="e">
        <f t="shared" si="30"/>
        <v>#DIV/0!</v>
      </c>
    </row>
    <row r="948" spans="1:7">
      <c r="A948" s="1">
        <v>16</v>
      </c>
      <c r="B948" s="1" t="s">
        <v>38</v>
      </c>
      <c r="C948" s="11">
        <v>0</v>
      </c>
      <c r="D948" s="11">
        <v>0</v>
      </c>
      <c r="E948" s="2">
        <f t="shared" si="29"/>
        <v>0</v>
      </c>
      <c r="F948" s="11">
        <v>6.5000000000000002E-2</v>
      </c>
      <c r="G948" s="14" t="e">
        <f t="shared" si="30"/>
        <v>#DIV/0!</v>
      </c>
    </row>
    <row r="949" spans="1:7">
      <c r="A949" s="1">
        <v>17</v>
      </c>
      <c r="B949" s="1" t="s">
        <v>38</v>
      </c>
      <c r="C949" s="11">
        <v>0</v>
      </c>
      <c r="D949" s="11">
        <v>0</v>
      </c>
      <c r="E949" s="2">
        <f t="shared" si="29"/>
        <v>0</v>
      </c>
      <c r="F949" s="11">
        <v>0.16500000000000001</v>
      </c>
      <c r="G949" s="14" t="e">
        <f t="shared" si="30"/>
        <v>#DIV/0!</v>
      </c>
    </row>
    <row r="950" spans="1:7">
      <c r="A950" s="1">
        <v>18</v>
      </c>
      <c r="B950" s="1" t="s">
        <v>38</v>
      </c>
      <c r="C950" s="11">
        <v>0</v>
      </c>
      <c r="D950" s="11">
        <v>0</v>
      </c>
      <c r="E950" s="2">
        <f t="shared" si="29"/>
        <v>0</v>
      </c>
      <c r="F950" s="11">
        <v>0.17</v>
      </c>
      <c r="G950" s="14" t="e">
        <f t="shared" si="30"/>
        <v>#DIV/0!</v>
      </c>
    </row>
    <row r="951" spans="1:7">
      <c r="A951" s="1">
        <v>19</v>
      </c>
      <c r="B951" s="1" t="s">
        <v>38</v>
      </c>
      <c r="C951" s="11">
        <v>26.23</v>
      </c>
      <c r="D951" s="11">
        <v>25.32</v>
      </c>
      <c r="E951" s="2">
        <f t="shared" si="29"/>
        <v>0.91000000000000014</v>
      </c>
      <c r="F951" s="11">
        <v>1.7000000000000001E-2</v>
      </c>
      <c r="G951" s="14">
        <f t="shared" si="30"/>
        <v>3.5341212352268399E-2</v>
      </c>
    </row>
    <row r="952" spans="1:7">
      <c r="A952" s="1">
        <v>20</v>
      </c>
      <c r="B952" s="1" t="s">
        <v>38</v>
      </c>
      <c r="C952" s="11">
        <v>0</v>
      </c>
      <c r="D952" s="11">
        <v>0</v>
      </c>
      <c r="E952" s="2">
        <f t="shared" si="29"/>
        <v>0</v>
      </c>
      <c r="F952" s="11">
        <v>0.23100000000000001</v>
      </c>
      <c r="G952" s="14" t="e">
        <f t="shared" si="30"/>
        <v>#DIV/0!</v>
      </c>
    </row>
    <row r="953" spans="1:7">
      <c r="A953" s="1">
        <v>21</v>
      </c>
      <c r="B953" s="1" t="s">
        <v>38</v>
      </c>
      <c r="C953" s="11">
        <v>0</v>
      </c>
      <c r="D953" s="11">
        <v>0</v>
      </c>
      <c r="E953" s="2">
        <f t="shared" si="29"/>
        <v>0</v>
      </c>
      <c r="F953" s="11">
        <v>0</v>
      </c>
      <c r="G953" s="14" t="e">
        <f t="shared" si="30"/>
        <v>#DIV/0!</v>
      </c>
    </row>
    <row r="954" spans="1:7">
      <c r="A954" s="1">
        <v>22</v>
      </c>
      <c r="B954" s="1" t="s">
        <v>38</v>
      </c>
      <c r="C954" s="11">
        <v>0</v>
      </c>
      <c r="D954" s="11">
        <v>0</v>
      </c>
      <c r="E954" s="2">
        <f t="shared" si="29"/>
        <v>0</v>
      </c>
      <c r="F954" s="11">
        <v>0</v>
      </c>
      <c r="G954" s="14" t="e">
        <f t="shared" si="30"/>
        <v>#DIV/0!</v>
      </c>
    </row>
    <row r="955" spans="1:7">
      <c r="A955" s="1">
        <v>23</v>
      </c>
      <c r="B955" s="1" t="s">
        <v>38</v>
      </c>
      <c r="C955" s="11">
        <v>0</v>
      </c>
      <c r="D955" s="11">
        <v>0</v>
      </c>
      <c r="E955" s="2">
        <f t="shared" si="29"/>
        <v>0</v>
      </c>
      <c r="F955" s="11">
        <v>0.184</v>
      </c>
      <c r="G955" s="3" t="e">
        <f t="shared" si="30"/>
        <v>#DIV/0!</v>
      </c>
    </row>
    <row r="956" spans="1:7">
      <c r="A956" s="1">
        <v>24</v>
      </c>
      <c r="B956" s="1" t="s">
        <v>38</v>
      </c>
      <c r="C956" s="11">
        <v>0</v>
      </c>
      <c r="D956" s="11">
        <v>0</v>
      </c>
      <c r="E956" s="2">
        <f t="shared" si="29"/>
        <v>0</v>
      </c>
      <c r="F956" s="11">
        <v>0.125</v>
      </c>
      <c r="G956" s="3" t="e">
        <f t="shared" si="30"/>
        <v>#DIV/0!</v>
      </c>
    </row>
    <row r="957" spans="1:7">
      <c r="A957" s="1">
        <v>25</v>
      </c>
      <c r="B957" s="1" t="s">
        <v>38</v>
      </c>
      <c r="C957" s="11">
        <v>0</v>
      </c>
      <c r="D957" s="11">
        <v>0</v>
      </c>
      <c r="E957" s="2">
        <f t="shared" si="29"/>
        <v>0</v>
      </c>
      <c r="F957" s="11">
        <v>0.108</v>
      </c>
      <c r="G957" s="3" t="e">
        <f t="shared" si="30"/>
        <v>#DIV/0!</v>
      </c>
    </row>
    <row r="958" spans="1:7">
      <c r="A958" s="1">
        <v>26</v>
      </c>
      <c r="B958" s="1" t="s">
        <v>38</v>
      </c>
      <c r="C958" s="11">
        <v>0</v>
      </c>
      <c r="D958" s="11">
        <v>0</v>
      </c>
      <c r="E958" s="2">
        <f t="shared" si="29"/>
        <v>0</v>
      </c>
      <c r="F958" s="11">
        <v>0.13</v>
      </c>
      <c r="G958" s="14" t="e">
        <f t="shared" si="30"/>
        <v>#DIV/0!</v>
      </c>
    </row>
    <row r="959" spans="1:7">
      <c r="A959" s="1">
        <v>27</v>
      </c>
      <c r="B959" s="1" t="s">
        <v>38</v>
      </c>
      <c r="C959" s="11">
        <v>0</v>
      </c>
      <c r="D959" s="11">
        <v>0</v>
      </c>
      <c r="E959" s="2">
        <f t="shared" si="29"/>
        <v>0</v>
      </c>
      <c r="F959" s="11">
        <v>0.124</v>
      </c>
      <c r="G959" s="14" t="e">
        <f t="shared" si="30"/>
        <v>#DIV/0!</v>
      </c>
    </row>
    <row r="960" spans="1:7">
      <c r="A960" s="1">
        <v>28</v>
      </c>
      <c r="B960" s="1" t="s">
        <v>38</v>
      </c>
      <c r="C960" s="11">
        <v>0</v>
      </c>
      <c r="D960" s="11">
        <v>0</v>
      </c>
      <c r="E960" s="2">
        <f t="shared" si="29"/>
        <v>0</v>
      </c>
      <c r="F960" s="11">
        <v>9.6000000000000002E-2</v>
      </c>
      <c r="G960" s="14" t="e">
        <f t="shared" si="30"/>
        <v>#DIV/0!</v>
      </c>
    </row>
    <row r="961" spans="1:7">
      <c r="A961" s="1">
        <v>29</v>
      </c>
      <c r="B961" s="1" t="s">
        <v>38</v>
      </c>
      <c r="C961" s="11">
        <v>0</v>
      </c>
      <c r="D961" s="11">
        <v>0</v>
      </c>
      <c r="E961" s="2">
        <f t="shared" si="29"/>
        <v>0</v>
      </c>
      <c r="F961" s="11">
        <v>0.11</v>
      </c>
      <c r="G961" s="14" t="e">
        <f t="shared" si="30"/>
        <v>#DIV/0!</v>
      </c>
    </row>
    <row r="962" spans="1:7">
      <c r="A962" s="1">
        <v>30</v>
      </c>
      <c r="B962" s="1" t="s">
        <v>38</v>
      </c>
      <c r="C962" s="11">
        <v>20.46</v>
      </c>
      <c r="D962" s="11">
        <v>19.77</v>
      </c>
      <c r="E962" s="2">
        <f t="shared" si="29"/>
        <v>0.69000000000000128</v>
      </c>
      <c r="F962" s="11">
        <v>9.6000000000000002E-2</v>
      </c>
      <c r="G962" s="14">
        <f t="shared" si="30"/>
        <v>3.841642228739009E-2</v>
      </c>
    </row>
    <row r="963" spans="1:7">
      <c r="A963" s="1">
        <v>31</v>
      </c>
      <c r="B963" s="1" t="s">
        <v>38</v>
      </c>
      <c r="C963" s="11">
        <v>0</v>
      </c>
      <c r="D963" s="11">
        <v>0</v>
      </c>
      <c r="E963" s="2">
        <f t="shared" si="29"/>
        <v>0</v>
      </c>
      <c r="F963" s="11">
        <v>8.5000000000000006E-2</v>
      </c>
      <c r="G963" s="14" t="e">
        <f t="shared" si="30"/>
        <v>#DIV/0!</v>
      </c>
    </row>
    <row r="964" spans="1:7">
      <c r="A964" s="1">
        <v>1</v>
      </c>
      <c r="B964" s="1" t="s">
        <v>39</v>
      </c>
      <c r="C964" s="11">
        <v>28.826000000000001</v>
      </c>
      <c r="D964" s="11">
        <v>27.33</v>
      </c>
      <c r="E964" s="2">
        <f t="shared" ref="E964:E1027" si="31">C964-D964</f>
        <v>1.4960000000000022</v>
      </c>
      <c r="F964" s="11">
        <v>0</v>
      </c>
      <c r="G964" s="14">
        <f t="shared" si="30"/>
        <v>5.1897592451259356E-2</v>
      </c>
    </row>
    <row r="965" spans="1:7">
      <c r="A965" s="1">
        <v>2</v>
      </c>
      <c r="B965" s="1" t="s">
        <v>39</v>
      </c>
      <c r="C965" s="11">
        <v>0</v>
      </c>
      <c r="D965" s="11">
        <v>0</v>
      </c>
      <c r="E965" s="2">
        <f t="shared" si="31"/>
        <v>0</v>
      </c>
      <c r="F965" s="11">
        <v>0</v>
      </c>
      <c r="G965" s="14" t="e">
        <f t="shared" si="30"/>
        <v>#DIV/0!</v>
      </c>
    </row>
    <row r="966" spans="1:7">
      <c r="A966" s="1">
        <v>3</v>
      </c>
      <c r="B966" s="1" t="s">
        <v>39</v>
      </c>
      <c r="C966" s="11">
        <v>28.11</v>
      </c>
      <c r="D966" s="11">
        <v>27.5</v>
      </c>
      <c r="E966" s="2">
        <f t="shared" si="31"/>
        <v>0.60999999999999943</v>
      </c>
      <c r="F966" s="11">
        <v>0</v>
      </c>
      <c r="G966" s="14">
        <f t="shared" si="30"/>
        <v>2.1700462468872268E-2</v>
      </c>
    </row>
    <row r="967" spans="1:7">
      <c r="A967" s="1">
        <v>4</v>
      </c>
      <c r="B967" s="1" t="s">
        <v>39</v>
      </c>
      <c r="C967" s="11">
        <v>0</v>
      </c>
      <c r="D967" s="11">
        <v>0</v>
      </c>
      <c r="E967" s="2">
        <f t="shared" si="31"/>
        <v>0</v>
      </c>
      <c r="F967" s="11">
        <v>0</v>
      </c>
      <c r="G967" s="14" t="e">
        <f t="shared" si="30"/>
        <v>#DIV/0!</v>
      </c>
    </row>
    <row r="968" spans="1:7">
      <c r="A968" s="1">
        <v>5</v>
      </c>
      <c r="B968" s="1" t="s">
        <v>39</v>
      </c>
      <c r="C968" s="11">
        <v>26.75</v>
      </c>
      <c r="D968" s="11">
        <v>24.86</v>
      </c>
      <c r="E968" s="2">
        <f t="shared" si="31"/>
        <v>1.8900000000000006</v>
      </c>
      <c r="F968" s="11">
        <v>0</v>
      </c>
      <c r="G968" s="14">
        <f t="shared" si="30"/>
        <v>7.065420560747665E-2</v>
      </c>
    </row>
    <row r="969" spans="1:7">
      <c r="A969" s="1">
        <v>6</v>
      </c>
      <c r="B969" s="1" t="s">
        <v>39</v>
      </c>
      <c r="C969" s="11">
        <v>0</v>
      </c>
      <c r="D969" s="11">
        <v>0</v>
      </c>
      <c r="E969" s="2">
        <f t="shared" si="31"/>
        <v>0</v>
      </c>
      <c r="F969" s="11">
        <v>0</v>
      </c>
      <c r="G969" s="14" t="e">
        <f t="shared" si="30"/>
        <v>#DIV/0!</v>
      </c>
    </row>
    <row r="970" spans="1:7">
      <c r="A970" s="1">
        <v>7</v>
      </c>
      <c r="B970" s="1" t="s">
        <v>39</v>
      </c>
      <c r="C970" s="11">
        <v>0</v>
      </c>
      <c r="D970" s="11">
        <v>0</v>
      </c>
      <c r="E970" s="2">
        <f t="shared" si="31"/>
        <v>0</v>
      </c>
      <c r="F970" s="11">
        <v>0</v>
      </c>
      <c r="G970" s="14" t="e">
        <f t="shared" si="30"/>
        <v>#DIV/0!</v>
      </c>
    </row>
    <row r="971" spans="1:7">
      <c r="A971" s="1">
        <v>10</v>
      </c>
      <c r="B971" s="1" t="s">
        <v>39</v>
      </c>
      <c r="C971" s="11">
        <v>0</v>
      </c>
      <c r="D971" s="11">
        <v>0</v>
      </c>
      <c r="E971" s="2">
        <f t="shared" si="31"/>
        <v>0</v>
      </c>
      <c r="F971" s="11">
        <v>0</v>
      </c>
      <c r="G971" s="14" t="e">
        <f t="shared" si="30"/>
        <v>#DIV/0!</v>
      </c>
    </row>
    <row r="972" spans="1:7">
      <c r="A972" s="1">
        <v>8</v>
      </c>
      <c r="B972" s="1" t="s">
        <v>39</v>
      </c>
      <c r="C972" s="11">
        <v>0</v>
      </c>
      <c r="D972" s="11">
        <v>0</v>
      </c>
      <c r="E972" s="2">
        <f t="shared" si="31"/>
        <v>0</v>
      </c>
      <c r="F972" s="11">
        <v>0</v>
      </c>
      <c r="G972" s="14" t="e">
        <f t="shared" si="30"/>
        <v>#DIV/0!</v>
      </c>
    </row>
    <row r="973" spans="1:7">
      <c r="A973" s="1">
        <v>9</v>
      </c>
      <c r="B973" s="1" t="s">
        <v>39</v>
      </c>
      <c r="C973" s="11">
        <v>22.26</v>
      </c>
      <c r="D973" s="11">
        <v>21.24</v>
      </c>
      <c r="E973" s="2">
        <f t="shared" si="31"/>
        <v>1.0200000000000031</v>
      </c>
      <c r="F973" s="11">
        <v>0</v>
      </c>
      <c r="G973" s="14">
        <f t="shared" si="30"/>
        <v>4.582210242587615E-2</v>
      </c>
    </row>
    <row r="974" spans="1:7">
      <c r="A974" s="1">
        <v>11</v>
      </c>
      <c r="B974" s="1" t="s">
        <v>39</v>
      </c>
      <c r="C974" s="11">
        <v>0</v>
      </c>
      <c r="D974" s="11">
        <v>0</v>
      </c>
      <c r="E974" s="2">
        <f t="shared" si="31"/>
        <v>0</v>
      </c>
      <c r="F974" s="11">
        <v>0</v>
      </c>
      <c r="G974" s="14" t="e">
        <f t="shared" si="30"/>
        <v>#DIV/0!</v>
      </c>
    </row>
    <row r="975" spans="1:7">
      <c r="A975" s="1">
        <v>12</v>
      </c>
      <c r="B975" s="1" t="s">
        <v>39</v>
      </c>
      <c r="C975" s="11">
        <v>0</v>
      </c>
      <c r="D975" s="11">
        <v>0</v>
      </c>
      <c r="E975" s="2">
        <f t="shared" si="31"/>
        <v>0</v>
      </c>
      <c r="F975" s="11">
        <v>0</v>
      </c>
      <c r="G975" s="14" t="e">
        <f t="shared" si="30"/>
        <v>#DIV/0!</v>
      </c>
    </row>
    <row r="976" spans="1:7">
      <c r="A976" s="1">
        <v>13</v>
      </c>
      <c r="B976" s="1" t="s">
        <v>39</v>
      </c>
      <c r="C976" s="11">
        <v>0</v>
      </c>
      <c r="D976" s="11">
        <v>0</v>
      </c>
      <c r="E976" s="2">
        <f t="shared" si="31"/>
        <v>0</v>
      </c>
      <c r="F976" s="11">
        <v>0</v>
      </c>
      <c r="G976" s="14" t="e">
        <f t="shared" si="30"/>
        <v>#DIV/0!</v>
      </c>
    </row>
    <row r="977" spans="1:7">
      <c r="A977" s="1">
        <v>14</v>
      </c>
      <c r="B977" s="1" t="s">
        <v>39</v>
      </c>
      <c r="C977" s="11">
        <v>0</v>
      </c>
      <c r="D977" s="11">
        <v>0</v>
      </c>
      <c r="E977" s="2">
        <f t="shared" si="31"/>
        <v>0</v>
      </c>
      <c r="F977" s="11">
        <v>0</v>
      </c>
      <c r="G977" s="14" t="e">
        <f t="shared" si="30"/>
        <v>#DIV/0!</v>
      </c>
    </row>
    <row r="978" spans="1:7">
      <c r="A978" s="1">
        <v>15</v>
      </c>
      <c r="B978" s="1" t="s">
        <v>39</v>
      </c>
      <c r="C978" s="11">
        <v>23.55</v>
      </c>
      <c r="D978" s="11">
        <v>22.79</v>
      </c>
      <c r="E978" s="2">
        <f t="shared" si="31"/>
        <v>0.76000000000000156</v>
      </c>
      <c r="F978" s="11">
        <v>0</v>
      </c>
      <c r="G978" s="14">
        <f t="shared" si="30"/>
        <v>3.2271762208068003E-2</v>
      </c>
    </row>
    <row r="979" spans="1:7">
      <c r="A979" s="1">
        <v>16</v>
      </c>
      <c r="B979" s="1" t="s">
        <v>39</v>
      </c>
      <c r="C979" s="11">
        <v>20.91</v>
      </c>
      <c r="D979" s="11">
        <v>19.84</v>
      </c>
      <c r="E979" s="2">
        <f t="shared" si="31"/>
        <v>1.0700000000000003</v>
      </c>
      <c r="F979" s="11">
        <v>0</v>
      </c>
      <c r="G979" s="14">
        <f t="shared" si="30"/>
        <v>5.1171688187470123E-2</v>
      </c>
    </row>
    <row r="980" spans="1:7">
      <c r="A980" s="1">
        <v>17</v>
      </c>
      <c r="B980" s="1" t="s">
        <v>39</v>
      </c>
      <c r="C980" s="11">
        <v>0</v>
      </c>
      <c r="D980" s="11">
        <v>0</v>
      </c>
      <c r="E980" s="2">
        <f t="shared" si="31"/>
        <v>0</v>
      </c>
      <c r="F980" s="11">
        <v>0</v>
      </c>
      <c r="G980" s="14" t="e">
        <f t="shared" si="30"/>
        <v>#DIV/0!</v>
      </c>
    </row>
    <row r="981" spans="1:7">
      <c r="A981" s="1">
        <v>18</v>
      </c>
      <c r="B981" s="1" t="s">
        <v>39</v>
      </c>
      <c r="C981" s="11">
        <v>21.76</v>
      </c>
      <c r="D981" s="11">
        <v>19.93</v>
      </c>
      <c r="E981" s="2">
        <f t="shared" si="31"/>
        <v>1.8300000000000018</v>
      </c>
      <c r="F981" s="11">
        <v>0</v>
      </c>
      <c r="G981" s="14">
        <f t="shared" si="30"/>
        <v>8.4099264705882429E-2</v>
      </c>
    </row>
    <row r="982" spans="1:7">
      <c r="A982" s="1">
        <v>19</v>
      </c>
      <c r="B982" s="1" t="s">
        <v>39</v>
      </c>
      <c r="C982" s="11">
        <v>20.190000000000001</v>
      </c>
      <c r="D982" s="11">
        <v>19.89</v>
      </c>
      <c r="E982" s="2">
        <f t="shared" si="31"/>
        <v>0.30000000000000071</v>
      </c>
      <c r="F982" s="11">
        <v>0</v>
      </c>
      <c r="G982" s="14">
        <f t="shared" si="30"/>
        <v>1.4858841010401223E-2</v>
      </c>
    </row>
    <row r="983" spans="1:7">
      <c r="A983" s="1">
        <v>20</v>
      </c>
      <c r="B983" s="1" t="s">
        <v>39</v>
      </c>
      <c r="C983" s="11">
        <v>0</v>
      </c>
      <c r="D983" s="11">
        <v>0</v>
      </c>
      <c r="E983" s="2">
        <f t="shared" si="31"/>
        <v>0</v>
      </c>
      <c r="F983" s="11">
        <v>0</v>
      </c>
      <c r="G983" s="14" t="e">
        <f t="shared" si="30"/>
        <v>#DIV/0!</v>
      </c>
    </row>
    <row r="984" spans="1:7">
      <c r="A984" s="1">
        <v>21</v>
      </c>
      <c r="B984" s="1" t="s">
        <v>39</v>
      </c>
      <c r="C984" s="11">
        <v>0</v>
      </c>
      <c r="D984" s="11">
        <v>0</v>
      </c>
      <c r="E984" s="2">
        <f t="shared" si="31"/>
        <v>0</v>
      </c>
      <c r="F984" s="11">
        <v>0</v>
      </c>
      <c r="G984" s="14" t="e">
        <f t="shared" si="30"/>
        <v>#DIV/0!</v>
      </c>
    </row>
    <row r="985" spans="1:7">
      <c r="A985" s="1">
        <v>22</v>
      </c>
      <c r="B985" s="1" t="s">
        <v>39</v>
      </c>
      <c r="C985" s="11">
        <v>21.04</v>
      </c>
      <c r="D985" s="11">
        <v>20.32</v>
      </c>
      <c r="E985" s="2">
        <f t="shared" si="31"/>
        <v>0.71999999999999886</v>
      </c>
      <c r="F985" s="11">
        <v>0</v>
      </c>
      <c r="G985" s="14">
        <f t="shared" si="30"/>
        <v>3.4220532319391581E-2</v>
      </c>
    </row>
    <row r="986" spans="1:7">
      <c r="A986" s="1">
        <v>23</v>
      </c>
      <c r="B986" s="1" t="s">
        <v>39</v>
      </c>
      <c r="C986" s="11">
        <v>0</v>
      </c>
      <c r="D986" s="11">
        <v>0</v>
      </c>
      <c r="E986" s="2">
        <f t="shared" si="31"/>
        <v>0</v>
      </c>
      <c r="F986" s="11">
        <v>0</v>
      </c>
      <c r="G986" s="3" t="e">
        <f t="shared" si="30"/>
        <v>#DIV/0!</v>
      </c>
    </row>
    <row r="987" spans="1:7">
      <c r="A987" s="1">
        <v>24</v>
      </c>
      <c r="B987" s="1" t="s">
        <v>39</v>
      </c>
      <c r="C987" s="11">
        <v>0</v>
      </c>
      <c r="D987" s="11">
        <v>0</v>
      </c>
      <c r="E987" s="2">
        <f t="shared" si="31"/>
        <v>0</v>
      </c>
      <c r="F987" s="11">
        <v>0</v>
      </c>
      <c r="G987" s="3" t="e">
        <f t="shared" si="30"/>
        <v>#DIV/0!</v>
      </c>
    </row>
    <row r="988" spans="1:7">
      <c r="A988" s="1">
        <v>25</v>
      </c>
      <c r="B988" s="1" t="s">
        <v>39</v>
      </c>
      <c r="C988" s="11">
        <v>0</v>
      </c>
      <c r="D988" s="11">
        <v>0</v>
      </c>
      <c r="E988" s="2">
        <f t="shared" si="31"/>
        <v>0</v>
      </c>
      <c r="F988" s="11">
        <v>0</v>
      </c>
      <c r="G988" s="3" t="e">
        <f t="shared" si="30"/>
        <v>#DIV/0!</v>
      </c>
    </row>
    <row r="989" spans="1:7">
      <c r="A989" s="1">
        <v>26</v>
      </c>
      <c r="B989" s="1" t="s">
        <v>39</v>
      </c>
      <c r="C989" s="11">
        <v>0</v>
      </c>
      <c r="D989" s="11">
        <v>0</v>
      </c>
      <c r="E989" s="2">
        <f t="shared" si="31"/>
        <v>0</v>
      </c>
      <c r="F989" s="11">
        <v>0</v>
      </c>
      <c r="G989" s="14" t="e">
        <f t="shared" si="30"/>
        <v>#DIV/0!</v>
      </c>
    </row>
    <row r="990" spans="1:7">
      <c r="A990" s="1">
        <v>27</v>
      </c>
      <c r="B990" s="1" t="s">
        <v>39</v>
      </c>
      <c r="C990" s="11">
        <v>0</v>
      </c>
      <c r="D990" s="11">
        <v>0</v>
      </c>
      <c r="E990" s="2">
        <f t="shared" si="31"/>
        <v>0</v>
      </c>
      <c r="F990" s="11">
        <v>0</v>
      </c>
      <c r="G990" s="14" t="e">
        <f t="shared" si="30"/>
        <v>#DIV/0!</v>
      </c>
    </row>
    <row r="991" spans="1:7">
      <c r="A991" s="1">
        <v>28</v>
      </c>
      <c r="B991" s="1" t="s">
        <v>39</v>
      </c>
      <c r="C991" s="11">
        <v>0</v>
      </c>
      <c r="D991" s="11">
        <v>0</v>
      </c>
      <c r="E991" s="2">
        <f t="shared" si="31"/>
        <v>0</v>
      </c>
      <c r="F991" s="11">
        <v>2.8000000000000001E-2</v>
      </c>
      <c r="G991" s="14" t="e">
        <f t="shared" si="30"/>
        <v>#DIV/0!</v>
      </c>
    </row>
    <row r="992" spans="1:7">
      <c r="A992" s="1">
        <v>29</v>
      </c>
      <c r="B992" s="1" t="s">
        <v>39</v>
      </c>
      <c r="C992" s="11">
        <v>24.658000000000001</v>
      </c>
      <c r="D992" s="11">
        <v>23.96</v>
      </c>
      <c r="E992" s="2">
        <f t="shared" si="31"/>
        <v>0.6980000000000004</v>
      </c>
      <c r="F992" s="11">
        <v>0</v>
      </c>
      <c r="G992" s="14">
        <f t="shared" si="30"/>
        <v>2.8307243085408402E-2</v>
      </c>
    </row>
    <row r="993" spans="1:7">
      <c r="A993" s="1">
        <v>30</v>
      </c>
      <c r="B993" s="1" t="s">
        <v>39</v>
      </c>
      <c r="C993" s="11">
        <v>0</v>
      </c>
      <c r="D993" s="11">
        <v>0</v>
      </c>
      <c r="E993" s="2">
        <f t="shared" si="31"/>
        <v>0</v>
      </c>
      <c r="F993" s="11">
        <v>0</v>
      </c>
      <c r="G993" s="14" t="e">
        <f t="shared" si="30"/>
        <v>#DIV/0!</v>
      </c>
    </row>
    <row r="994" spans="1:7">
      <c r="A994" s="1">
        <v>31</v>
      </c>
      <c r="B994" s="1" t="s">
        <v>39</v>
      </c>
      <c r="C994" s="11">
        <v>0</v>
      </c>
      <c r="D994" s="11">
        <v>0</v>
      </c>
      <c r="E994" s="2">
        <f t="shared" si="31"/>
        <v>0</v>
      </c>
      <c r="F994" s="11">
        <v>0</v>
      </c>
      <c r="G994" s="14" t="e">
        <f t="shared" si="30"/>
        <v>#DIV/0!</v>
      </c>
    </row>
    <row r="995" spans="1:7">
      <c r="A995" s="1">
        <v>1</v>
      </c>
      <c r="B995" s="1" t="s">
        <v>66</v>
      </c>
      <c r="C995" s="11">
        <v>0</v>
      </c>
      <c r="D995" s="11">
        <v>0</v>
      </c>
      <c r="E995" s="2">
        <f t="shared" si="31"/>
        <v>0</v>
      </c>
      <c r="F995" s="11">
        <v>4.9000000000000002E-2</v>
      </c>
      <c r="G995" s="14" t="e">
        <f t="shared" ref="G995:G1056" si="32">(E995+F995)/C995</f>
        <v>#DIV/0!</v>
      </c>
    </row>
    <row r="996" spans="1:7">
      <c r="A996" s="1">
        <v>2</v>
      </c>
      <c r="B996" s="1" t="s">
        <v>66</v>
      </c>
      <c r="C996" s="11">
        <v>5.15</v>
      </c>
      <c r="D996" s="11">
        <v>4.9800000000000004</v>
      </c>
      <c r="E996" s="2">
        <f t="shared" si="31"/>
        <v>0.16999999999999993</v>
      </c>
      <c r="F996" s="11">
        <v>2.4E-2</v>
      </c>
      <c r="G996" s="14">
        <f t="shared" si="32"/>
        <v>3.7669902912621345E-2</v>
      </c>
    </row>
    <row r="997" spans="1:7">
      <c r="A997" s="1">
        <v>3</v>
      </c>
      <c r="B997" s="1" t="s">
        <v>66</v>
      </c>
      <c r="C997" s="11">
        <v>9.3699999999999992</v>
      </c>
      <c r="D997" s="11">
        <v>9.1</v>
      </c>
      <c r="E997" s="2">
        <f t="shared" si="31"/>
        <v>0.26999999999999957</v>
      </c>
      <c r="F997" s="11">
        <v>7.0000000000000007E-2</v>
      </c>
      <c r="G997" s="14">
        <f t="shared" si="32"/>
        <v>3.6286019210245421E-2</v>
      </c>
    </row>
    <row r="998" spans="1:7">
      <c r="A998" s="1">
        <v>4</v>
      </c>
      <c r="B998" s="1" t="s">
        <v>66</v>
      </c>
      <c r="C998" s="11">
        <v>8.25</v>
      </c>
      <c r="D998" s="11">
        <v>8.06</v>
      </c>
      <c r="E998" s="2">
        <f t="shared" si="31"/>
        <v>0.1899999999999995</v>
      </c>
      <c r="F998" s="11">
        <v>2.4E-2</v>
      </c>
      <c r="G998" s="14">
        <f t="shared" si="32"/>
        <v>2.5939393939393877E-2</v>
      </c>
    </row>
    <row r="999" spans="1:7">
      <c r="A999" s="1">
        <v>5</v>
      </c>
      <c r="B999" s="1" t="s">
        <v>66</v>
      </c>
      <c r="C999" s="11">
        <v>4.75</v>
      </c>
      <c r="D999" s="11">
        <v>4.6100000000000003</v>
      </c>
      <c r="E999" s="2">
        <f t="shared" si="31"/>
        <v>0.13999999999999968</v>
      </c>
      <c r="F999" s="11">
        <v>1.2999999999999999E-2</v>
      </c>
      <c r="G999" s="14">
        <f t="shared" si="32"/>
        <v>3.2210526315789412E-2</v>
      </c>
    </row>
    <row r="1000" spans="1:7">
      <c r="A1000" s="1">
        <v>6</v>
      </c>
      <c r="B1000" s="1" t="s">
        <v>66</v>
      </c>
      <c r="C1000" s="11">
        <v>0</v>
      </c>
      <c r="D1000" s="11">
        <v>0</v>
      </c>
      <c r="E1000" s="2">
        <f t="shared" si="31"/>
        <v>0</v>
      </c>
      <c r="F1000" s="11">
        <v>0</v>
      </c>
      <c r="G1000" s="14" t="e">
        <f t="shared" si="32"/>
        <v>#DIV/0!</v>
      </c>
    </row>
    <row r="1001" spans="1:7">
      <c r="A1001" s="1">
        <v>7</v>
      </c>
      <c r="B1001" s="1" t="s">
        <v>66</v>
      </c>
      <c r="C1001" s="11">
        <v>0</v>
      </c>
      <c r="D1001" s="11">
        <v>0</v>
      </c>
      <c r="E1001" s="2">
        <f t="shared" si="31"/>
        <v>0</v>
      </c>
      <c r="F1001" s="11">
        <v>8.0000000000000002E-3</v>
      </c>
      <c r="G1001" s="14" t="e">
        <f t="shared" si="32"/>
        <v>#DIV/0!</v>
      </c>
    </row>
    <row r="1002" spans="1:7">
      <c r="A1002" s="1">
        <v>10</v>
      </c>
      <c r="B1002" s="1" t="s">
        <v>66</v>
      </c>
      <c r="C1002" s="11">
        <v>0</v>
      </c>
      <c r="D1002" s="11">
        <v>0</v>
      </c>
      <c r="E1002" s="2">
        <f t="shared" si="31"/>
        <v>0</v>
      </c>
      <c r="F1002" s="11">
        <v>4.2000000000000003E-2</v>
      </c>
      <c r="G1002" s="14" t="e">
        <f t="shared" si="32"/>
        <v>#DIV/0!</v>
      </c>
    </row>
    <row r="1003" spans="1:7">
      <c r="A1003" s="1">
        <v>8</v>
      </c>
      <c r="B1003" s="1" t="s">
        <v>66</v>
      </c>
      <c r="C1003" s="11">
        <v>6.3239999999999998</v>
      </c>
      <c r="D1003" s="11">
        <v>6.14</v>
      </c>
      <c r="E1003" s="2">
        <f t="shared" si="31"/>
        <v>0.18400000000000016</v>
      </c>
      <c r="F1003" s="11">
        <v>3.0000000000000001E-3</v>
      </c>
      <c r="G1003" s="14">
        <f t="shared" si="32"/>
        <v>2.9569892473118305E-2</v>
      </c>
    </row>
    <row r="1004" spans="1:7">
      <c r="A1004" s="1">
        <v>9</v>
      </c>
      <c r="B1004" s="1" t="s">
        <v>66</v>
      </c>
      <c r="C1004" s="11">
        <v>9.07</v>
      </c>
      <c r="D1004" s="11">
        <v>8.98</v>
      </c>
      <c r="E1004" s="2">
        <f t="shared" si="31"/>
        <v>8.9999999999999858E-2</v>
      </c>
      <c r="F1004" s="11">
        <v>5.9000000000001052E-2</v>
      </c>
      <c r="G1004" s="14">
        <f t="shared" si="32"/>
        <v>1.6427783902976948E-2</v>
      </c>
    </row>
    <row r="1005" spans="1:7">
      <c r="A1005" s="1">
        <v>11</v>
      </c>
      <c r="B1005" s="1" t="s">
        <v>66</v>
      </c>
      <c r="C1005" s="11">
        <v>0</v>
      </c>
      <c r="D1005" s="11">
        <v>0</v>
      </c>
      <c r="E1005" s="2">
        <f t="shared" si="31"/>
        <v>0</v>
      </c>
      <c r="F1005" s="11">
        <v>5.0000000000003375E-3</v>
      </c>
      <c r="G1005" s="14" t="e">
        <f t="shared" si="32"/>
        <v>#DIV/0!</v>
      </c>
    </row>
    <row r="1006" spans="1:7">
      <c r="A1006" s="1">
        <v>12</v>
      </c>
      <c r="B1006" s="1" t="s">
        <v>66</v>
      </c>
      <c r="C1006" s="11">
        <v>10.85</v>
      </c>
      <c r="D1006" s="11">
        <v>10.71</v>
      </c>
      <c r="E1006" s="2">
        <f t="shared" si="31"/>
        <v>0.13999999999999879</v>
      </c>
      <c r="F1006" s="11">
        <v>5.7000000000000002E-2</v>
      </c>
      <c r="G1006" s="14">
        <f t="shared" si="32"/>
        <v>1.8156682027649657E-2</v>
      </c>
    </row>
    <row r="1007" spans="1:7">
      <c r="A1007" s="1">
        <v>13</v>
      </c>
      <c r="B1007" s="1" t="s">
        <v>66</v>
      </c>
      <c r="C1007" s="11">
        <v>0</v>
      </c>
      <c r="D1007" s="11">
        <v>0</v>
      </c>
      <c r="E1007" s="2">
        <f t="shared" si="31"/>
        <v>0</v>
      </c>
      <c r="F1007" s="11">
        <v>3.9E-2</v>
      </c>
      <c r="G1007" s="14" t="e">
        <f t="shared" si="32"/>
        <v>#DIV/0!</v>
      </c>
    </row>
    <row r="1008" spans="1:7">
      <c r="A1008" s="1">
        <v>14</v>
      </c>
      <c r="B1008" s="1" t="s">
        <v>66</v>
      </c>
      <c r="C1008" s="11">
        <v>0</v>
      </c>
      <c r="D1008" s="11">
        <v>0</v>
      </c>
      <c r="E1008" s="2">
        <f t="shared" si="31"/>
        <v>0</v>
      </c>
      <c r="F1008" s="11">
        <v>0.11899999999999888</v>
      </c>
      <c r="G1008" s="14" t="e">
        <f t="shared" si="32"/>
        <v>#DIV/0!</v>
      </c>
    </row>
    <row r="1009" spans="1:7">
      <c r="A1009" s="1">
        <v>15</v>
      </c>
      <c r="B1009" s="1" t="s">
        <v>66</v>
      </c>
      <c r="C1009" s="11">
        <v>0</v>
      </c>
      <c r="D1009" s="11">
        <v>0</v>
      </c>
      <c r="E1009" s="2">
        <f t="shared" si="31"/>
        <v>0</v>
      </c>
      <c r="F1009" s="11">
        <v>2.4E-2</v>
      </c>
      <c r="G1009" s="14" t="e">
        <f t="shared" si="32"/>
        <v>#DIV/0!</v>
      </c>
    </row>
    <row r="1010" spans="1:7">
      <c r="A1010" s="1">
        <v>16</v>
      </c>
      <c r="B1010" s="1" t="s">
        <v>66</v>
      </c>
      <c r="C1010" s="11">
        <v>9.75</v>
      </c>
      <c r="D1010" s="11">
        <v>9.5</v>
      </c>
      <c r="E1010" s="2">
        <f t="shared" si="31"/>
        <v>0.25</v>
      </c>
      <c r="F1010" s="11">
        <v>1.6E-2</v>
      </c>
      <c r="G1010" s="14">
        <f t="shared" si="32"/>
        <v>2.7282051282051283E-2</v>
      </c>
    </row>
    <row r="1011" spans="1:7">
      <c r="A1011" s="1">
        <v>17</v>
      </c>
      <c r="B1011" s="1" t="s">
        <v>66</v>
      </c>
      <c r="C1011" s="11">
        <v>10.77</v>
      </c>
      <c r="D1011" s="11">
        <v>10.55</v>
      </c>
      <c r="E1011" s="2">
        <f t="shared" si="31"/>
        <v>0.21999999999999886</v>
      </c>
      <c r="F1011" s="11">
        <v>2.5999999999999999E-2</v>
      </c>
      <c r="G1011" s="14">
        <f t="shared" si="32"/>
        <v>2.2841225626740843E-2</v>
      </c>
    </row>
    <row r="1012" spans="1:7">
      <c r="A1012" s="1">
        <v>18</v>
      </c>
      <c r="B1012" s="1" t="s">
        <v>66</v>
      </c>
      <c r="C1012" s="11">
        <v>0</v>
      </c>
      <c r="D1012" s="11">
        <v>0</v>
      </c>
      <c r="E1012" s="2">
        <f t="shared" si="31"/>
        <v>0</v>
      </c>
      <c r="F1012" s="11">
        <v>2.1000000000000001E-2</v>
      </c>
      <c r="G1012" s="14" t="e">
        <f t="shared" si="32"/>
        <v>#DIV/0!</v>
      </c>
    </row>
    <row r="1013" spans="1:7">
      <c r="A1013" s="1">
        <v>19</v>
      </c>
      <c r="B1013" s="1" t="s">
        <v>66</v>
      </c>
      <c r="C1013" s="11">
        <v>10.378</v>
      </c>
      <c r="D1013" s="11">
        <v>10.19</v>
      </c>
      <c r="E1013" s="2">
        <f t="shared" si="31"/>
        <v>0.18800000000000061</v>
      </c>
      <c r="F1013" s="11">
        <v>1.7999999999999999E-2</v>
      </c>
      <c r="G1013" s="14">
        <f t="shared" si="32"/>
        <v>1.9849682019657023E-2</v>
      </c>
    </row>
    <row r="1014" spans="1:7">
      <c r="A1014" s="1">
        <v>20</v>
      </c>
      <c r="B1014" s="1" t="s">
        <v>66</v>
      </c>
      <c r="C1014" s="11">
        <v>0</v>
      </c>
      <c r="D1014" s="11">
        <v>0</v>
      </c>
      <c r="E1014" s="2">
        <f t="shared" si="31"/>
        <v>0</v>
      </c>
      <c r="F1014" s="11">
        <v>8.0000000000000002E-3</v>
      </c>
      <c r="G1014" s="14" t="e">
        <f t="shared" si="32"/>
        <v>#DIV/0!</v>
      </c>
    </row>
    <row r="1015" spans="1:7">
      <c r="A1015" s="1">
        <v>21</v>
      </c>
      <c r="B1015" s="1" t="s">
        <v>66</v>
      </c>
      <c r="C1015" s="11">
        <v>0</v>
      </c>
      <c r="D1015" s="11">
        <v>0</v>
      </c>
      <c r="E1015" s="2">
        <f t="shared" si="31"/>
        <v>0</v>
      </c>
      <c r="F1015" s="11">
        <v>4.7E-2</v>
      </c>
      <c r="G1015" s="14" t="e">
        <f t="shared" si="32"/>
        <v>#DIV/0!</v>
      </c>
    </row>
    <row r="1016" spans="1:7">
      <c r="A1016" s="1">
        <v>22</v>
      </c>
      <c r="B1016" s="1" t="s">
        <v>66</v>
      </c>
      <c r="C1016" s="11">
        <v>0</v>
      </c>
      <c r="D1016" s="11">
        <v>0</v>
      </c>
      <c r="E1016" s="2">
        <f t="shared" si="31"/>
        <v>0</v>
      </c>
      <c r="F1016" s="11">
        <v>1.2999999999999999E-2</v>
      </c>
      <c r="G1016" s="14" t="e">
        <f t="shared" si="32"/>
        <v>#DIV/0!</v>
      </c>
    </row>
    <row r="1017" spans="1:7">
      <c r="A1017" s="1">
        <v>23</v>
      </c>
      <c r="B1017" s="1" t="s">
        <v>66</v>
      </c>
      <c r="C1017" s="11">
        <v>0</v>
      </c>
      <c r="D1017" s="11">
        <v>0</v>
      </c>
      <c r="E1017" s="2">
        <f t="shared" si="31"/>
        <v>0</v>
      </c>
      <c r="F1017" s="11">
        <v>9.0999999999999998E-2</v>
      </c>
      <c r="G1017" s="3" t="e">
        <f t="shared" si="32"/>
        <v>#DIV/0!</v>
      </c>
    </row>
    <row r="1018" spans="1:7">
      <c r="A1018" s="1">
        <v>24</v>
      </c>
      <c r="B1018" s="1" t="s">
        <v>66</v>
      </c>
      <c r="C1018" s="11">
        <v>0</v>
      </c>
      <c r="D1018" s="11">
        <v>0</v>
      </c>
      <c r="E1018" s="2">
        <f t="shared" si="31"/>
        <v>0</v>
      </c>
      <c r="F1018" s="11">
        <v>5.0999999999999997E-2</v>
      </c>
      <c r="G1018" s="3" t="e">
        <f t="shared" si="32"/>
        <v>#DIV/0!</v>
      </c>
    </row>
    <row r="1019" spans="1:7">
      <c r="A1019" s="1">
        <v>25</v>
      </c>
      <c r="B1019" s="1" t="s">
        <v>66</v>
      </c>
      <c r="C1019" s="11">
        <v>0</v>
      </c>
      <c r="D1019" s="11">
        <v>0</v>
      </c>
      <c r="E1019" s="2">
        <f t="shared" si="31"/>
        <v>0</v>
      </c>
      <c r="F1019" s="11">
        <v>3.9E-2</v>
      </c>
      <c r="G1019" s="3" t="e">
        <f t="shared" si="32"/>
        <v>#DIV/0!</v>
      </c>
    </row>
    <row r="1020" spans="1:7">
      <c r="A1020" s="1">
        <v>26</v>
      </c>
      <c r="B1020" s="1" t="s">
        <v>66</v>
      </c>
      <c r="C1020" s="11">
        <v>11.59</v>
      </c>
      <c r="D1020" s="11">
        <v>11.36</v>
      </c>
      <c r="E1020" s="2">
        <f t="shared" si="31"/>
        <v>0.23000000000000043</v>
      </c>
      <c r="F1020" s="11">
        <v>2.8000000000000001E-2</v>
      </c>
      <c r="G1020" s="14">
        <f t="shared" si="32"/>
        <v>2.2260569456427994E-2</v>
      </c>
    </row>
    <row r="1021" spans="1:7">
      <c r="A1021" s="1">
        <v>27</v>
      </c>
      <c r="B1021" s="1" t="s">
        <v>66</v>
      </c>
      <c r="C1021" s="11">
        <v>0</v>
      </c>
      <c r="D1021" s="11">
        <v>0</v>
      </c>
      <c r="E1021" s="2">
        <f t="shared" si="31"/>
        <v>0</v>
      </c>
      <c r="F1021" s="11">
        <v>2.1000000000000001E-2</v>
      </c>
      <c r="G1021" s="14" t="e">
        <f t="shared" si="32"/>
        <v>#DIV/0!</v>
      </c>
    </row>
    <row r="1022" spans="1:7">
      <c r="A1022" s="1">
        <v>28</v>
      </c>
      <c r="B1022" s="1" t="s">
        <v>66</v>
      </c>
      <c r="C1022" s="11">
        <v>0</v>
      </c>
      <c r="D1022" s="11">
        <v>0</v>
      </c>
      <c r="E1022" s="2">
        <f t="shared" si="31"/>
        <v>0</v>
      </c>
      <c r="F1022" s="11">
        <v>0</v>
      </c>
      <c r="G1022" s="14" t="e">
        <f t="shared" si="32"/>
        <v>#DIV/0!</v>
      </c>
    </row>
    <row r="1023" spans="1:7">
      <c r="A1023" s="1">
        <v>29</v>
      </c>
      <c r="B1023" s="1" t="s">
        <v>66</v>
      </c>
      <c r="C1023" s="11">
        <v>8.85</v>
      </c>
      <c r="D1023" s="11">
        <v>8.77</v>
      </c>
      <c r="E1023" s="2">
        <f t="shared" si="31"/>
        <v>8.0000000000000071E-2</v>
      </c>
      <c r="F1023" s="11">
        <v>-1.0840000000000001</v>
      </c>
      <c r="G1023" s="14">
        <f t="shared" si="32"/>
        <v>-0.11344632768361583</v>
      </c>
    </row>
    <row r="1024" spans="1:7">
      <c r="A1024" s="1">
        <v>30</v>
      </c>
      <c r="B1024" s="1" t="s">
        <v>66</v>
      </c>
      <c r="C1024" s="11">
        <v>0</v>
      </c>
      <c r="D1024" s="11">
        <v>0</v>
      </c>
      <c r="E1024" s="2">
        <f t="shared" si="31"/>
        <v>0</v>
      </c>
      <c r="F1024" s="11">
        <v>2.1000000000000001E-2</v>
      </c>
      <c r="G1024" s="14" t="e">
        <f t="shared" si="32"/>
        <v>#DIV/0!</v>
      </c>
    </row>
    <row r="1025" spans="1:7">
      <c r="A1025" s="1">
        <v>31</v>
      </c>
      <c r="B1025" s="1" t="s">
        <v>66</v>
      </c>
      <c r="C1025" s="11">
        <v>0</v>
      </c>
      <c r="D1025" s="11">
        <v>0</v>
      </c>
      <c r="E1025" s="2">
        <f t="shared" si="31"/>
        <v>0</v>
      </c>
      <c r="F1025" s="11">
        <v>2.9000000000000001E-2</v>
      </c>
      <c r="G1025" s="14" t="e">
        <f t="shared" si="32"/>
        <v>#DIV/0!</v>
      </c>
    </row>
    <row r="1026" spans="1:7">
      <c r="A1026" s="1">
        <v>1</v>
      </c>
      <c r="B1026" s="1" t="s">
        <v>67</v>
      </c>
      <c r="C1026" s="11">
        <v>25.83</v>
      </c>
      <c r="D1026" s="11">
        <v>25.63</v>
      </c>
      <c r="E1026" s="2">
        <f t="shared" si="31"/>
        <v>0.19999999999999929</v>
      </c>
      <c r="F1026" s="11">
        <v>0.15</v>
      </c>
      <c r="G1026" s="14">
        <f t="shared" si="32"/>
        <v>1.3550135501354988E-2</v>
      </c>
    </row>
    <row r="1027" spans="1:7">
      <c r="A1027" s="1">
        <v>2</v>
      </c>
      <c r="B1027" s="1" t="s">
        <v>67</v>
      </c>
      <c r="C1027" s="11">
        <v>0</v>
      </c>
      <c r="D1027" s="11">
        <v>0</v>
      </c>
      <c r="E1027" s="2">
        <f t="shared" si="31"/>
        <v>0</v>
      </c>
      <c r="F1027" s="11">
        <v>0.23</v>
      </c>
      <c r="G1027" s="14" t="e">
        <f t="shared" si="32"/>
        <v>#DIV/0!</v>
      </c>
    </row>
    <row r="1028" spans="1:7">
      <c r="A1028" s="1">
        <v>3</v>
      </c>
      <c r="B1028" s="1" t="s">
        <v>67</v>
      </c>
      <c r="C1028" s="11">
        <v>31.75</v>
      </c>
      <c r="D1028" s="11">
        <v>31.46</v>
      </c>
      <c r="E1028" s="2">
        <f t="shared" ref="E1028:E1091" si="33">C1028-D1028</f>
        <v>0.28999999999999915</v>
      </c>
      <c r="F1028" s="11">
        <v>0.155</v>
      </c>
      <c r="G1028" s="14">
        <f t="shared" si="32"/>
        <v>1.4015748031496036E-2</v>
      </c>
    </row>
    <row r="1029" spans="1:7">
      <c r="A1029" s="1">
        <v>4</v>
      </c>
      <c r="B1029" s="1" t="s">
        <v>67</v>
      </c>
      <c r="C1029" s="11">
        <v>0</v>
      </c>
      <c r="D1029" s="11">
        <v>0</v>
      </c>
      <c r="E1029" s="2">
        <f t="shared" si="33"/>
        <v>0</v>
      </c>
      <c r="F1029" s="11">
        <v>0.27500000000000002</v>
      </c>
      <c r="G1029" s="14" t="e">
        <f t="shared" si="32"/>
        <v>#DIV/0!</v>
      </c>
    </row>
    <row r="1030" spans="1:7">
      <c r="A1030" s="1">
        <v>5</v>
      </c>
      <c r="B1030" s="1" t="s">
        <v>67</v>
      </c>
      <c r="C1030" s="11">
        <v>0</v>
      </c>
      <c r="D1030" s="11">
        <v>0</v>
      </c>
      <c r="E1030" s="2">
        <f t="shared" si="33"/>
        <v>0</v>
      </c>
      <c r="F1030" s="11">
        <v>0.155</v>
      </c>
      <c r="G1030" s="14" t="e">
        <f t="shared" si="32"/>
        <v>#DIV/0!</v>
      </c>
    </row>
    <row r="1031" spans="1:7">
      <c r="A1031" s="1">
        <v>6</v>
      </c>
      <c r="B1031" s="1" t="s">
        <v>67</v>
      </c>
      <c r="C1031" s="11">
        <v>0</v>
      </c>
      <c r="D1031" s="11">
        <v>0</v>
      </c>
      <c r="E1031" s="2">
        <f t="shared" si="33"/>
        <v>0</v>
      </c>
      <c r="F1031" s="11">
        <v>0.245</v>
      </c>
      <c r="G1031" s="14" t="e">
        <f t="shared" si="32"/>
        <v>#DIV/0!</v>
      </c>
    </row>
    <row r="1032" spans="1:7">
      <c r="A1032" s="1">
        <v>7</v>
      </c>
      <c r="B1032" s="1" t="s">
        <v>67</v>
      </c>
      <c r="C1032" s="11">
        <v>23.68</v>
      </c>
      <c r="D1032" s="11">
        <v>23.37</v>
      </c>
      <c r="E1032" s="2">
        <f t="shared" si="33"/>
        <v>0.30999999999999872</v>
      </c>
      <c r="F1032" s="11">
        <v>7.0000000000000007E-2</v>
      </c>
      <c r="G1032" s="14">
        <f t="shared" si="32"/>
        <v>1.6047297297297244E-2</v>
      </c>
    </row>
    <row r="1033" spans="1:7">
      <c r="A1033" s="1">
        <v>10</v>
      </c>
      <c r="B1033" s="1" t="s">
        <v>67</v>
      </c>
      <c r="C1033" s="11">
        <v>23.38</v>
      </c>
      <c r="D1033" s="11">
        <v>23.17</v>
      </c>
      <c r="E1033" s="2">
        <f t="shared" si="33"/>
        <v>0.2099999999999973</v>
      </c>
      <c r="F1033" s="11">
        <v>0.12</v>
      </c>
      <c r="G1033" s="14">
        <f t="shared" si="32"/>
        <v>1.4114627887082861E-2</v>
      </c>
    </row>
    <row r="1034" spans="1:7">
      <c r="A1034" s="1">
        <v>8</v>
      </c>
      <c r="B1034" s="1" t="s">
        <v>67</v>
      </c>
      <c r="C1034" s="11">
        <v>0</v>
      </c>
      <c r="D1034" s="11">
        <v>0</v>
      </c>
      <c r="E1034" s="2">
        <f t="shared" si="33"/>
        <v>0</v>
      </c>
      <c r="F1034" s="11">
        <v>0.26500000000000001</v>
      </c>
      <c r="G1034" s="14" t="e">
        <f t="shared" si="32"/>
        <v>#DIV/0!</v>
      </c>
    </row>
    <row r="1035" spans="1:7">
      <c r="A1035" s="1">
        <v>9</v>
      </c>
      <c r="B1035" s="1" t="s">
        <v>67</v>
      </c>
      <c r="C1035" s="11">
        <v>0</v>
      </c>
      <c r="D1035" s="11">
        <v>0</v>
      </c>
      <c r="E1035" s="2">
        <f t="shared" si="33"/>
        <v>0</v>
      </c>
      <c r="F1035" s="11">
        <v>0.215</v>
      </c>
      <c r="G1035" s="14" t="e">
        <f t="shared" si="32"/>
        <v>#DIV/0!</v>
      </c>
    </row>
    <row r="1036" spans="1:7">
      <c r="A1036" s="1">
        <v>11</v>
      </c>
      <c r="B1036" s="1" t="s">
        <v>67</v>
      </c>
      <c r="C1036" s="11">
        <v>0</v>
      </c>
      <c r="D1036" s="11">
        <v>0</v>
      </c>
      <c r="E1036" s="2">
        <f t="shared" si="33"/>
        <v>0</v>
      </c>
      <c r="F1036" s="11">
        <v>0.35</v>
      </c>
      <c r="G1036" s="14" t="e">
        <f t="shared" si="32"/>
        <v>#DIV/0!</v>
      </c>
    </row>
    <row r="1037" spans="1:7">
      <c r="A1037" s="1">
        <v>12</v>
      </c>
      <c r="B1037" s="1" t="s">
        <v>67</v>
      </c>
      <c r="C1037" s="11">
        <v>24.07</v>
      </c>
      <c r="D1037" s="11">
        <v>23.69</v>
      </c>
      <c r="E1037" s="2">
        <f t="shared" si="33"/>
        <v>0.37999999999999901</v>
      </c>
      <c r="F1037" s="11">
        <v>0.03</v>
      </c>
      <c r="G1037" s="14">
        <f t="shared" si="32"/>
        <v>1.7033651848774367E-2</v>
      </c>
    </row>
    <row r="1038" spans="1:7">
      <c r="A1038" s="1">
        <v>13</v>
      </c>
      <c r="B1038" s="1" t="s">
        <v>67</v>
      </c>
      <c r="C1038" s="11">
        <v>0</v>
      </c>
      <c r="D1038" s="11">
        <v>0</v>
      </c>
      <c r="E1038" s="2">
        <f t="shared" si="33"/>
        <v>0</v>
      </c>
      <c r="F1038" s="11">
        <v>0.58499999999999996</v>
      </c>
      <c r="G1038" s="14" t="e">
        <f t="shared" si="32"/>
        <v>#DIV/0!</v>
      </c>
    </row>
    <row r="1039" spans="1:7">
      <c r="A1039" s="1">
        <v>14</v>
      </c>
      <c r="B1039" s="1" t="s">
        <v>67</v>
      </c>
      <c r="C1039" s="11">
        <v>0</v>
      </c>
      <c r="D1039" s="11">
        <v>0</v>
      </c>
      <c r="E1039" s="2">
        <f t="shared" si="33"/>
        <v>0</v>
      </c>
      <c r="F1039" s="11">
        <v>0.52</v>
      </c>
      <c r="G1039" s="14" t="e">
        <f t="shared" si="32"/>
        <v>#DIV/0!</v>
      </c>
    </row>
    <row r="1040" spans="1:7">
      <c r="A1040" s="1">
        <v>15</v>
      </c>
      <c r="B1040" s="1" t="s">
        <v>67</v>
      </c>
      <c r="C1040" s="11">
        <v>0</v>
      </c>
      <c r="D1040" s="11">
        <v>0</v>
      </c>
      <c r="E1040" s="2">
        <f t="shared" si="33"/>
        <v>0</v>
      </c>
      <c r="F1040" s="11">
        <v>0.3</v>
      </c>
      <c r="G1040" s="14" t="e">
        <f t="shared" si="32"/>
        <v>#DIV/0!</v>
      </c>
    </row>
    <row r="1041" spans="1:7">
      <c r="A1041" s="1">
        <v>16</v>
      </c>
      <c r="B1041" s="1" t="s">
        <v>67</v>
      </c>
      <c r="C1041" s="11">
        <v>26.05</v>
      </c>
      <c r="D1041" s="11">
        <v>25.69</v>
      </c>
      <c r="E1041" s="2">
        <f t="shared" si="33"/>
        <v>0.35999999999999943</v>
      </c>
      <c r="F1041" s="11">
        <v>0.13</v>
      </c>
      <c r="G1041" s="14">
        <f t="shared" si="32"/>
        <v>1.8809980806142011E-2</v>
      </c>
    </row>
    <row r="1042" spans="1:7">
      <c r="A1042" s="1">
        <v>17</v>
      </c>
      <c r="B1042" s="1" t="s">
        <v>67</v>
      </c>
      <c r="C1042" s="11">
        <v>0</v>
      </c>
      <c r="D1042" s="11">
        <v>0</v>
      </c>
      <c r="E1042" s="2">
        <f t="shared" si="33"/>
        <v>0</v>
      </c>
      <c r="F1042" s="11">
        <v>0.45500000000000002</v>
      </c>
      <c r="G1042" s="14" t="e">
        <f t="shared" si="32"/>
        <v>#DIV/0!</v>
      </c>
    </row>
    <row r="1043" spans="1:7">
      <c r="A1043" s="1">
        <v>18</v>
      </c>
      <c r="B1043" s="1" t="s">
        <v>67</v>
      </c>
      <c r="C1043" s="11">
        <v>0</v>
      </c>
      <c r="D1043" s="11">
        <v>0</v>
      </c>
      <c r="E1043" s="2">
        <f t="shared" si="33"/>
        <v>0</v>
      </c>
      <c r="F1043" s="11">
        <v>0.34499999999999997</v>
      </c>
      <c r="G1043" s="14" t="e">
        <f t="shared" si="32"/>
        <v>#DIV/0!</v>
      </c>
    </row>
    <row r="1044" spans="1:7">
      <c r="A1044" s="1">
        <v>19</v>
      </c>
      <c r="B1044" s="1" t="s">
        <v>67</v>
      </c>
      <c r="C1044" s="11">
        <v>25.14</v>
      </c>
      <c r="D1044" s="11">
        <v>25</v>
      </c>
      <c r="E1044" s="2">
        <f t="shared" si="33"/>
        <v>0.14000000000000057</v>
      </c>
      <c r="F1044" s="11">
        <v>0.34</v>
      </c>
      <c r="G1044" s="14">
        <f t="shared" si="32"/>
        <v>1.9093078758949902E-2</v>
      </c>
    </row>
    <row r="1045" spans="1:7">
      <c r="A1045" s="1">
        <v>20</v>
      </c>
      <c r="B1045" s="1" t="s">
        <v>67</v>
      </c>
      <c r="C1045" s="11">
        <v>0</v>
      </c>
      <c r="D1045" s="11">
        <v>0</v>
      </c>
      <c r="E1045" s="2">
        <f t="shared" si="33"/>
        <v>0</v>
      </c>
      <c r="F1045" s="11">
        <v>0.26500000000000001</v>
      </c>
      <c r="G1045" s="14" t="e">
        <f t="shared" si="32"/>
        <v>#DIV/0!</v>
      </c>
    </row>
    <row r="1046" spans="1:7">
      <c r="A1046" s="1">
        <v>21</v>
      </c>
      <c r="B1046" s="1" t="s">
        <v>67</v>
      </c>
      <c r="C1046" s="11">
        <v>0</v>
      </c>
      <c r="D1046" s="11">
        <v>0</v>
      </c>
      <c r="E1046" s="2">
        <f t="shared" si="33"/>
        <v>0</v>
      </c>
      <c r="F1046" s="11">
        <v>0.19500000000000001</v>
      </c>
      <c r="G1046" s="14" t="e">
        <f t="shared" si="32"/>
        <v>#DIV/0!</v>
      </c>
    </row>
    <row r="1047" spans="1:7">
      <c r="A1047" s="1">
        <v>22</v>
      </c>
      <c r="B1047" s="1" t="s">
        <v>67</v>
      </c>
      <c r="C1047" s="11">
        <v>0</v>
      </c>
      <c r="D1047" s="11">
        <v>0</v>
      </c>
      <c r="E1047" s="2">
        <f t="shared" si="33"/>
        <v>0</v>
      </c>
      <c r="F1047" s="11">
        <v>0.125</v>
      </c>
      <c r="G1047" s="14" t="e">
        <f t="shared" si="32"/>
        <v>#DIV/0!</v>
      </c>
    </row>
    <row r="1048" spans="1:7">
      <c r="A1048" s="1">
        <v>23</v>
      </c>
      <c r="B1048" s="1" t="s">
        <v>67</v>
      </c>
      <c r="C1048" s="11">
        <v>24.52</v>
      </c>
      <c r="D1048" s="11">
        <v>24.37</v>
      </c>
      <c r="E1048" s="2">
        <f t="shared" si="33"/>
        <v>0.14999999999999858</v>
      </c>
      <c r="F1048" s="11">
        <v>0.29499999999999998</v>
      </c>
      <c r="G1048" s="3">
        <f t="shared" si="32"/>
        <v>1.8148450244698147E-2</v>
      </c>
    </row>
    <row r="1049" spans="1:7">
      <c r="A1049" s="1">
        <v>24</v>
      </c>
      <c r="B1049" s="1" t="s">
        <v>67</v>
      </c>
      <c r="C1049" s="11">
        <v>22.2</v>
      </c>
      <c r="D1049" s="11">
        <v>21.81</v>
      </c>
      <c r="E1049" s="2">
        <f t="shared" si="33"/>
        <v>0.39000000000000057</v>
      </c>
      <c r="F1049" s="11">
        <v>0.03</v>
      </c>
      <c r="G1049" s="3">
        <f t="shared" si="32"/>
        <v>1.8918918918918948E-2</v>
      </c>
    </row>
    <row r="1050" spans="1:7">
      <c r="A1050" s="1">
        <v>25</v>
      </c>
      <c r="B1050" s="1" t="s">
        <v>67</v>
      </c>
      <c r="C1050" s="11">
        <v>0</v>
      </c>
      <c r="D1050" s="11">
        <v>0</v>
      </c>
      <c r="E1050" s="2">
        <f t="shared" si="33"/>
        <v>0</v>
      </c>
      <c r="F1050" s="11">
        <v>0.75</v>
      </c>
      <c r="G1050" s="3" t="e">
        <f t="shared" si="32"/>
        <v>#DIV/0!</v>
      </c>
    </row>
    <row r="1051" spans="1:7">
      <c r="A1051" s="1">
        <v>26</v>
      </c>
      <c r="B1051" s="1" t="s">
        <v>67</v>
      </c>
      <c r="C1051" s="11">
        <v>0</v>
      </c>
      <c r="D1051" s="11">
        <v>0</v>
      </c>
      <c r="E1051" s="2">
        <f t="shared" si="33"/>
        <v>0</v>
      </c>
      <c r="F1051" s="11">
        <v>0.52500000000000002</v>
      </c>
      <c r="G1051" s="14" t="e">
        <f t="shared" si="32"/>
        <v>#DIV/0!</v>
      </c>
    </row>
    <row r="1052" spans="1:7">
      <c r="A1052" s="1">
        <v>27</v>
      </c>
      <c r="B1052" s="1" t="s">
        <v>67</v>
      </c>
      <c r="C1052" s="11">
        <v>22.56</v>
      </c>
      <c r="D1052" s="11">
        <v>22.22</v>
      </c>
      <c r="E1052" s="2">
        <f t="shared" si="33"/>
        <v>0.33999999999999986</v>
      </c>
      <c r="F1052" s="11">
        <v>0.2</v>
      </c>
      <c r="G1052" s="14">
        <f t="shared" si="32"/>
        <v>2.393617021276595E-2</v>
      </c>
    </row>
    <row r="1053" spans="1:7" ht="14.4" customHeight="1">
      <c r="A1053" s="1">
        <v>28</v>
      </c>
      <c r="B1053" s="1" t="s">
        <v>67</v>
      </c>
      <c r="C1053" s="11">
        <v>0</v>
      </c>
      <c r="D1053" s="11">
        <v>0</v>
      </c>
      <c r="E1053" s="2">
        <f t="shared" si="33"/>
        <v>0</v>
      </c>
      <c r="F1053" s="11">
        <v>0.435</v>
      </c>
      <c r="G1053" s="14" t="e">
        <f t="shared" si="32"/>
        <v>#DIV/0!</v>
      </c>
    </row>
    <row r="1054" spans="1:7">
      <c r="A1054" s="1">
        <v>29</v>
      </c>
      <c r="B1054" s="1" t="s">
        <v>67</v>
      </c>
      <c r="C1054" s="11">
        <v>23.28</v>
      </c>
      <c r="D1054" s="11">
        <v>22.94</v>
      </c>
      <c r="E1054" s="2">
        <f t="shared" si="33"/>
        <v>0.33999999999999986</v>
      </c>
      <c r="F1054" s="11">
        <v>9.5000000000000001E-2</v>
      </c>
      <c r="G1054" s="14">
        <f t="shared" si="32"/>
        <v>1.8685567010309271E-2</v>
      </c>
    </row>
    <row r="1055" spans="1:7">
      <c r="A1055" s="1">
        <v>30</v>
      </c>
      <c r="B1055" s="1" t="s">
        <v>67</v>
      </c>
      <c r="C1055" s="11">
        <v>0</v>
      </c>
      <c r="D1055" s="11">
        <v>0</v>
      </c>
      <c r="E1055" s="2">
        <f t="shared" si="33"/>
        <v>0</v>
      </c>
      <c r="F1055" s="11">
        <v>0.51</v>
      </c>
      <c r="G1055" s="14" t="e">
        <f t="shared" si="32"/>
        <v>#DIV/0!</v>
      </c>
    </row>
    <row r="1056" spans="1:7">
      <c r="A1056" s="1">
        <v>31</v>
      </c>
      <c r="B1056" s="1" t="s">
        <v>67</v>
      </c>
      <c r="C1056" s="11">
        <v>18.649999999999999</v>
      </c>
      <c r="D1056" s="11">
        <v>18.260000000000002</v>
      </c>
      <c r="E1056" s="2">
        <f t="shared" si="33"/>
        <v>0.38999999999999702</v>
      </c>
      <c r="F1056" s="11">
        <v>0</v>
      </c>
      <c r="G1056" s="14">
        <f t="shared" si="32"/>
        <v>2.091152815013389E-2</v>
      </c>
    </row>
    <row r="1057" spans="1:7">
      <c r="A1057" s="1">
        <v>1</v>
      </c>
      <c r="B1057" s="1" t="s">
        <v>117</v>
      </c>
      <c r="C1057" s="11">
        <v>0</v>
      </c>
      <c r="D1057" s="11">
        <v>0</v>
      </c>
      <c r="E1057" s="2">
        <f t="shared" si="33"/>
        <v>0</v>
      </c>
      <c r="F1057" s="11">
        <v>0</v>
      </c>
      <c r="G1057" s="14" t="e">
        <f t="shared" ref="G1057:G1087" si="34">(E1057+F1057)/C1057</f>
        <v>#DIV/0!</v>
      </c>
    </row>
    <row r="1058" spans="1:7">
      <c r="A1058" s="1">
        <v>2</v>
      </c>
      <c r="B1058" s="1" t="s">
        <v>117</v>
      </c>
      <c r="C1058" s="11">
        <v>46.9</v>
      </c>
      <c r="D1058" s="11">
        <v>46.38</v>
      </c>
      <c r="E1058" s="2">
        <f t="shared" si="33"/>
        <v>0.51999999999999602</v>
      </c>
      <c r="F1058" s="11">
        <v>0.107</v>
      </c>
      <c r="G1058" s="14">
        <f t="shared" si="34"/>
        <v>1.336886993603403E-2</v>
      </c>
    </row>
    <row r="1059" spans="1:7">
      <c r="A1059" s="1">
        <v>3</v>
      </c>
      <c r="B1059" s="1" t="s">
        <v>117</v>
      </c>
      <c r="C1059" s="11">
        <v>0</v>
      </c>
      <c r="D1059" s="11">
        <v>0</v>
      </c>
      <c r="E1059" s="2">
        <f t="shared" si="33"/>
        <v>0</v>
      </c>
      <c r="F1059" s="11">
        <v>6.8000000000000005E-2</v>
      </c>
      <c r="G1059" s="14" t="e">
        <f t="shared" si="34"/>
        <v>#DIV/0!</v>
      </c>
    </row>
    <row r="1060" spans="1:7">
      <c r="A1060" s="1">
        <v>4</v>
      </c>
      <c r="B1060" s="1" t="s">
        <v>117</v>
      </c>
      <c r="C1060" s="11">
        <v>23.18</v>
      </c>
      <c r="D1060" s="11">
        <v>22.91</v>
      </c>
      <c r="E1060" s="2">
        <f t="shared" si="33"/>
        <v>0.26999999999999957</v>
      </c>
      <c r="F1060" s="11">
        <v>0</v>
      </c>
      <c r="G1060" s="14">
        <f t="shared" si="34"/>
        <v>1.1647972389991353E-2</v>
      </c>
    </row>
    <row r="1061" spans="1:7">
      <c r="A1061" s="1">
        <v>5</v>
      </c>
      <c r="B1061" s="1" t="s">
        <v>117</v>
      </c>
      <c r="C1061" s="11">
        <v>0</v>
      </c>
      <c r="D1061" s="11">
        <v>0</v>
      </c>
      <c r="E1061" s="2">
        <f t="shared" si="33"/>
        <v>0</v>
      </c>
      <c r="F1061" s="11">
        <v>0</v>
      </c>
      <c r="G1061" s="14" t="e">
        <f t="shared" si="34"/>
        <v>#DIV/0!</v>
      </c>
    </row>
    <row r="1062" spans="1:7">
      <c r="A1062" s="1">
        <v>6</v>
      </c>
      <c r="B1062" s="1" t="s">
        <v>117</v>
      </c>
      <c r="C1062" s="11">
        <v>23.15</v>
      </c>
      <c r="D1062" s="11">
        <v>22.87</v>
      </c>
      <c r="E1062" s="2">
        <f t="shared" si="33"/>
        <v>0.27999999999999758</v>
      </c>
      <c r="F1062" s="11">
        <v>0.12</v>
      </c>
      <c r="G1062" s="14">
        <f t="shared" si="34"/>
        <v>1.727861771058305E-2</v>
      </c>
    </row>
    <row r="1063" spans="1:7">
      <c r="A1063" s="1">
        <v>7</v>
      </c>
      <c r="B1063" s="1" t="s">
        <v>117</v>
      </c>
      <c r="C1063" s="11">
        <v>0</v>
      </c>
      <c r="D1063" s="11">
        <v>0</v>
      </c>
      <c r="E1063" s="2">
        <f t="shared" si="33"/>
        <v>0</v>
      </c>
      <c r="F1063" s="11">
        <v>8.5000000000000006E-2</v>
      </c>
      <c r="G1063" s="14" t="e">
        <f t="shared" si="34"/>
        <v>#DIV/0!</v>
      </c>
    </row>
    <row r="1064" spans="1:7">
      <c r="A1064" s="1">
        <v>10</v>
      </c>
      <c r="B1064" s="1" t="s">
        <v>117</v>
      </c>
      <c r="C1064" s="11">
        <v>0</v>
      </c>
      <c r="D1064" s="11">
        <v>0</v>
      </c>
      <c r="E1064" s="2">
        <f t="shared" si="33"/>
        <v>0</v>
      </c>
      <c r="F1064" s="11">
        <v>1.0999999999999999E-2</v>
      </c>
      <c r="G1064" s="14" t="e">
        <f t="shared" si="34"/>
        <v>#DIV/0!</v>
      </c>
    </row>
    <row r="1065" spans="1:7">
      <c r="A1065" s="1">
        <v>8</v>
      </c>
      <c r="B1065" s="1" t="s">
        <v>117</v>
      </c>
      <c r="C1065" s="11">
        <v>26.27</v>
      </c>
      <c r="D1065" s="11">
        <v>26.09</v>
      </c>
      <c r="E1065" s="2">
        <f t="shared" si="33"/>
        <v>0.17999999999999972</v>
      </c>
      <c r="F1065" s="11">
        <v>0.16200000000000001</v>
      </c>
      <c r="G1065" s="14">
        <f t="shared" si="34"/>
        <v>1.3018652455272164E-2</v>
      </c>
    </row>
    <row r="1066" spans="1:7">
      <c r="A1066" s="1">
        <v>9</v>
      </c>
      <c r="B1066" s="1" t="s">
        <v>117</v>
      </c>
      <c r="C1066" s="11">
        <v>0</v>
      </c>
      <c r="D1066" s="11">
        <v>0</v>
      </c>
      <c r="E1066" s="2">
        <f t="shared" si="33"/>
        <v>0</v>
      </c>
      <c r="F1066" s="11">
        <v>4.2999999999999997E-2</v>
      </c>
      <c r="G1066" s="14" t="e">
        <f t="shared" si="34"/>
        <v>#DIV/0!</v>
      </c>
    </row>
    <row r="1067" spans="1:7">
      <c r="A1067" s="1">
        <v>11</v>
      </c>
      <c r="B1067" s="1" t="s">
        <v>117</v>
      </c>
      <c r="C1067" s="11">
        <v>0</v>
      </c>
      <c r="D1067" s="11">
        <v>0</v>
      </c>
      <c r="E1067" s="2">
        <f t="shared" si="33"/>
        <v>0</v>
      </c>
      <c r="F1067" s="11">
        <v>0.16300000000000001</v>
      </c>
      <c r="G1067" s="14" t="e">
        <f t="shared" si="34"/>
        <v>#DIV/0!</v>
      </c>
    </row>
    <row r="1068" spans="1:7">
      <c r="A1068" s="1">
        <v>12</v>
      </c>
      <c r="B1068" s="1" t="s">
        <v>117</v>
      </c>
      <c r="C1068" s="11">
        <v>49.13</v>
      </c>
      <c r="D1068" s="11">
        <v>48.44</v>
      </c>
      <c r="E1068" s="2">
        <f t="shared" si="33"/>
        <v>0.69000000000000483</v>
      </c>
      <c r="F1068" s="11">
        <v>0.13400000000000001</v>
      </c>
      <c r="G1068" s="14">
        <f t="shared" si="34"/>
        <v>1.6771829839202213E-2</v>
      </c>
    </row>
    <row r="1069" spans="1:7">
      <c r="A1069" s="1">
        <v>13</v>
      </c>
      <c r="B1069" s="1" t="s">
        <v>117</v>
      </c>
      <c r="C1069" s="11">
        <v>0</v>
      </c>
      <c r="D1069" s="11">
        <v>0</v>
      </c>
      <c r="E1069" s="2">
        <f t="shared" si="33"/>
        <v>0</v>
      </c>
      <c r="F1069" s="11">
        <v>6.9000000000000006E-2</v>
      </c>
      <c r="G1069" s="14" t="e">
        <f t="shared" si="34"/>
        <v>#DIV/0!</v>
      </c>
    </row>
    <row r="1070" spans="1:7">
      <c r="A1070" s="1">
        <v>14</v>
      </c>
      <c r="B1070" s="1" t="s">
        <v>117</v>
      </c>
      <c r="C1070" s="11">
        <v>0</v>
      </c>
      <c r="D1070" s="11">
        <v>0</v>
      </c>
      <c r="E1070" s="2">
        <f t="shared" si="33"/>
        <v>0</v>
      </c>
      <c r="F1070" s="11">
        <v>1.7999999999999999E-2</v>
      </c>
      <c r="G1070" s="14" t="e">
        <f t="shared" si="34"/>
        <v>#DIV/0!</v>
      </c>
    </row>
    <row r="1071" spans="1:7">
      <c r="A1071" s="1">
        <v>15</v>
      </c>
      <c r="B1071" s="1" t="s">
        <v>117</v>
      </c>
      <c r="C1071" s="11">
        <v>73.349999999999994</v>
      </c>
      <c r="D1071" s="11">
        <v>72.540000000000006</v>
      </c>
      <c r="E1071" s="2">
        <f t="shared" si="33"/>
        <v>0.80999999999998806</v>
      </c>
      <c r="F1071" s="11">
        <v>4.4999999999999998E-2</v>
      </c>
      <c r="G1071" s="14">
        <f t="shared" si="34"/>
        <v>1.165644171779125E-2</v>
      </c>
    </row>
    <row r="1072" spans="1:7">
      <c r="A1072" s="1">
        <v>16</v>
      </c>
      <c r="B1072" s="1" t="s">
        <v>117</v>
      </c>
      <c r="C1072" s="11">
        <v>0</v>
      </c>
      <c r="D1072" s="11">
        <v>0</v>
      </c>
      <c r="E1072" s="2">
        <f t="shared" si="33"/>
        <v>0</v>
      </c>
      <c r="F1072" s="11">
        <v>0.28699999999999998</v>
      </c>
      <c r="G1072" s="14" t="e">
        <f t="shared" si="34"/>
        <v>#DIV/0!</v>
      </c>
    </row>
    <row r="1073" spans="1:7">
      <c r="A1073" s="1">
        <v>17</v>
      </c>
      <c r="B1073" s="1" t="s">
        <v>117</v>
      </c>
      <c r="C1073" s="11">
        <v>25.45</v>
      </c>
      <c r="D1073" s="11">
        <v>25.08</v>
      </c>
      <c r="E1073" s="2">
        <f t="shared" si="33"/>
        <v>0.37000000000000099</v>
      </c>
      <c r="F1073" s="11">
        <v>0.155</v>
      </c>
      <c r="G1073" s="14">
        <f t="shared" si="34"/>
        <v>2.0628683693516739E-2</v>
      </c>
    </row>
    <row r="1074" spans="1:7">
      <c r="A1074" s="1">
        <v>18</v>
      </c>
      <c r="B1074" s="1" t="s">
        <v>117</v>
      </c>
      <c r="C1074" s="11">
        <v>22.49</v>
      </c>
      <c r="D1074" s="11">
        <v>22.37</v>
      </c>
      <c r="E1074" s="2">
        <f t="shared" si="33"/>
        <v>0.11999999999999744</v>
      </c>
      <c r="F1074" s="11">
        <v>0.11</v>
      </c>
      <c r="G1074" s="14">
        <f t="shared" si="34"/>
        <v>1.0226767452200865E-2</v>
      </c>
    </row>
    <row r="1075" spans="1:7">
      <c r="A1075" s="1">
        <v>19</v>
      </c>
      <c r="B1075" s="1" t="s">
        <v>117</v>
      </c>
      <c r="C1075" s="11">
        <v>0</v>
      </c>
      <c r="D1075" s="11">
        <v>0</v>
      </c>
      <c r="E1075" s="2">
        <f t="shared" si="33"/>
        <v>0</v>
      </c>
      <c r="F1075" s="11">
        <v>5.0999999999999997E-2</v>
      </c>
      <c r="G1075" s="14" t="e">
        <f t="shared" si="34"/>
        <v>#DIV/0!</v>
      </c>
    </row>
    <row r="1076" spans="1:7">
      <c r="A1076" s="1">
        <v>20</v>
      </c>
      <c r="B1076" s="1" t="s">
        <v>117</v>
      </c>
      <c r="C1076" s="11">
        <v>20.81</v>
      </c>
      <c r="D1076" s="11">
        <v>20.53</v>
      </c>
      <c r="E1076" s="2">
        <f t="shared" si="33"/>
        <v>0.27999999999999758</v>
      </c>
      <c r="F1076" s="11">
        <v>8.5999999999999993E-2</v>
      </c>
      <c r="G1076" s="14">
        <f t="shared" si="34"/>
        <v>1.7587698222008532E-2</v>
      </c>
    </row>
    <row r="1077" spans="1:7">
      <c r="A1077" s="1">
        <v>21</v>
      </c>
      <c r="B1077" s="1" t="s">
        <v>117</v>
      </c>
      <c r="C1077" s="11">
        <v>26.5</v>
      </c>
      <c r="D1077" s="11">
        <v>26.28</v>
      </c>
      <c r="E1077" s="2">
        <f t="shared" si="33"/>
        <v>0.21999999999999886</v>
      </c>
      <c r="F1077" s="11">
        <v>0.104</v>
      </c>
      <c r="G1077" s="14">
        <f t="shared" si="34"/>
        <v>1.2226415094339579E-2</v>
      </c>
    </row>
    <row r="1078" spans="1:7">
      <c r="A1078" s="1">
        <v>22</v>
      </c>
      <c r="B1078" s="1" t="s">
        <v>117</v>
      </c>
      <c r="C1078" s="11">
        <v>0</v>
      </c>
      <c r="D1078" s="11">
        <v>0</v>
      </c>
      <c r="E1078" s="2">
        <f t="shared" si="33"/>
        <v>0</v>
      </c>
      <c r="F1078" s="11">
        <v>0.21299999999999999</v>
      </c>
      <c r="G1078" s="14" t="e">
        <f t="shared" si="34"/>
        <v>#DIV/0!</v>
      </c>
    </row>
    <row r="1079" spans="1:7">
      <c r="A1079" s="1">
        <v>23</v>
      </c>
      <c r="B1079" s="1" t="s">
        <v>117</v>
      </c>
      <c r="C1079" s="11">
        <v>0</v>
      </c>
      <c r="D1079" s="11">
        <v>0</v>
      </c>
      <c r="E1079" s="2">
        <f t="shared" si="33"/>
        <v>0</v>
      </c>
      <c r="F1079" s="11">
        <v>0.05</v>
      </c>
      <c r="G1079" s="14" t="e">
        <f t="shared" si="34"/>
        <v>#DIV/0!</v>
      </c>
    </row>
    <row r="1080" spans="1:7">
      <c r="A1080" s="1">
        <v>24</v>
      </c>
      <c r="B1080" s="1" t="s">
        <v>117</v>
      </c>
      <c r="C1080" s="11">
        <v>50.33</v>
      </c>
      <c r="D1080" s="11">
        <v>49.85</v>
      </c>
      <c r="E1080" s="2">
        <f t="shared" si="33"/>
        <v>0.47999999999999687</v>
      </c>
      <c r="F1080" s="11">
        <v>6.2E-2</v>
      </c>
      <c r="G1080" s="14">
        <f t="shared" si="34"/>
        <v>1.076892509437705E-2</v>
      </c>
    </row>
    <row r="1081" spans="1:7">
      <c r="A1081" s="1">
        <v>25</v>
      </c>
      <c r="B1081" s="1" t="s">
        <v>117</v>
      </c>
      <c r="C1081" s="11">
        <v>0</v>
      </c>
      <c r="D1081" s="11">
        <v>0</v>
      </c>
      <c r="E1081" s="2">
        <f t="shared" si="33"/>
        <v>0</v>
      </c>
      <c r="F1081" s="11">
        <v>0.122</v>
      </c>
      <c r="G1081" s="14" t="e">
        <f t="shared" si="34"/>
        <v>#DIV/0!</v>
      </c>
    </row>
    <row r="1082" spans="1:7">
      <c r="A1082" s="1">
        <v>26</v>
      </c>
      <c r="B1082" s="1" t="s">
        <v>117</v>
      </c>
      <c r="C1082" s="11">
        <v>0</v>
      </c>
      <c r="D1082" s="11">
        <v>0</v>
      </c>
      <c r="E1082" s="2">
        <f t="shared" si="33"/>
        <v>0</v>
      </c>
      <c r="F1082" s="11">
        <v>8.5000000000000006E-2</v>
      </c>
      <c r="G1082" s="14" t="e">
        <f t="shared" si="34"/>
        <v>#DIV/0!</v>
      </c>
    </row>
    <row r="1083" spans="1:7">
      <c r="A1083" s="1">
        <v>27</v>
      </c>
      <c r="B1083" s="1" t="s">
        <v>117</v>
      </c>
      <c r="C1083" s="11">
        <v>0</v>
      </c>
      <c r="D1083" s="11">
        <v>0</v>
      </c>
      <c r="E1083" s="2">
        <f t="shared" si="33"/>
        <v>0</v>
      </c>
      <c r="F1083" s="11">
        <v>0</v>
      </c>
      <c r="G1083" s="14" t="e">
        <f t="shared" si="34"/>
        <v>#DIV/0!</v>
      </c>
    </row>
    <row r="1084" spans="1:7">
      <c r="A1084" s="1">
        <v>28</v>
      </c>
      <c r="B1084" s="1" t="s">
        <v>117</v>
      </c>
      <c r="C1084" s="11">
        <v>22.88</v>
      </c>
      <c r="D1084" s="11">
        <v>22.64</v>
      </c>
      <c r="E1084" s="2">
        <f t="shared" si="33"/>
        <v>0.23999999999999844</v>
      </c>
      <c r="F1084" s="11">
        <v>7.5999999999999998E-2</v>
      </c>
      <c r="G1084" s="14">
        <f t="shared" si="34"/>
        <v>1.3811188811188743E-2</v>
      </c>
    </row>
    <row r="1085" spans="1:7">
      <c r="A1085" s="1">
        <v>29</v>
      </c>
      <c r="B1085" s="1" t="s">
        <v>117</v>
      </c>
      <c r="C1085" s="11">
        <v>0</v>
      </c>
      <c r="D1085" s="11">
        <v>0</v>
      </c>
      <c r="E1085" s="2">
        <f t="shared" si="33"/>
        <v>0</v>
      </c>
      <c r="F1085" s="11">
        <v>8.5999999999999993E-2</v>
      </c>
      <c r="G1085" s="14" t="e">
        <f t="shared" si="34"/>
        <v>#DIV/0!</v>
      </c>
    </row>
    <row r="1086" spans="1:7">
      <c r="A1086" s="1">
        <v>30</v>
      </c>
      <c r="B1086" s="1" t="s">
        <v>117</v>
      </c>
      <c r="C1086" s="11">
        <v>44.36</v>
      </c>
      <c r="D1086" s="11">
        <v>44.01</v>
      </c>
      <c r="E1086" s="2">
        <f t="shared" si="33"/>
        <v>0.35000000000000142</v>
      </c>
      <c r="F1086" s="11">
        <v>6.6000000000000003E-2</v>
      </c>
      <c r="G1086" s="14">
        <f t="shared" si="34"/>
        <v>9.3778178539224849E-3</v>
      </c>
    </row>
    <row r="1087" spans="1:7">
      <c r="A1087" s="1">
        <v>31</v>
      </c>
      <c r="B1087" s="1" t="s">
        <v>117</v>
      </c>
      <c r="C1087" s="11">
        <v>27.16</v>
      </c>
      <c r="D1087" s="11">
        <v>26.79</v>
      </c>
      <c r="E1087" s="2">
        <f t="shared" si="33"/>
        <v>0.37000000000000099</v>
      </c>
      <c r="F1087" s="11">
        <v>7.1999999999999995E-2</v>
      </c>
      <c r="G1087" s="14">
        <f t="shared" si="34"/>
        <v>1.6273932253313732E-2</v>
      </c>
    </row>
    <row r="1088" spans="1:7">
      <c r="A1088" s="1">
        <v>1</v>
      </c>
      <c r="B1088" s="1" t="s">
        <v>121</v>
      </c>
      <c r="C1088" s="11">
        <v>0</v>
      </c>
      <c r="D1088" s="11">
        <v>0</v>
      </c>
      <c r="E1088" s="2">
        <f t="shared" si="33"/>
        <v>0</v>
      </c>
      <c r="F1088" s="11">
        <v>0.08</v>
      </c>
      <c r="G1088" s="14" t="e">
        <f t="shared" si="30"/>
        <v>#DIV/0!</v>
      </c>
    </row>
    <row r="1089" spans="1:7">
      <c r="A1089" s="1">
        <v>2</v>
      </c>
      <c r="B1089" s="1" t="s">
        <v>121</v>
      </c>
      <c r="C1089" s="11">
        <v>0</v>
      </c>
      <c r="D1089" s="11">
        <v>0</v>
      </c>
      <c r="E1089" s="2">
        <f t="shared" si="33"/>
        <v>0</v>
      </c>
      <c r="F1089" s="11">
        <v>4.4999999999999998E-2</v>
      </c>
      <c r="G1089" s="14" t="e">
        <f t="shared" si="30"/>
        <v>#DIV/0!</v>
      </c>
    </row>
    <row r="1090" spans="1:7">
      <c r="A1090" s="1">
        <v>3</v>
      </c>
      <c r="B1090" s="1" t="s">
        <v>121</v>
      </c>
      <c r="C1090" s="11">
        <v>0</v>
      </c>
      <c r="D1090" s="11">
        <v>0</v>
      </c>
      <c r="E1090" s="2">
        <f t="shared" si="33"/>
        <v>0</v>
      </c>
      <c r="F1090" s="11">
        <v>8.4000000000000005E-2</v>
      </c>
      <c r="G1090" s="14" t="e">
        <f t="shared" ref="G1090:G1120" si="35">(E1090+F1090)/C1090</f>
        <v>#DIV/0!</v>
      </c>
    </row>
    <row r="1091" spans="1:7">
      <c r="A1091" s="1">
        <v>4</v>
      </c>
      <c r="B1091" s="1" t="s">
        <v>121</v>
      </c>
      <c r="C1091" s="11">
        <v>0</v>
      </c>
      <c r="D1091" s="11">
        <v>0</v>
      </c>
      <c r="E1091" s="2">
        <f t="shared" si="33"/>
        <v>0</v>
      </c>
      <c r="F1091" s="11">
        <v>7.6999999999999999E-2</v>
      </c>
      <c r="G1091" s="14" t="e">
        <f t="shared" si="35"/>
        <v>#DIV/0!</v>
      </c>
    </row>
    <row r="1092" spans="1:7">
      <c r="A1092" s="1">
        <v>5</v>
      </c>
      <c r="B1092" s="1" t="s">
        <v>121</v>
      </c>
      <c r="C1092" s="11">
        <v>0</v>
      </c>
      <c r="D1092" s="11">
        <v>0</v>
      </c>
      <c r="E1092" s="2">
        <f t="shared" ref="E1092:E1155" si="36">C1092-D1092</f>
        <v>0</v>
      </c>
      <c r="F1092" s="11">
        <v>8.7999999999999995E-2</v>
      </c>
      <c r="G1092" s="14" t="e">
        <f t="shared" si="35"/>
        <v>#DIV/0!</v>
      </c>
    </row>
    <row r="1093" spans="1:7">
      <c r="A1093" s="1">
        <v>6</v>
      </c>
      <c r="B1093" s="1" t="s">
        <v>121</v>
      </c>
      <c r="C1093" s="11">
        <v>0</v>
      </c>
      <c r="D1093" s="11">
        <v>0</v>
      </c>
      <c r="E1093" s="2">
        <f t="shared" si="36"/>
        <v>0</v>
      </c>
      <c r="F1093" s="11">
        <v>0</v>
      </c>
      <c r="G1093" s="14" t="e">
        <f t="shared" si="35"/>
        <v>#DIV/0!</v>
      </c>
    </row>
    <row r="1094" spans="1:7">
      <c r="A1094" s="1">
        <v>7</v>
      </c>
      <c r="B1094" s="1" t="s">
        <v>121</v>
      </c>
      <c r="C1094" s="11">
        <v>24.93</v>
      </c>
      <c r="D1094" s="11">
        <v>24.72</v>
      </c>
      <c r="E1094" s="2">
        <f t="shared" si="36"/>
        <v>0.21000000000000085</v>
      </c>
      <c r="F1094" s="11">
        <v>0</v>
      </c>
      <c r="G1094" s="14">
        <f t="shared" si="35"/>
        <v>8.4235860409145949E-3</v>
      </c>
    </row>
    <row r="1095" spans="1:7">
      <c r="A1095" s="1">
        <v>10</v>
      </c>
      <c r="B1095" s="1" t="s">
        <v>121</v>
      </c>
      <c r="C1095" s="11">
        <v>0</v>
      </c>
      <c r="D1095" s="11">
        <v>0</v>
      </c>
      <c r="E1095" s="2">
        <f t="shared" si="36"/>
        <v>0</v>
      </c>
      <c r="F1095" s="11">
        <v>0</v>
      </c>
      <c r="G1095" s="14" t="e">
        <f t="shared" si="35"/>
        <v>#DIV/0!</v>
      </c>
    </row>
    <row r="1096" spans="1:7">
      <c r="A1096" s="1">
        <v>8</v>
      </c>
      <c r="B1096" s="1" t="s">
        <v>121</v>
      </c>
      <c r="C1096" s="11">
        <v>0</v>
      </c>
      <c r="D1096" s="11">
        <v>0</v>
      </c>
      <c r="E1096" s="2">
        <f t="shared" si="36"/>
        <v>0</v>
      </c>
      <c r="F1096" s="11">
        <v>0</v>
      </c>
      <c r="G1096" s="14" t="e">
        <f t="shared" si="35"/>
        <v>#DIV/0!</v>
      </c>
    </row>
    <row r="1097" spans="1:7">
      <c r="A1097" s="1">
        <v>9</v>
      </c>
      <c r="B1097" s="1" t="s">
        <v>121</v>
      </c>
      <c r="C1097" s="11">
        <v>0</v>
      </c>
      <c r="D1097" s="11">
        <v>0</v>
      </c>
      <c r="E1097" s="2">
        <f t="shared" si="36"/>
        <v>0</v>
      </c>
      <c r="F1097" s="11">
        <v>0</v>
      </c>
      <c r="G1097" s="14" t="e">
        <f t="shared" si="35"/>
        <v>#DIV/0!</v>
      </c>
    </row>
    <row r="1098" spans="1:7">
      <c r="A1098" s="1">
        <v>11</v>
      </c>
      <c r="B1098" s="1" t="s">
        <v>121</v>
      </c>
      <c r="C1098" s="11">
        <v>0</v>
      </c>
      <c r="D1098" s="11">
        <v>0</v>
      </c>
      <c r="E1098" s="2">
        <f t="shared" si="36"/>
        <v>0</v>
      </c>
      <c r="F1098" s="11">
        <v>0</v>
      </c>
      <c r="G1098" s="14" t="e">
        <f t="shared" si="35"/>
        <v>#DIV/0!</v>
      </c>
    </row>
    <row r="1099" spans="1:7">
      <c r="A1099" s="1">
        <v>12</v>
      </c>
      <c r="B1099" s="1" t="s">
        <v>121</v>
      </c>
      <c r="C1099" s="11">
        <v>0</v>
      </c>
      <c r="D1099" s="11">
        <v>0</v>
      </c>
      <c r="E1099" s="2">
        <f t="shared" si="36"/>
        <v>0</v>
      </c>
      <c r="F1099" s="11">
        <v>0</v>
      </c>
      <c r="G1099" s="14" t="e">
        <f t="shared" si="35"/>
        <v>#DIV/0!</v>
      </c>
    </row>
    <row r="1100" spans="1:7">
      <c r="A1100" s="1">
        <v>13</v>
      </c>
      <c r="B1100" s="1" t="s">
        <v>121</v>
      </c>
      <c r="C1100" s="11">
        <v>0</v>
      </c>
      <c r="D1100" s="11">
        <v>0</v>
      </c>
      <c r="E1100" s="2">
        <f t="shared" si="36"/>
        <v>0</v>
      </c>
      <c r="F1100" s="11">
        <v>0</v>
      </c>
      <c r="G1100" s="14" t="e">
        <f t="shared" si="35"/>
        <v>#DIV/0!</v>
      </c>
    </row>
    <row r="1101" spans="1:7">
      <c r="A1101" s="1">
        <v>14</v>
      </c>
      <c r="B1101" s="1" t="s">
        <v>121</v>
      </c>
      <c r="C1101" s="11">
        <v>24.06</v>
      </c>
      <c r="D1101" s="11">
        <v>23.57</v>
      </c>
      <c r="E1101" s="2">
        <f t="shared" si="36"/>
        <v>0.48999999999999844</v>
      </c>
      <c r="F1101" s="11">
        <v>0.02</v>
      </c>
      <c r="G1101" s="14">
        <f t="shared" si="35"/>
        <v>2.1197007481296694E-2</v>
      </c>
    </row>
    <row r="1102" spans="1:7">
      <c r="A1102" s="1">
        <v>15</v>
      </c>
      <c r="B1102" s="1" t="s">
        <v>121</v>
      </c>
      <c r="C1102" s="11">
        <v>0</v>
      </c>
      <c r="D1102" s="11">
        <v>0</v>
      </c>
      <c r="E1102" s="2">
        <f t="shared" si="36"/>
        <v>0</v>
      </c>
      <c r="F1102" s="11">
        <v>0.09</v>
      </c>
      <c r="G1102" s="14" t="e">
        <f t="shared" si="35"/>
        <v>#DIV/0!</v>
      </c>
    </row>
    <row r="1103" spans="1:7">
      <c r="A1103" s="1">
        <v>16</v>
      </c>
      <c r="B1103" s="1" t="s">
        <v>121</v>
      </c>
      <c r="C1103" s="11">
        <v>0</v>
      </c>
      <c r="D1103" s="11">
        <v>0</v>
      </c>
      <c r="E1103" s="2">
        <f t="shared" si="36"/>
        <v>0</v>
      </c>
      <c r="F1103" s="11">
        <v>0</v>
      </c>
      <c r="G1103" s="14" t="e">
        <f t="shared" si="35"/>
        <v>#DIV/0!</v>
      </c>
    </row>
    <row r="1104" spans="1:7">
      <c r="A1104" s="1">
        <v>17</v>
      </c>
      <c r="B1104" s="1" t="s">
        <v>121</v>
      </c>
      <c r="C1104" s="11">
        <v>29.07</v>
      </c>
      <c r="D1104" s="11">
        <v>28.31</v>
      </c>
      <c r="E1104" s="2">
        <f t="shared" si="36"/>
        <v>0.76000000000000156</v>
      </c>
      <c r="F1104" s="11">
        <v>0.1</v>
      </c>
      <c r="G1104" s="14">
        <f t="shared" si="35"/>
        <v>2.9583763329893414E-2</v>
      </c>
    </row>
    <row r="1105" spans="1:7">
      <c r="A1105" s="1">
        <v>18</v>
      </c>
      <c r="B1105" s="1" t="s">
        <v>121</v>
      </c>
      <c r="C1105" s="11">
        <v>0</v>
      </c>
      <c r="D1105" s="11">
        <v>0</v>
      </c>
      <c r="E1105" s="2">
        <f t="shared" si="36"/>
        <v>0</v>
      </c>
      <c r="F1105" s="11">
        <v>6.5000000000000002E-2</v>
      </c>
      <c r="G1105" s="14" t="e">
        <f t="shared" si="35"/>
        <v>#DIV/0!</v>
      </c>
    </row>
    <row r="1106" spans="1:7">
      <c r="A1106" s="1">
        <v>19</v>
      </c>
      <c r="B1106" s="1" t="s">
        <v>121</v>
      </c>
      <c r="C1106" s="11">
        <v>0</v>
      </c>
      <c r="D1106" s="11">
        <v>0</v>
      </c>
      <c r="E1106" s="2">
        <f t="shared" si="36"/>
        <v>0</v>
      </c>
      <c r="F1106" s="11">
        <v>0.12</v>
      </c>
      <c r="G1106" s="14" t="e">
        <f t="shared" si="35"/>
        <v>#DIV/0!</v>
      </c>
    </row>
    <row r="1107" spans="1:7">
      <c r="A1107" s="1">
        <v>20</v>
      </c>
      <c r="B1107" s="1" t="s">
        <v>121</v>
      </c>
      <c r="C1107" s="11">
        <v>0</v>
      </c>
      <c r="D1107" s="11">
        <v>0</v>
      </c>
      <c r="E1107" s="2">
        <f t="shared" si="36"/>
        <v>0</v>
      </c>
      <c r="F1107" s="11">
        <v>0.05</v>
      </c>
      <c r="G1107" s="14" t="e">
        <f t="shared" si="35"/>
        <v>#DIV/0!</v>
      </c>
    </row>
    <row r="1108" spans="1:7">
      <c r="A1108" s="1">
        <v>21</v>
      </c>
      <c r="B1108" s="1" t="s">
        <v>121</v>
      </c>
      <c r="C1108" s="11">
        <v>0</v>
      </c>
      <c r="D1108" s="11">
        <v>0</v>
      </c>
      <c r="E1108" s="2">
        <f t="shared" si="36"/>
        <v>0</v>
      </c>
      <c r="F1108" s="11">
        <v>0.03</v>
      </c>
      <c r="G1108" s="14" t="e">
        <f t="shared" si="35"/>
        <v>#DIV/0!</v>
      </c>
    </row>
    <row r="1109" spans="1:7">
      <c r="A1109" s="1">
        <v>22</v>
      </c>
      <c r="B1109" s="1" t="s">
        <v>121</v>
      </c>
      <c r="C1109" s="11">
        <v>0</v>
      </c>
      <c r="D1109" s="11">
        <v>0</v>
      </c>
      <c r="E1109" s="2">
        <f t="shared" si="36"/>
        <v>0</v>
      </c>
      <c r="F1109" s="11">
        <v>0.12</v>
      </c>
      <c r="G1109" s="14" t="e">
        <f t="shared" si="35"/>
        <v>#DIV/0!</v>
      </c>
    </row>
    <row r="1110" spans="1:7">
      <c r="A1110" s="1">
        <v>23</v>
      </c>
      <c r="B1110" s="1" t="s">
        <v>121</v>
      </c>
      <c r="C1110" s="11">
        <v>0</v>
      </c>
      <c r="D1110" s="11">
        <v>0</v>
      </c>
      <c r="E1110" s="2">
        <f t="shared" si="36"/>
        <v>0</v>
      </c>
      <c r="F1110" s="11">
        <v>6.5000000000000002E-2</v>
      </c>
      <c r="G1110" s="3" t="e">
        <f t="shared" si="35"/>
        <v>#DIV/0!</v>
      </c>
    </row>
    <row r="1111" spans="1:7">
      <c r="A1111" s="1">
        <v>24</v>
      </c>
      <c r="B1111" s="1" t="s">
        <v>121</v>
      </c>
      <c r="C1111" s="11">
        <v>0</v>
      </c>
      <c r="D1111" s="11">
        <v>0</v>
      </c>
      <c r="E1111" s="2">
        <f t="shared" si="36"/>
        <v>0</v>
      </c>
      <c r="F1111" s="11">
        <v>8.1000000000000003E-2</v>
      </c>
      <c r="G1111" s="3" t="e">
        <f t="shared" si="35"/>
        <v>#DIV/0!</v>
      </c>
    </row>
    <row r="1112" spans="1:7">
      <c r="A1112" s="1">
        <v>25</v>
      </c>
      <c r="B1112" s="1" t="s">
        <v>121</v>
      </c>
      <c r="C1112" s="11">
        <v>0</v>
      </c>
      <c r="D1112" s="11">
        <v>0</v>
      </c>
      <c r="E1112" s="2">
        <f t="shared" si="36"/>
        <v>0</v>
      </c>
      <c r="F1112" s="11">
        <v>0.154</v>
      </c>
      <c r="G1112" s="3" t="e">
        <f t="shared" si="35"/>
        <v>#DIV/0!</v>
      </c>
    </row>
    <row r="1113" spans="1:7">
      <c r="A1113" s="1">
        <v>26</v>
      </c>
      <c r="B1113" s="1" t="s">
        <v>121</v>
      </c>
      <c r="C1113" s="11">
        <v>0</v>
      </c>
      <c r="D1113" s="11">
        <v>0</v>
      </c>
      <c r="E1113" s="2">
        <f t="shared" si="36"/>
        <v>0</v>
      </c>
      <c r="F1113" s="11">
        <v>0.06</v>
      </c>
      <c r="G1113" s="14" t="e">
        <f t="shared" si="35"/>
        <v>#DIV/0!</v>
      </c>
    </row>
    <row r="1114" spans="1:7">
      <c r="A1114" s="1">
        <v>27</v>
      </c>
      <c r="B1114" s="1" t="s">
        <v>121</v>
      </c>
      <c r="C1114" s="11">
        <v>0</v>
      </c>
      <c r="D1114" s="11">
        <v>0</v>
      </c>
      <c r="E1114" s="2">
        <f t="shared" si="36"/>
        <v>0</v>
      </c>
      <c r="F1114" s="11">
        <v>8.5000000000000006E-2</v>
      </c>
      <c r="G1114" s="14" t="e">
        <f t="shared" si="35"/>
        <v>#DIV/0!</v>
      </c>
    </row>
    <row r="1115" spans="1:7">
      <c r="A1115" s="1">
        <v>28</v>
      </c>
      <c r="B1115" s="1" t="s">
        <v>121</v>
      </c>
      <c r="C1115" s="11">
        <v>23.18</v>
      </c>
      <c r="D1115" s="11">
        <v>22.96</v>
      </c>
      <c r="E1115" s="2">
        <f t="shared" si="36"/>
        <v>0.21999999999999886</v>
      </c>
      <c r="F1115" s="11">
        <v>0.09</v>
      </c>
      <c r="G1115" s="14">
        <f t="shared" si="35"/>
        <v>1.3373597929249303E-2</v>
      </c>
    </row>
    <row r="1116" spans="1:7">
      <c r="A1116" s="1">
        <v>29</v>
      </c>
      <c r="B1116" s="1" t="s">
        <v>121</v>
      </c>
      <c r="C1116" s="11">
        <v>0</v>
      </c>
      <c r="D1116" s="11">
        <v>0</v>
      </c>
      <c r="E1116" s="2">
        <f t="shared" si="36"/>
        <v>0</v>
      </c>
      <c r="F1116" s="11">
        <v>5.8000000000000003E-2</v>
      </c>
      <c r="G1116" s="14" t="e">
        <f t="shared" si="35"/>
        <v>#DIV/0!</v>
      </c>
    </row>
    <row r="1117" spans="1:7">
      <c r="A1117" s="1">
        <v>30</v>
      </c>
      <c r="B1117" s="1" t="s">
        <v>121</v>
      </c>
      <c r="C1117" s="11">
        <v>0</v>
      </c>
      <c r="D1117" s="11">
        <v>0</v>
      </c>
      <c r="E1117" s="2">
        <f t="shared" si="36"/>
        <v>0</v>
      </c>
      <c r="F1117" s="11">
        <v>0.128</v>
      </c>
      <c r="G1117" s="14" t="e">
        <f t="shared" si="35"/>
        <v>#DIV/0!</v>
      </c>
    </row>
    <row r="1118" spans="1:7">
      <c r="A1118" s="1">
        <v>31</v>
      </c>
      <c r="B1118" s="1" t="s">
        <v>121</v>
      </c>
      <c r="C1118" s="11">
        <v>0</v>
      </c>
      <c r="D1118" s="11">
        <v>0</v>
      </c>
      <c r="E1118" s="2">
        <f t="shared" si="36"/>
        <v>0</v>
      </c>
      <c r="F1118" s="11">
        <v>0.08</v>
      </c>
      <c r="G1118" s="14" t="e">
        <f t="shared" si="35"/>
        <v>#DIV/0!</v>
      </c>
    </row>
    <row r="1119" spans="1:7">
      <c r="A1119" s="1">
        <v>1</v>
      </c>
      <c r="B1119" s="1" t="s">
        <v>122</v>
      </c>
      <c r="C1119" s="11">
        <v>0</v>
      </c>
      <c r="D1119" s="11">
        <v>0</v>
      </c>
      <c r="E1119" s="2">
        <f t="shared" si="36"/>
        <v>0</v>
      </c>
      <c r="F1119" s="11">
        <v>0</v>
      </c>
      <c r="G1119" s="14" t="e">
        <f t="shared" si="35"/>
        <v>#DIV/0!</v>
      </c>
    </row>
    <row r="1120" spans="1:7">
      <c r="A1120" s="1">
        <v>2</v>
      </c>
      <c r="B1120" s="1" t="s">
        <v>122</v>
      </c>
      <c r="C1120" s="11">
        <v>0</v>
      </c>
      <c r="D1120" s="11">
        <v>0</v>
      </c>
      <c r="E1120" s="2">
        <f t="shared" si="36"/>
        <v>0</v>
      </c>
      <c r="F1120" s="11">
        <v>0</v>
      </c>
      <c r="G1120" s="14" t="e">
        <f t="shared" si="35"/>
        <v>#DIV/0!</v>
      </c>
    </row>
    <row r="1121" spans="1:7">
      <c r="A1121" s="1">
        <v>3</v>
      </c>
      <c r="B1121" s="1" t="s">
        <v>122</v>
      </c>
      <c r="C1121" s="11">
        <v>0</v>
      </c>
      <c r="D1121" s="11">
        <v>0</v>
      </c>
      <c r="E1121" s="2">
        <f t="shared" si="36"/>
        <v>0</v>
      </c>
      <c r="F1121" s="11">
        <v>0</v>
      </c>
      <c r="G1121" s="14" t="e">
        <f t="shared" ref="G1121:G1151" si="37">(E1121+F1121)/C1121</f>
        <v>#DIV/0!</v>
      </c>
    </row>
    <row r="1122" spans="1:7">
      <c r="A1122" s="1">
        <v>4</v>
      </c>
      <c r="B1122" s="1" t="s">
        <v>122</v>
      </c>
      <c r="C1122" s="11">
        <v>0</v>
      </c>
      <c r="D1122" s="11">
        <v>0</v>
      </c>
      <c r="E1122" s="2">
        <f t="shared" si="36"/>
        <v>0</v>
      </c>
      <c r="F1122" s="11">
        <v>0</v>
      </c>
      <c r="G1122" s="14" t="e">
        <f t="shared" si="37"/>
        <v>#DIV/0!</v>
      </c>
    </row>
    <row r="1123" spans="1:7">
      <c r="A1123" s="1">
        <v>5</v>
      </c>
      <c r="B1123" s="1" t="s">
        <v>122</v>
      </c>
      <c r="C1123" s="11">
        <v>0</v>
      </c>
      <c r="D1123" s="11">
        <v>0</v>
      </c>
      <c r="E1123" s="2">
        <f t="shared" si="36"/>
        <v>0</v>
      </c>
      <c r="F1123" s="11">
        <v>0.33</v>
      </c>
      <c r="G1123" s="14" t="e">
        <f t="shared" si="37"/>
        <v>#DIV/0!</v>
      </c>
    </row>
    <row r="1124" spans="1:7">
      <c r="A1124" s="1">
        <v>6</v>
      </c>
      <c r="B1124" s="1" t="s">
        <v>122</v>
      </c>
      <c r="C1124" s="11">
        <v>0</v>
      </c>
      <c r="D1124" s="11">
        <v>0</v>
      </c>
      <c r="E1124" s="2">
        <f t="shared" si="36"/>
        <v>0</v>
      </c>
      <c r="F1124" s="11">
        <v>0</v>
      </c>
      <c r="G1124" s="14" t="e">
        <f t="shared" si="37"/>
        <v>#DIV/0!</v>
      </c>
    </row>
    <row r="1125" spans="1:7">
      <c r="A1125" s="1">
        <v>7</v>
      </c>
      <c r="B1125" s="1" t="s">
        <v>122</v>
      </c>
      <c r="C1125" s="11">
        <v>26.82</v>
      </c>
      <c r="D1125" s="11">
        <v>26.64</v>
      </c>
      <c r="E1125" s="2">
        <f t="shared" si="36"/>
        <v>0.17999999999999972</v>
      </c>
      <c r="F1125" s="11">
        <v>0.18</v>
      </c>
      <c r="G1125" s="14">
        <f t="shared" si="37"/>
        <v>1.3422818791946298E-2</v>
      </c>
    </row>
    <row r="1126" spans="1:7">
      <c r="A1126" s="1">
        <v>10</v>
      </c>
      <c r="B1126" s="1" t="s">
        <v>122</v>
      </c>
      <c r="C1126" s="11">
        <v>0</v>
      </c>
      <c r="D1126" s="11">
        <v>0</v>
      </c>
      <c r="E1126" s="2">
        <f t="shared" si="36"/>
        <v>0</v>
      </c>
      <c r="F1126" s="11">
        <v>0</v>
      </c>
      <c r="G1126" s="14" t="e">
        <f t="shared" si="37"/>
        <v>#DIV/0!</v>
      </c>
    </row>
    <row r="1127" spans="1:7">
      <c r="A1127" s="1">
        <v>8</v>
      </c>
      <c r="B1127" s="1" t="s">
        <v>122</v>
      </c>
      <c r="C1127" s="11">
        <v>0</v>
      </c>
      <c r="D1127" s="11">
        <v>0</v>
      </c>
      <c r="E1127" s="2">
        <f t="shared" si="36"/>
        <v>0</v>
      </c>
      <c r="F1127" s="11">
        <v>0</v>
      </c>
      <c r="G1127" s="14" t="e">
        <f t="shared" si="37"/>
        <v>#DIV/0!</v>
      </c>
    </row>
    <row r="1128" spans="1:7">
      <c r="A1128" s="1">
        <v>9</v>
      </c>
      <c r="B1128" s="1" t="s">
        <v>122</v>
      </c>
      <c r="C1128" s="11">
        <v>0</v>
      </c>
      <c r="D1128" s="11">
        <v>0</v>
      </c>
      <c r="E1128" s="2">
        <f t="shared" si="36"/>
        <v>0</v>
      </c>
      <c r="F1128" s="11">
        <v>0</v>
      </c>
      <c r="G1128" s="14" t="e">
        <f t="shared" si="37"/>
        <v>#DIV/0!</v>
      </c>
    </row>
    <row r="1129" spans="1:7">
      <c r="A1129" s="1">
        <v>11</v>
      </c>
      <c r="B1129" s="1" t="s">
        <v>122</v>
      </c>
      <c r="C1129" s="11">
        <v>0</v>
      </c>
      <c r="D1129" s="11">
        <v>0</v>
      </c>
      <c r="E1129" s="2">
        <f t="shared" si="36"/>
        <v>0</v>
      </c>
      <c r="F1129" s="11">
        <v>0</v>
      </c>
      <c r="G1129" s="14" t="e">
        <f t="shared" si="37"/>
        <v>#DIV/0!</v>
      </c>
    </row>
    <row r="1130" spans="1:7">
      <c r="A1130" s="1">
        <v>12</v>
      </c>
      <c r="B1130" s="1" t="s">
        <v>122</v>
      </c>
      <c r="C1130" s="11">
        <v>0</v>
      </c>
      <c r="D1130" s="11">
        <v>0</v>
      </c>
      <c r="E1130" s="2">
        <f t="shared" si="36"/>
        <v>0</v>
      </c>
      <c r="F1130" s="11">
        <v>0</v>
      </c>
      <c r="G1130" s="14" t="e">
        <f t="shared" si="37"/>
        <v>#DIV/0!</v>
      </c>
    </row>
    <row r="1131" spans="1:7">
      <c r="A1131" s="1">
        <v>13</v>
      </c>
      <c r="B1131" s="1" t="s">
        <v>122</v>
      </c>
      <c r="C1131" s="11">
        <v>0</v>
      </c>
      <c r="D1131" s="11">
        <v>0</v>
      </c>
      <c r="E1131" s="2">
        <f t="shared" si="36"/>
        <v>0</v>
      </c>
      <c r="F1131" s="11">
        <v>0</v>
      </c>
      <c r="G1131" s="14" t="e">
        <f t="shared" si="37"/>
        <v>#DIV/0!</v>
      </c>
    </row>
    <row r="1132" spans="1:7">
      <c r="A1132" s="1">
        <v>14</v>
      </c>
      <c r="B1132" s="1" t="s">
        <v>122</v>
      </c>
      <c r="C1132" s="11">
        <v>0</v>
      </c>
      <c r="D1132" s="11">
        <v>0</v>
      </c>
      <c r="E1132" s="2">
        <f t="shared" si="36"/>
        <v>0</v>
      </c>
      <c r="F1132" s="11">
        <v>0</v>
      </c>
      <c r="G1132" s="14" t="e">
        <f t="shared" si="37"/>
        <v>#DIV/0!</v>
      </c>
    </row>
    <row r="1133" spans="1:7">
      <c r="A1133" s="1">
        <v>15</v>
      </c>
      <c r="B1133" s="1" t="s">
        <v>122</v>
      </c>
      <c r="C1133" s="11">
        <v>0</v>
      </c>
      <c r="D1133" s="11">
        <v>0</v>
      </c>
      <c r="E1133" s="2">
        <f t="shared" si="36"/>
        <v>0</v>
      </c>
      <c r="F1133" s="11">
        <v>0</v>
      </c>
      <c r="G1133" s="14" t="e">
        <f t="shared" si="37"/>
        <v>#DIV/0!</v>
      </c>
    </row>
    <row r="1134" spans="1:7">
      <c r="A1134" s="1">
        <v>16</v>
      </c>
      <c r="B1134" s="1" t="s">
        <v>122</v>
      </c>
      <c r="C1134" s="11">
        <v>22.12</v>
      </c>
      <c r="D1134" s="11">
        <v>21.84</v>
      </c>
      <c r="E1134" s="2">
        <f t="shared" si="36"/>
        <v>0.28000000000000114</v>
      </c>
      <c r="F1134" s="11">
        <v>0.18</v>
      </c>
      <c r="G1134" s="14">
        <f t="shared" si="37"/>
        <v>2.0795660036166414E-2</v>
      </c>
    </row>
    <row r="1135" spans="1:7">
      <c r="A1135" s="1">
        <v>17</v>
      </c>
      <c r="B1135" s="1" t="s">
        <v>122</v>
      </c>
      <c r="C1135" s="11">
        <v>0</v>
      </c>
      <c r="D1135" s="11">
        <v>0</v>
      </c>
      <c r="E1135" s="2">
        <f t="shared" si="36"/>
        <v>0</v>
      </c>
      <c r="F1135" s="11">
        <v>0</v>
      </c>
      <c r="G1135" s="14" t="e">
        <f t="shared" si="37"/>
        <v>#DIV/0!</v>
      </c>
    </row>
    <row r="1136" spans="1:7">
      <c r="A1136" s="1">
        <v>18</v>
      </c>
      <c r="B1136" s="1" t="s">
        <v>122</v>
      </c>
      <c r="C1136" s="11">
        <v>0</v>
      </c>
      <c r="D1136" s="11">
        <v>0</v>
      </c>
      <c r="E1136" s="2">
        <f t="shared" si="36"/>
        <v>0</v>
      </c>
      <c r="F1136" s="11">
        <v>0</v>
      </c>
      <c r="G1136" s="14" t="e">
        <f t="shared" si="37"/>
        <v>#DIV/0!</v>
      </c>
    </row>
    <row r="1137" spans="1:7">
      <c r="A1137" s="1">
        <v>19</v>
      </c>
      <c r="B1137" s="1" t="s">
        <v>122</v>
      </c>
      <c r="C1137" s="11">
        <v>0</v>
      </c>
      <c r="D1137" s="11">
        <v>0</v>
      </c>
      <c r="E1137" s="2">
        <f t="shared" si="36"/>
        <v>0</v>
      </c>
      <c r="F1137" s="11">
        <v>0</v>
      </c>
      <c r="G1137" s="14" t="e">
        <f t="shared" si="37"/>
        <v>#DIV/0!</v>
      </c>
    </row>
    <row r="1138" spans="1:7">
      <c r="A1138" s="1">
        <v>20</v>
      </c>
      <c r="B1138" s="1" t="s">
        <v>122</v>
      </c>
      <c r="C1138" s="11">
        <v>0</v>
      </c>
      <c r="D1138" s="11">
        <v>0</v>
      </c>
      <c r="E1138" s="2">
        <f t="shared" si="36"/>
        <v>0</v>
      </c>
      <c r="F1138" s="11">
        <v>0.43</v>
      </c>
      <c r="G1138" s="14" t="e">
        <f t="shared" si="37"/>
        <v>#DIV/0!</v>
      </c>
    </row>
    <row r="1139" spans="1:7">
      <c r="A1139" s="1">
        <v>21</v>
      </c>
      <c r="B1139" s="1" t="s">
        <v>122</v>
      </c>
      <c r="C1139" s="11">
        <v>0</v>
      </c>
      <c r="D1139" s="11">
        <v>0</v>
      </c>
      <c r="E1139" s="2">
        <f t="shared" si="36"/>
        <v>0</v>
      </c>
      <c r="F1139" s="11">
        <v>4.1000000000000002E-2</v>
      </c>
      <c r="G1139" s="14" t="e">
        <f t="shared" si="37"/>
        <v>#DIV/0!</v>
      </c>
    </row>
    <row r="1140" spans="1:7">
      <c r="A1140" s="1">
        <v>22</v>
      </c>
      <c r="B1140" s="1" t="s">
        <v>122</v>
      </c>
      <c r="C1140" s="11">
        <v>0</v>
      </c>
      <c r="D1140" s="11">
        <v>0</v>
      </c>
      <c r="E1140" s="2">
        <f t="shared" si="36"/>
        <v>0</v>
      </c>
      <c r="F1140" s="11">
        <v>4.1000000000000002E-2</v>
      </c>
      <c r="G1140" s="14" t="e">
        <f t="shared" si="37"/>
        <v>#DIV/0!</v>
      </c>
    </row>
    <row r="1141" spans="1:7">
      <c r="A1141" s="1">
        <v>23</v>
      </c>
      <c r="B1141" s="1" t="s">
        <v>122</v>
      </c>
      <c r="C1141" s="11">
        <v>0</v>
      </c>
      <c r="D1141" s="11">
        <v>0</v>
      </c>
      <c r="E1141" s="2">
        <f t="shared" si="36"/>
        <v>0</v>
      </c>
      <c r="F1141" s="11">
        <v>0</v>
      </c>
      <c r="G1141" s="3" t="e">
        <f t="shared" si="37"/>
        <v>#DIV/0!</v>
      </c>
    </row>
    <row r="1142" spans="1:7">
      <c r="A1142" s="1">
        <v>24</v>
      </c>
      <c r="B1142" s="1" t="s">
        <v>122</v>
      </c>
      <c r="C1142" s="11">
        <v>0</v>
      </c>
      <c r="D1142" s="11">
        <v>0</v>
      </c>
      <c r="E1142" s="2">
        <f t="shared" si="36"/>
        <v>0</v>
      </c>
      <c r="F1142" s="11">
        <v>0</v>
      </c>
      <c r="G1142" s="3" t="e">
        <f t="shared" si="37"/>
        <v>#DIV/0!</v>
      </c>
    </row>
    <row r="1143" spans="1:7">
      <c r="A1143" s="1">
        <v>25</v>
      </c>
      <c r="B1143" s="1" t="s">
        <v>122</v>
      </c>
      <c r="C1143" s="11">
        <v>0</v>
      </c>
      <c r="D1143" s="11">
        <v>0</v>
      </c>
      <c r="E1143" s="2">
        <f t="shared" si="36"/>
        <v>0</v>
      </c>
      <c r="F1143" s="11">
        <v>0</v>
      </c>
      <c r="G1143" s="3" t="e">
        <f t="shared" si="37"/>
        <v>#DIV/0!</v>
      </c>
    </row>
    <row r="1144" spans="1:7">
      <c r="A1144" s="1">
        <v>26</v>
      </c>
      <c r="B1144" s="1" t="s">
        <v>122</v>
      </c>
      <c r="C1144" s="11">
        <v>0</v>
      </c>
      <c r="D1144" s="11">
        <v>0</v>
      </c>
      <c r="E1144" s="2">
        <f t="shared" si="36"/>
        <v>0</v>
      </c>
      <c r="F1144" s="11">
        <v>1.9E-2</v>
      </c>
      <c r="G1144" s="14" t="e">
        <f t="shared" si="37"/>
        <v>#DIV/0!</v>
      </c>
    </row>
    <row r="1145" spans="1:7">
      <c r="A1145" s="1">
        <v>27</v>
      </c>
      <c r="B1145" s="1" t="s">
        <v>122</v>
      </c>
      <c r="C1145" s="11">
        <v>0</v>
      </c>
      <c r="D1145" s="11">
        <v>0</v>
      </c>
      <c r="E1145" s="2">
        <f t="shared" si="36"/>
        <v>0</v>
      </c>
      <c r="F1145" s="11">
        <v>0</v>
      </c>
      <c r="G1145" s="14" t="e">
        <f t="shared" si="37"/>
        <v>#DIV/0!</v>
      </c>
    </row>
    <row r="1146" spans="1:7">
      <c r="A1146" s="1">
        <v>28</v>
      </c>
      <c r="B1146" s="1" t="s">
        <v>122</v>
      </c>
      <c r="C1146" s="11">
        <v>0</v>
      </c>
      <c r="D1146" s="11">
        <v>0</v>
      </c>
      <c r="E1146" s="2">
        <f t="shared" si="36"/>
        <v>0</v>
      </c>
      <c r="F1146" s="11">
        <v>0</v>
      </c>
      <c r="G1146" s="14" t="e">
        <f t="shared" si="37"/>
        <v>#DIV/0!</v>
      </c>
    </row>
    <row r="1147" spans="1:7">
      <c r="A1147" s="1">
        <v>29</v>
      </c>
      <c r="B1147" s="1" t="s">
        <v>122</v>
      </c>
      <c r="C1147" s="11">
        <v>0</v>
      </c>
      <c r="D1147" s="11">
        <v>0</v>
      </c>
      <c r="E1147" s="2">
        <f t="shared" si="36"/>
        <v>0</v>
      </c>
      <c r="F1147" s="11">
        <v>0</v>
      </c>
      <c r="G1147" s="14" t="e">
        <f t="shared" si="37"/>
        <v>#DIV/0!</v>
      </c>
    </row>
    <row r="1148" spans="1:7">
      <c r="A1148" s="1">
        <v>30</v>
      </c>
      <c r="B1148" s="1" t="s">
        <v>122</v>
      </c>
      <c r="C1148" s="11">
        <v>0</v>
      </c>
      <c r="D1148" s="11">
        <v>0</v>
      </c>
      <c r="E1148" s="2">
        <f t="shared" si="36"/>
        <v>0</v>
      </c>
      <c r="F1148" s="11">
        <v>0</v>
      </c>
      <c r="G1148" s="14" t="e">
        <f t="shared" si="37"/>
        <v>#DIV/0!</v>
      </c>
    </row>
    <row r="1149" spans="1:7">
      <c r="A1149" s="1">
        <v>31</v>
      </c>
      <c r="B1149" s="1" t="s">
        <v>122</v>
      </c>
      <c r="C1149" s="11">
        <v>0</v>
      </c>
      <c r="D1149" s="11">
        <v>0</v>
      </c>
      <c r="E1149" s="2">
        <f t="shared" si="36"/>
        <v>0</v>
      </c>
      <c r="F1149" s="11">
        <v>0</v>
      </c>
      <c r="G1149" s="14" t="e">
        <f t="shared" si="37"/>
        <v>#DIV/0!</v>
      </c>
    </row>
    <row r="1150" spans="1:7">
      <c r="A1150" s="1">
        <v>1</v>
      </c>
      <c r="B1150" s="1" t="s">
        <v>123</v>
      </c>
      <c r="C1150" s="11">
        <v>0</v>
      </c>
      <c r="D1150" s="11">
        <v>0</v>
      </c>
      <c r="E1150" s="2">
        <f t="shared" si="36"/>
        <v>0</v>
      </c>
      <c r="F1150" s="11">
        <v>0.14499999999999999</v>
      </c>
      <c r="G1150" s="14" t="e">
        <f t="shared" si="37"/>
        <v>#DIV/0!</v>
      </c>
    </row>
    <row r="1151" spans="1:7">
      <c r="A1151" s="1">
        <v>2</v>
      </c>
      <c r="B1151" s="1" t="s">
        <v>123</v>
      </c>
      <c r="C1151" s="11">
        <v>0</v>
      </c>
      <c r="D1151" s="11">
        <v>0</v>
      </c>
      <c r="E1151" s="2">
        <f t="shared" si="36"/>
        <v>0</v>
      </c>
      <c r="F1151" s="11">
        <v>0.1</v>
      </c>
      <c r="G1151" s="14" t="e">
        <f t="shared" si="37"/>
        <v>#DIV/0!</v>
      </c>
    </row>
    <row r="1152" spans="1:7">
      <c r="A1152" s="1">
        <v>3</v>
      </c>
      <c r="B1152" s="1" t="s">
        <v>123</v>
      </c>
      <c r="C1152" s="11">
        <v>0</v>
      </c>
      <c r="D1152" s="11">
        <v>0</v>
      </c>
      <c r="E1152" s="2">
        <f t="shared" si="36"/>
        <v>0</v>
      </c>
      <c r="F1152" s="11">
        <v>0.13500000000000001</v>
      </c>
      <c r="G1152" s="14" t="e">
        <f t="shared" ref="G1152:G1182" si="38">(E1152+F1152)/C1152</f>
        <v>#DIV/0!</v>
      </c>
    </row>
    <row r="1153" spans="1:7">
      <c r="A1153" s="1">
        <v>4</v>
      </c>
      <c r="B1153" s="1" t="s">
        <v>123</v>
      </c>
      <c r="C1153" s="11">
        <v>0</v>
      </c>
      <c r="D1153" s="11">
        <v>0</v>
      </c>
      <c r="E1153" s="2">
        <f t="shared" si="36"/>
        <v>0</v>
      </c>
      <c r="F1153" s="11">
        <v>0</v>
      </c>
      <c r="G1153" s="14" t="e">
        <f t="shared" si="38"/>
        <v>#DIV/0!</v>
      </c>
    </row>
    <row r="1154" spans="1:7">
      <c r="A1154" s="1">
        <v>5</v>
      </c>
      <c r="B1154" s="1" t="s">
        <v>123</v>
      </c>
      <c r="C1154" s="11">
        <v>0</v>
      </c>
      <c r="D1154" s="11">
        <v>0</v>
      </c>
      <c r="E1154" s="2">
        <f t="shared" si="36"/>
        <v>0</v>
      </c>
      <c r="F1154" s="11">
        <v>0</v>
      </c>
      <c r="G1154" s="14" t="e">
        <f t="shared" si="38"/>
        <v>#DIV/0!</v>
      </c>
    </row>
    <row r="1155" spans="1:7">
      <c r="A1155" s="1">
        <v>6</v>
      </c>
      <c r="B1155" s="1" t="s">
        <v>123</v>
      </c>
      <c r="C1155" s="11">
        <v>0</v>
      </c>
      <c r="D1155" s="11">
        <v>0</v>
      </c>
      <c r="E1155" s="2">
        <f t="shared" si="36"/>
        <v>0</v>
      </c>
      <c r="F1155" s="11">
        <v>5.0000000000000001E-3</v>
      </c>
      <c r="G1155" s="14" t="e">
        <f t="shared" si="38"/>
        <v>#DIV/0!</v>
      </c>
    </row>
    <row r="1156" spans="1:7">
      <c r="A1156" s="1">
        <v>7</v>
      </c>
      <c r="B1156" s="1" t="s">
        <v>123</v>
      </c>
      <c r="C1156" s="11">
        <v>0</v>
      </c>
      <c r="D1156" s="11">
        <v>0</v>
      </c>
      <c r="E1156" s="2">
        <f t="shared" ref="E1156:E1211" si="39">C1156-D1156</f>
        <v>0</v>
      </c>
      <c r="F1156" s="11">
        <v>0</v>
      </c>
      <c r="G1156" s="14" t="e">
        <f t="shared" si="38"/>
        <v>#DIV/0!</v>
      </c>
    </row>
    <row r="1157" spans="1:7">
      <c r="A1157" s="1">
        <v>10</v>
      </c>
      <c r="B1157" s="1" t="s">
        <v>123</v>
      </c>
      <c r="C1157" s="11">
        <v>0</v>
      </c>
      <c r="D1157" s="11">
        <v>0</v>
      </c>
      <c r="E1157" s="2">
        <f t="shared" si="39"/>
        <v>0</v>
      </c>
      <c r="F1157" s="11">
        <v>0</v>
      </c>
      <c r="G1157" s="14" t="e">
        <f t="shared" si="38"/>
        <v>#DIV/0!</v>
      </c>
    </row>
    <row r="1158" spans="1:7">
      <c r="A1158" s="1">
        <v>8</v>
      </c>
      <c r="B1158" s="1" t="s">
        <v>123</v>
      </c>
      <c r="C1158" s="11">
        <v>0</v>
      </c>
      <c r="D1158" s="11">
        <v>0</v>
      </c>
      <c r="E1158" s="2">
        <f t="shared" si="39"/>
        <v>0</v>
      </c>
      <c r="F1158" s="11">
        <v>0</v>
      </c>
      <c r="G1158" s="14" t="e">
        <f t="shared" si="38"/>
        <v>#DIV/0!</v>
      </c>
    </row>
    <row r="1159" spans="1:7">
      <c r="A1159" s="1">
        <v>9</v>
      </c>
      <c r="B1159" s="1" t="s">
        <v>123</v>
      </c>
      <c r="C1159" s="11">
        <v>0</v>
      </c>
      <c r="D1159" s="11">
        <v>0</v>
      </c>
      <c r="E1159" s="2">
        <f t="shared" si="39"/>
        <v>0</v>
      </c>
      <c r="F1159" s="11">
        <v>0</v>
      </c>
      <c r="G1159" s="14" t="e">
        <f t="shared" si="38"/>
        <v>#DIV/0!</v>
      </c>
    </row>
    <row r="1160" spans="1:7">
      <c r="A1160" s="1">
        <v>11</v>
      </c>
      <c r="B1160" s="1" t="s">
        <v>123</v>
      </c>
      <c r="C1160" s="11">
        <v>0</v>
      </c>
      <c r="D1160" s="11">
        <v>0</v>
      </c>
      <c r="E1160" s="2">
        <f t="shared" si="39"/>
        <v>0</v>
      </c>
      <c r="F1160" s="11">
        <v>0</v>
      </c>
      <c r="G1160" s="14" t="e">
        <f t="shared" si="38"/>
        <v>#DIV/0!</v>
      </c>
    </row>
    <row r="1161" spans="1:7">
      <c r="A1161" s="1">
        <v>12</v>
      </c>
      <c r="B1161" s="1" t="s">
        <v>123</v>
      </c>
      <c r="C1161" s="11">
        <v>0</v>
      </c>
      <c r="D1161" s="11">
        <v>0</v>
      </c>
      <c r="E1161" s="2">
        <f t="shared" si="39"/>
        <v>0</v>
      </c>
      <c r="F1161" s="11">
        <v>0</v>
      </c>
      <c r="G1161" s="14" t="e">
        <f t="shared" si="38"/>
        <v>#DIV/0!</v>
      </c>
    </row>
    <row r="1162" spans="1:7">
      <c r="A1162" s="1">
        <v>13</v>
      </c>
      <c r="B1162" s="1" t="s">
        <v>123</v>
      </c>
      <c r="C1162" s="11">
        <v>0</v>
      </c>
      <c r="D1162" s="11">
        <v>0</v>
      </c>
      <c r="E1162" s="2">
        <f t="shared" si="39"/>
        <v>0</v>
      </c>
      <c r="F1162" s="11">
        <v>0</v>
      </c>
      <c r="G1162" s="14" t="e">
        <f t="shared" si="38"/>
        <v>#DIV/0!</v>
      </c>
    </row>
    <row r="1163" spans="1:7">
      <c r="A1163" s="1">
        <v>14</v>
      </c>
      <c r="B1163" s="1" t="s">
        <v>123</v>
      </c>
      <c r="C1163" s="11">
        <v>22.21</v>
      </c>
      <c r="D1163" s="11">
        <v>21.85</v>
      </c>
      <c r="E1163" s="2">
        <f t="shared" si="39"/>
        <v>0.35999999999999943</v>
      </c>
      <c r="F1163" s="11">
        <v>0.125</v>
      </c>
      <c r="G1163" s="14">
        <f t="shared" si="38"/>
        <v>2.1837010355695605E-2</v>
      </c>
    </row>
    <row r="1164" spans="1:7">
      <c r="A1164" s="1">
        <v>15</v>
      </c>
      <c r="B1164" s="1" t="s">
        <v>123</v>
      </c>
      <c r="C1164" s="11">
        <v>0</v>
      </c>
      <c r="D1164" s="11">
        <v>0</v>
      </c>
      <c r="E1164" s="2">
        <f t="shared" si="39"/>
        <v>0</v>
      </c>
      <c r="F1164" s="11">
        <v>0.1</v>
      </c>
      <c r="G1164" s="14" t="e">
        <f t="shared" si="38"/>
        <v>#DIV/0!</v>
      </c>
    </row>
    <row r="1165" spans="1:7">
      <c r="A1165" s="1">
        <v>16</v>
      </c>
      <c r="B1165" s="1" t="s">
        <v>123</v>
      </c>
      <c r="C1165" s="11">
        <v>0</v>
      </c>
      <c r="D1165" s="11">
        <v>0</v>
      </c>
      <c r="E1165" s="2">
        <f t="shared" si="39"/>
        <v>0</v>
      </c>
      <c r="F1165" s="11">
        <v>0.16</v>
      </c>
      <c r="G1165" s="14" t="e">
        <f t="shared" si="38"/>
        <v>#DIV/0!</v>
      </c>
    </row>
    <row r="1166" spans="1:7">
      <c r="A1166" s="1">
        <v>17</v>
      </c>
      <c r="B1166" s="1" t="s">
        <v>123</v>
      </c>
      <c r="C1166" s="11">
        <v>28.23</v>
      </c>
      <c r="D1166" s="11">
        <v>27.82</v>
      </c>
      <c r="E1166" s="2">
        <f t="shared" si="39"/>
        <v>0.41000000000000014</v>
      </c>
      <c r="F1166" s="11">
        <v>0.157</v>
      </c>
      <c r="G1166" s="14">
        <f t="shared" si="38"/>
        <v>2.0085015940488848E-2</v>
      </c>
    </row>
    <row r="1167" spans="1:7">
      <c r="A1167" s="1">
        <v>18</v>
      </c>
      <c r="B1167" s="1" t="s">
        <v>123</v>
      </c>
      <c r="C1167" s="11">
        <v>0</v>
      </c>
      <c r="D1167" s="11">
        <v>0</v>
      </c>
      <c r="E1167" s="2">
        <f t="shared" si="39"/>
        <v>0</v>
      </c>
      <c r="F1167" s="11">
        <v>0.14799999999999999</v>
      </c>
      <c r="G1167" s="14" t="e">
        <f t="shared" si="38"/>
        <v>#DIV/0!</v>
      </c>
    </row>
    <row r="1168" spans="1:7">
      <c r="A1168" s="1">
        <v>19</v>
      </c>
      <c r="B1168" s="1" t="s">
        <v>123</v>
      </c>
      <c r="C1168" s="11">
        <v>0</v>
      </c>
      <c r="D1168" s="11">
        <v>0</v>
      </c>
      <c r="E1168" s="2">
        <f t="shared" si="39"/>
        <v>0</v>
      </c>
      <c r="F1168" s="11">
        <v>0.105</v>
      </c>
      <c r="G1168" s="14" t="e">
        <f t="shared" si="38"/>
        <v>#DIV/0!</v>
      </c>
    </row>
    <row r="1169" spans="1:7">
      <c r="A1169" s="1">
        <v>20</v>
      </c>
      <c r="B1169" s="1" t="s">
        <v>123</v>
      </c>
      <c r="C1169" s="11">
        <v>0</v>
      </c>
      <c r="D1169" s="11">
        <v>0</v>
      </c>
      <c r="E1169" s="2">
        <f t="shared" si="39"/>
        <v>0</v>
      </c>
      <c r="F1169" s="11">
        <v>0.1</v>
      </c>
      <c r="G1169" s="14" t="e">
        <f t="shared" si="38"/>
        <v>#DIV/0!</v>
      </c>
    </row>
    <row r="1170" spans="1:7">
      <c r="A1170" s="1">
        <v>21</v>
      </c>
      <c r="B1170" s="1" t="s">
        <v>123</v>
      </c>
      <c r="C1170" s="11">
        <v>21.14</v>
      </c>
      <c r="D1170" s="11">
        <v>20.55</v>
      </c>
      <c r="E1170" s="2">
        <f t="shared" si="39"/>
        <v>0.58999999999999986</v>
      </c>
      <c r="F1170" s="11">
        <v>0.14000000000000001</v>
      </c>
      <c r="G1170" s="14">
        <f t="shared" si="38"/>
        <v>3.4531693472090813E-2</v>
      </c>
    </row>
    <row r="1171" spans="1:7">
      <c r="A1171" s="1">
        <v>22</v>
      </c>
      <c r="B1171" s="1" t="s">
        <v>123</v>
      </c>
      <c r="C1171" s="11">
        <v>24.19</v>
      </c>
      <c r="D1171" s="11">
        <v>23.55</v>
      </c>
      <c r="E1171" s="2">
        <f t="shared" si="39"/>
        <v>0.64000000000000057</v>
      </c>
      <c r="F1171" s="11">
        <v>0.153</v>
      </c>
      <c r="G1171" s="14">
        <f t="shared" si="38"/>
        <v>3.2782141380735867E-2</v>
      </c>
    </row>
    <row r="1172" spans="1:7">
      <c r="A1172" s="1">
        <v>23</v>
      </c>
      <c r="B1172" s="1" t="s">
        <v>123</v>
      </c>
      <c r="C1172" s="11">
        <v>0</v>
      </c>
      <c r="D1172" s="11">
        <v>0</v>
      </c>
      <c r="E1172" s="2">
        <f t="shared" si="39"/>
        <v>0</v>
      </c>
      <c r="F1172" s="11">
        <v>0.105</v>
      </c>
      <c r="G1172" s="3" t="e">
        <f t="shared" si="38"/>
        <v>#DIV/0!</v>
      </c>
    </row>
    <row r="1173" spans="1:7">
      <c r="A1173" s="1">
        <v>24</v>
      </c>
      <c r="B1173" s="1" t="s">
        <v>123</v>
      </c>
      <c r="C1173" s="11">
        <v>0</v>
      </c>
      <c r="D1173" s="11">
        <v>0</v>
      </c>
      <c r="E1173" s="2">
        <f t="shared" si="39"/>
        <v>0</v>
      </c>
      <c r="F1173" s="11">
        <v>0.16</v>
      </c>
      <c r="G1173" s="3" t="e">
        <f t="shared" si="38"/>
        <v>#DIV/0!</v>
      </c>
    </row>
    <row r="1174" spans="1:7">
      <c r="A1174" s="1">
        <v>25</v>
      </c>
      <c r="B1174" s="1" t="s">
        <v>123</v>
      </c>
      <c r="C1174" s="11">
        <v>0</v>
      </c>
      <c r="D1174" s="11">
        <v>0</v>
      </c>
      <c r="E1174" s="2">
        <f t="shared" si="39"/>
        <v>0</v>
      </c>
      <c r="F1174" s="11">
        <v>0.13500000000000001</v>
      </c>
      <c r="G1174" s="3" t="e">
        <f t="shared" si="38"/>
        <v>#DIV/0!</v>
      </c>
    </row>
    <row r="1175" spans="1:7">
      <c r="A1175" s="1">
        <v>26</v>
      </c>
      <c r="B1175" s="1" t="s">
        <v>123</v>
      </c>
      <c r="C1175" s="11">
        <v>21.21</v>
      </c>
      <c r="D1175" s="11">
        <v>20.82</v>
      </c>
      <c r="E1175" s="2">
        <f t="shared" si="39"/>
        <v>0.39000000000000057</v>
      </c>
      <c r="F1175" s="11">
        <v>0.12</v>
      </c>
      <c r="G1175" s="14">
        <f t="shared" si="38"/>
        <v>2.4045261669024071E-2</v>
      </c>
    </row>
    <row r="1176" spans="1:7">
      <c r="A1176" s="1">
        <v>27</v>
      </c>
      <c r="B1176" s="1" t="s">
        <v>123</v>
      </c>
      <c r="C1176" s="11">
        <v>0</v>
      </c>
      <c r="D1176" s="11">
        <v>0</v>
      </c>
      <c r="E1176" s="2">
        <f t="shared" si="39"/>
        <v>0</v>
      </c>
      <c r="F1176" s="11">
        <v>0.115</v>
      </c>
      <c r="G1176" s="14" t="e">
        <f t="shared" si="38"/>
        <v>#DIV/0!</v>
      </c>
    </row>
    <row r="1177" spans="1:7">
      <c r="A1177" s="1">
        <v>28</v>
      </c>
      <c r="B1177" s="1" t="s">
        <v>123</v>
      </c>
      <c r="C1177" s="11">
        <v>20.18</v>
      </c>
      <c r="D1177" s="11">
        <v>19.87</v>
      </c>
      <c r="E1177" s="2">
        <f t="shared" si="39"/>
        <v>0.30999999999999872</v>
      </c>
      <c r="F1177" s="11">
        <v>0.11</v>
      </c>
      <c r="G1177" s="14">
        <f t="shared" si="38"/>
        <v>2.0812685827551969E-2</v>
      </c>
    </row>
    <row r="1178" spans="1:7">
      <c r="A1178" s="1">
        <v>29</v>
      </c>
      <c r="B1178" s="1" t="s">
        <v>123</v>
      </c>
      <c r="C1178" s="11">
        <v>0</v>
      </c>
      <c r="D1178" s="11">
        <v>0</v>
      </c>
      <c r="E1178" s="2">
        <f t="shared" si="39"/>
        <v>0</v>
      </c>
      <c r="F1178" s="11">
        <v>0.13</v>
      </c>
      <c r="G1178" s="14" t="e">
        <f t="shared" si="38"/>
        <v>#DIV/0!</v>
      </c>
    </row>
    <row r="1179" spans="1:7">
      <c r="A1179" s="1">
        <v>30</v>
      </c>
      <c r="B1179" s="1" t="s">
        <v>123</v>
      </c>
      <c r="C1179" s="11">
        <v>0</v>
      </c>
      <c r="D1179" s="11">
        <v>0</v>
      </c>
      <c r="E1179" s="2">
        <f t="shared" si="39"/>
        <v>0</v>
      </c>
      <c r="F1179" s="11">
        <v>0.14499999999999999</v>
      </c>
      <c r="G1179" s="14" t="e">
        <f t="shared" si="38"/>
        <v>#DIV/0!</v>
      </c>
    </row>
    <row r="1180" spans="1:7">
      <c r="A1180" s="1">
        <v>31</v>
      </c>
      <c r="B1180" s="1" t="s">
        <v>123</v>
      </c>
      <c r="C1180" s="11">
        <v>24.32</v>
      </c>
      <c r="D1180" s="11">
        <v>23.53</v>
      </c>
      <c r="E1180" s="2">
        <f t="shared" si="39"/>
        <v>0.78999999999999915</v>
      </c>
      <c r="F1180" s="11">
        <v>0.12</v>
      </c>
      <c r="G1180" s="14">
        <f t="shared" si="38"/>
        <v>3.7417763157894704E-2</v>
      </c>
    </row>
    <row r="1181" spans="1:7">
      <c r="A1181" s="1">
        <v>1</v>
      </c>
      <c r="B1181" s="1" t="s">
        <v>124</v>
      </c>
      <c r="C1181" s="11">
        <v>0</v>
      </c>
      <c r="D1181" s="11">
        <v>0</v>
      </c>
      <c r="E1181" s="2">
        <f t="shared" si="39"/>
        <v>0</v>
      </c>
      <c r="F1181" s="11">
        <v>0</v>
      </c>
      <c r="G1181" s="14" t="e">
        <f t="shared" si="38"/>
        <v>#DIV/0!</v>
      </c>
    </row>
    <row r="1182" spans="1:7">
      <c r="A1182" s="1">
        <v>2</v>
      </c>
      <c r="B1182" s="1" t="s">
        <v>124</v>
      </c>
      <c r="C1182" s="11">
        <v>24.981999999999999</v>
      </c>
      <c r="D1182" s="11">
        <v>23.33</v>
      </c>
      <c r="E1182" s="2">
        <f t="shared" si="39"/>
        <v>1.652000000000001</v>
      </c>
      <c r="F1182" s="11">
        <v>4.9999999999990052E-3</v>
      </c>
      <c r="G1182" s="14">
        <f t="shared" si="38"/>
        <v>6.6327755984308706E-2</v>
      </c>
    </row>
    <row r="1183" spans="1:7">
      <c r="A1183" s="1">
        <v>3</v>
      </c>
      <c r="B1183" s="1" t="s">
        <v>124</v>
      </c>
      <c r="C1183" s="11">
        <v>0</v>
      </c>
      <c r="D1183" s="11">
        <v>0</v>
      </c>
      <c r="E1183" s="2">
        <f t="shared" si="39"/>
        <v>0</v>
      </c>
      <c r="F1183" s="11">
        <v>4.9000000000000002E-2</v>
      </c>
      <c r="G1183" s="14" t="e">
        <f t="shared" ref="G1183:G1213" si="40">(E1183+F1183)/C1183</f>
        <v>#DIV/0!</v>
      </c>
    </row>
    <row r="1184" spans="1:7">
      <c r="A1184" s="1">
        <v>4</v>
      </c>
      <c r="B1184" s="1" t="s">
        <v>124</v>
      </c>
      <c r="C1184" s="11">
        <v>0</v>
      </c>
      <c r="D1184" s="11">
        <v>0</v>
      </c>
      <c r="E1184" s="2">
        <f t="shared" si="39"/>
        <v>0</v>
      </c>
      <c r="F1184" s="11">
        <v>0.23200000000000001</v>
      </c>
      <c r="G1184" s="14" t="e">
        <f t="shared" si="40"/>
        <v>#DIV/0!</v>
      </c>
    </row>
    <row r="1185" spans="1:7">
      <c r="A1185" s="1">
        <v>5</v>
      </c>
      <c r="B1185" s="1" t="s">
        <v>124</v>
      </c>
      <c r="C1185" s="11">
        <v>0</v>
      </c>
      <c r="D1185" s="11">
        <v>0</v>
      </c>
      <c r="E1185" s="2">
        <f t="shared" si="39"/>
        <v>0</v>
      </c>
      <c r="F1185" s="11">
        <v>4.0000000000000001E-3</v>
      </c>
      <c r="G1185" s="14" t="e">
        <f t="shared" si="40"/>
        <v>#DIV/0!</v>
      </c>
    </row>
    <row r="1186" spans="1:7">
      <c r="A1186" s="1">
        <v>6</v>
      </c>
      <c r="B1186" s="1" t="s">
        <v>124</v>
      </c>
      <c r="C1186" s="11">
        <v>25.97</v>
      </c>
      <c r="D1186" s="11">
        <v>24.85</v>
      </c>
      <c r="E1186" s="2">
        <f t="shared" si="39"/>
        <v>1.1199999999999974</v>
      </c>
      <c r="F1186" s="11">
        <v>1.4999999999999999E-2</v>
      </c>
      <c r="G1186" s="14">
        <f t="shared" si="40"/>
        <v>4.3704274162495088E-2</v>
      </c>
    </row>
    <row r="1187" spans="1:7">
      <c r="A1187" s="1">
        <v>7</v>
      </c>
      <c r="B1187" s="1" t="s">
        <v>124</v>
      </c>
      <c r="C1187" s="11">
        <v>26.69</v>
      </c>
      <c r="D1187" s="11">
        <v>24.36</v>
      </c>
      <c r="E1187" s="2">
        <f t="shared" si="39"/>
        <v>2.3300000000000018</v>
      </c>
      <c r="F1187" s="11">
        <v>7.4999999999999289E-2</v>
      </c>
      <c r="G1187" s="14">
        <f t="shared" si="40"/>
        <v>9.0108654926938966E-2</v>
      </c>
    </row>
    <row r="1188" spans="1:7">
      <c r="A1188" s="1">
        <v>10</v>
      </c>
      <c r="B1188" s="1" t="s">
        <v>124</v>
      </c>
      <c r="C1188" s="11">
        <v>0</v>
      </c>
      <c r="D1188" s="11">
        <v>0</v>
      </c>
      <c r="E1188" s="2">
        <f t="shared" si="39"/>
        <v>0</v>
      </c>
      <c r="F1188" s="11">
        <v>0.13400000000000001</v>
      </c>
      <c r="G1188" s="14" t="e">
        <f t="shared" si="40"/>
        <v>#DIV/0!</v>
      </c>
    </row>
    <row r="1189" spans="1:7">
      <c r="A1189" s="1">
        <v>8</v>
      </c>
      <c r="B1189" s="1" t="s">
        <v>124</v>
      </c>
      <c r="C1189" s="11">
        <v>0</v>
      </c>
      <c r="D1189" s="11">
        <v>0</v>
      </c>
      <c r="E1189" s="2">
        <f t="shared" si="39"/>
        <v>0</v>
      </c>
      <c r="F1189" s="11">
        <v>3.5000000000000003E-2</v>
      </c>
      <c r="G1189" s="14" t="e">
        <f t="shared" si="40"/>
        <v>#DIV/0!</v>
      </c>
    </row>
    <row r="1190" spans="1:7">
      <c r="A1190" s="1">
        <v>9</v>
      </c>
      <c r="B1190" s="1" t="s">
        <v>124</v>
      </c>
      <c r="C1190" s="11">
        <v>0</v>
      </c>
      <c r="D1190" s="11">
        <v>0</v>
      </c>
      <c r="E1190" s="2">
        <f t="shared" si="39"/>
        <v>0</v>
      </c>
      <c r="F1190" s="11">
        <v>0.14899999999999999</v>
      </c>
      <c r="G1190" s="14" t="e">
        <f t="shared" si="40"/>
        <v>#DIV/0!</v>
      </c>
    </row>
    <row r="1191" spans="1:7">
      <c r="A1191" s="1">
        <v>11</v>
      </c>
      <c r="B1191" s="1" t="s">
        <v>124</v>
      </c>
      <c r="C1191" s="11">
        <v>0</v>
      </c>
      <c r="D1191" s="11">
        <v>0</v>
      </c>
      <c r="E1191" s="2">
        <f t="shared" si="39"/>
        <v>0</v>
      </c>
      <c r="F1191" s="11">
        <v>0.13000000000000256</v>
      </c>
      <c r="G1191" s="14" t="e">
        <f t="shared" si="40"/>
        <v>#DIV/0!</v>
      </c>
    </row>
    <row r="1192" spans="1:7">
      <c r="A1192" s="1">
        <v>12</v>
      </c>
      <c r="B1192" s="1" t="s">
        <v>124</v>
      </c>
      <c r="C1192" s="11">
        <v>0</v>
      </c>
      <c r="D1192" s="11">
        <v>0</v>
      </c>
      <c r="E1192" s="2">
        <f t="shared" si="39"/>
        <v>0</v>
      </c>
      <c r="F1192" s="98">
        <v>0.14499999999999957</v>
      </c>
      <c r="G1192" s="14" t="e">
        <f t="shared" si="40"/>
        <v>#DIV/0!</v>
      </c>
    </row>
    <row r="1193" spans="1:7">
      <c r="A1193" s="1">
        <v>13</v>
      </c>
      <c r="B1193" s="1" t="s">
        <v>124</v>
      </c>
      <c r="C1193" s="11">
        <v>0</v>
      </c>
      <c r="D1193" s="11">
        <v>0</v>
      </c>
      <c r="E1193" s="2">
        <f t="shared" si="39"/>
        <v>0</v>
      </c>
      <c r="F1193" s="11">
        <v>4.8000000000000001E-2</v>
      </c>
      <c r="G1193" s="14" t="e">
        <f t="shared" si="40"/>
        <v>#DIV/0!</v>
      </c>
    </row>
    <row r="1194" spans="1:7">
      <c r="A1194" s="1">
        <v>14</v>
      </c>
      <c r="B1194" s="1" t="s">
        <v>124</v>
      </c>
      <c r="C1194" s="11">
        <v>0</v>
      </c>
      <c r="D1194" s="11">
        <v>0</v>
      </c>
      <c r="E1194" s="2">
        <f t="shared" si="39"/>
        <v>0</v>
      </c>
      <c r="F1194" s="11">
        <v>3.6999999999999998E-2</v>
      </c>
      <c r="G1194" s="14" t="e">
        <f t="shared" si="40"/>
        <v>#DIV/0!</v>
      </c>
    </row>
    <row r="1195" spans="1:7">
      <c r="A1195" s="1">
        <v>15</v>
      </c>
      <c r="B1195" s="1" t="s">
        <v>124</v>
      </c>
      <c r="C1195" s="11">
        <v>0</v>
      </c>
      <c r="D1195" s="11">
        <v>0</v>
      </c>
      <c r="E1195" s="2">
        <f t="shared" si="39"/>
        <v>0</v>
      </c>
      <c r="F1195" s="11">
        <v>7.6999999999999999E-2</v>
      </c>
      <c r="G1195" s="14" t="e">
        <f t="shared" si="40"/>
        <v>#DIV/0!</v>
      </c>
    </row>
    <row r="1196" spans="1:7">
      <c r="A1196" s="1">
        <v>16</v>
      </c>
      <c r="B1196" s="1" t="s">
        <v>124</v>
      </c>
      <c r="C1196" s="11">
        <v>0</v>
      </c>
      <c r="D1196" s="11">
        <v>0</v>
      </c>
      <c r="E1196" s="2">
        <f t="shared" si="39"/>
        <v>0</v>
      </c>
      <c r="F1196" s="11">
        <v>0</v>
      </c>
      <c r="G1196" s="14" t="e">
        <f t="shared" si="40"/>
        <v>#DIV/0!</v>
      </c>
    </row>
    <row r="1197" spans="1:7">
      <c r="A1197" s="1">
        <v>17</v>
      </c>
      <c r="B1197" s="1" t="s">
        <v>124</v>
      </c>
      <c r="C1197" s="11">
        <v>0</v>
      </c>
      <c r="D1197" s="11">
        <v>0</v>
      </c>
      <c r="E1197" s="2">
        <f t="shared" si="39"/>
        <v>0</v>
      </c>
      <c r="F1197" s="11">
        <v>0.03</v>
      </c>
      <c r="G1197" s="14" t="e">
        <f t="shared" si="40"/>
        <v>#DIV/0!</v>
      </c>
    </row>
    <row r="1198" spans="1:7">
      <c r="A1198" s="1">
        <v>18</v>
      </c>
      <c r="B1198" s="1" t="s">
        <v>124</v>
      </c>
      <c r="C1198" s="11">
        <v>11.89</v>
      </c>
      <c r="D1198" s="11">
        <v>11.85</v>
      </c>
      <c r="E1198" s="2">
        <v>4.0000000000000924E-2</v>
      </c>
      <c r="F1198" s="11">
        <v>4.9000000000000002E-2</v>
      </c>
      <c r="G1198" s="14">
        <f t="shared" si="40"/>
        <v>7.4852817493692957E-3</v>
      </c>
    </row>
    <row r="1199" spans="1:7">
      <c r="A1199" s="1">
        <v>19</v>
      </c>
      <c r="B1199" s="1" t="s">
        <v>124</v>
      </c>
      <c r="C1199" s="11">
        <v>14.11</v>
      </c>
      <c r="D1199" s="11">
        <v>14.07</v>
      </c>
      <c r="E1199" s="2">
        <f t="shared" si="39"/>
        <v>3.9999999999999147E-2</v>
      </c>
      <c r="F1199" s="11">
        <v>0.20899999999999999</v>
      </c>
      <c r="G1199" s="14">
        <f t="shared" si="40"/>
        <v>1.7647058823529353E-2</v>
      </c>
    </row>
    <row r="1200" spans="1:7">
      <c r="A1200" s="1">
        <v>20</v>
      </c>
      <c r="B1200" s="1" t="s">
        <v>124</v>
      </c>
      <c r="C1200" s="11">
        <v>12.36</v>
      </c>
      <c r="D1200" s="11">
        <v>12.31</v>
      </c>
      <c r="E1200" s="2">
        <f t="shared" si="39"/>
        <v>4.9999999999998934E-2</v>
      </c>
      <c r="F1200" s="11">
        <v>0.155</v>
      </c>
      <c r="G1200" s="14">
        <f t="shared" si="40"/>
        <v>1.6585760517799267E-2</v>
      </c>
    </row>
    <row r="1201" spans="1:7">
      <c r="A1201" s="1">
        <v>21</v>
      </c>
      <c r="B1201" s="1" t="s">
        <v>124</v>
      </c>
      <c r="C1201" s="11">
        <v>0</v>
      </c>
      <c r="D1201" s="11">
        <v>0</v>
      </c>
      <c r="E1201" s="2">
        <f t="shared" si="39"/>
        <v>0</v>
      </c>
      <c r="F1201" s="11">
        <v>3.1E-2</v>
      </c>
      <c r="G1201" s="14" t="e">
        <f t="shared" si="40"/>
        <v>#DIV/0!</v>
      </c>
    </row>
    <row r="1202" spans="1:7">
      <c r="A1202" s="1">
        <v>22</v>
      </c>
      <c r="B1202" s="1" t="s">
        <v>124</v>
      </c>
      <c r="C1202" s="11">
        <v>20.81</v>
      </c>
      <c r="D1202" s="11">
        <v>20.74</v>
      </c>
      <c r="E1202" s="2">
        <f t="shared" si="39"/>
        <v>7.0000000000000284E-2</v>
      </c>
      <c r="F1202" s="11">
        <v>0.06</v>
      </c>
      <c r="G1202" s="14">
        <f t="shared" si="40"/>
        <v>6.2469966362325947E-3</v>
      </c>
    </row>
    <row r="1203" spans="1:7">
      <c r="A1203" s="1">
        <v>23</v>
      </c>
      <c r="B1203" s="1" t="s">
        <v>124</v>
      </c>
      <c r="C1203" s="11">
        <v>0</v>
      </c>
      <c r="D1203" s="11">
        <v>0</v>
      </c>
      <c r="E1203" s="2">
        <f t="shared" si="39"/>
        <v>0</v>
      </c>
      <c r="F1203" s="11">
        <v>0.09</v>
      </c>
      <c r="G1203" s="3" t="e">
        <f t="shared" si="40"/>
        <v>#DIV/0!</v>
      </c>
    </row>
    <row r="1204" spans="1:7">
      <c r="A1204" s="1">
        <v>24</v>
      </c>
      <c r="B1204" s="1" t="s">
        <v>124</v>
      </c>
      <c r="C1204" s="11">
        <v>0</v>
      </c>
      <c r="D1204" s="11">
        <v>0</v>
      </c>
      <c r="E1204" s="2">
        <f t="shared" si="39"/>
        <v>0</v>
      </c>
      <c r="F1204" s="11">
        <v>0.04</v>
      </c>
      <c r="G1204" s="3" t="e">
        <f t="shared" si="40"/>
        <v>#DIV/0!</v>
      </c>
    </row>
    <row r="1205" spans="1:7">
      <c r="A1205" s="1">
        <v>25</v>
      </c>
      <c r="B1205" s="1" t="s">
        <v>124</v>
      </c>
      <c r="C1205" s="11">
        <v>0</v>
      </c>
      <c r="D1205" s="11">
        <v>0</v>
      </c>
      <c r="E1205" s="2">
        <f t="shared" si="39"/>
        <v>0</v>
      </c>
      <c r="F1205" s="11">
        <v>7.9000000000000001E-2</v>
      </c>
      <c r="G1205" s="3" t="e">
        <f t="shared" si="40"/>
        <v>#DIV/0!</v>
      </c>
    </row>
    <row r="1206" spans="1:7">
      <c r="A1206" s="1">
        <v>26</v>
      </c>
      <c r="B1206" s="1" t="s">
        <v>124</v>
      </c>
      <c r="C1206" s="11">
        <v>24.39</v>
      </c>
      <c r="D1206" s="11">
        <v>24.3</v>
      </c>
      <c r="E1206" s="2">
        <f t="shared" si="39"/>
        <v>8.9999999999999858E-2</v>
      </c>
      <c r="F1206" s="11">
        <v>0.3</v>
      </c>
      <c r="G1206" s="14">
        <f t="shared" si="40"/>
        <v>1.5990159901599011E-2</v>
      </c>
    </row>
    <row r="1207" spans="1:7">
      <c r="A1207" s="1">
        <v>27</v>
      </c>
      <c r="B1207" s="1" t="s">
        <v>124</v>
      </c>
      <c r="C1207" s="11">
        <v>0</v>
      </c>
      <c r="D1207" s="11">
        <v>0</v>
      </c>
      <c r="E1207" s="2">
        <f t="shared" si="39"/>
        <v>0</v>
      </c>
      <c r="F1207" s="11">
        <v>0</v>
      </c>
      <c r="G1207" s="14" t="e">
        <f t="shared" si="40"/>
        <v>#DIV/0!</v>
      </c>
    </row>
    <row r="1208" spans="1:7">
      <c r="A1208" s="1">
        <v>28</v>
      </c>
      <c r="B1208" s="1" t="s">
        <v>124</v>
      </c>
      <c r="C1208" s="11">
        <v>0</v>
      </c>
      <c r="D1208" s="11">
        <v>0</v>
      </c>
      <c r="E1208" s="2">
        <f t="shared" si="39"/>
        <v>0</v>
      </c>
      <c r="F1208" s="11">
        <v>5.5E-2</v>
      </c>
      <c r="G1208" s="14" t="e">
        <f t="shared" si="40"/>
        <v>#DIV/0!</v>
      </c>
    </row>
    <row r="1209" spans="1:7">
      <c r="A1209" s="1">
        <v>29</v>
      </c>
      <c r="B1209" s="1" t="s">
        <v>124</v>
      </c>
      <c r="C1209" s="11">
        <v>0</v>
      </c>
      <c r="D1209" s="11">
        <v>0</v>
      </c>
      <c r="E1209" s="2">
        <f t="shared" si="39"/>
        <v>0</v>
      </c>
      <c r="F1209" s="11">
        <v>5.0000000000000001E-3</v>
      </c>
      <c r="G1209" s="14" t="e">
        <f t="shared" si="40"/>
        <v>#DIV/0!</v>
      </c>
    </row>
    <row r="1210" spans="1:7">
      <c r="A1210" s="1">
        <v>30</v>
      </c>
      <c r="B1210" s="1" t="s">
        <v>124</v>
      </c>
      <c r="C1210" s="11">
        <v>0</v>
      </c>
      <c r="D1210" s="11">
        <v>0</v>
      </c>
      <c r="E1210" s="2">
        <f t="shared" si="39"/>
        <v>0</v>
      </c>
      <c r="F1210" s="11">
        <v>0</v>
      </c>
      <c r="G1210" s="14" t="e">
        <f t="shared" si="40"/>
        <v>#DIV/0!</v>
      </c>
    </row>
    <row r="1211" spans="1:7">
      <c r="A1211" s="1">
        <v>31</v>
      </c>
      <c r="B1211" s="1" t="s">
        <v>124</v>
      </c>
      <c r="C1211" s="11">
        <v>0</v>
      </c>
      <c r="D1211" s="11">
        <v>0</v>
      </c>
      <c r="E1211" s="2">
        <f t="shared" si="39"/>
        <v>0</v>
      </c>
      <c r="F1211" s="11">
        <v>7.4999999999999997E-2</v>
      </c>
      <c r="G1211" s="14" t="e">
        <f t="shared" si="40"/>
        <v>#DIV/0!</v>
      </c>
    </row>
    <row r="1212" spans="1:7">
      <c r="A1212" s="1">
        <v>1</v>
      </c>
      <c r="B1212" s="1" t="s">
        <v>125</v>
      </c>
      <c r="C1212" s="11">
        <v>0</v>
      </c>
      <c r="D1212" s="11">
        <v>0</v>
      </c>
      <c r="E1212" s="2">
        <f t="shared" ref="E1212" si="41">C1212-D1212</f>
        <v>0</v>
      </c>
      <c r="F1212" s="11">
        <v>0</v>
      </c>
      <c r="G1212" s="14" t="e">
        <f t="shared" si="40"/>
        <v>#DIV/0!</v>
      </c>
    </row>
    <row r="1213" spans="1:7">
      <c r="A1213" s="1">
        <v>2</v>
      </c>
      <c r="B1213" s="1" t="s">
        <v>125</v>
      </c>
      <c r="C1213" s="11">
        <v>0</v>
      </c>
      <c r="D1213" s="11">
        <v>0</v>
      </c>
      <c r="E1213" s="2">
        <f t="shared" ref="E1213:E1369" si="42">C1213-D1213</f>
        <v>0</v>
      </c>
      <c r="F1213" s="11">
        <v>0</v>
      </c>
      <c r="G1213" s="14" t="e">
        <f t="shared" si="40"/>
        <v>#DIV/0!</v>
      </c>
    </row>
    <row r="1214" spans="1:7">
      <c r="A1214" s="1">
        <v>3</v>
      </c>
      <c r="B1214" s="1" t="s">
        <v>125</v>
      </c>
      <c r="C1214" s="11">
        <v>51.22</v>
      </c>
      <c r="D1214" s="11">
        <v>48.71</v>
      </c>
      <c r="E1214" s="2">
        <f t="shared" si="42"/>
        <v>2.509999999999998</v>
      </c>
      <c r="F1214" s="11">
        <v>8.6999999999999994E-2</v>
      </c>
      <c r="G1214" s="14">
        <f t="shared" ref="G1214:G1370" si="43">(E1214+F1214)/C1214</f>
        <v>5.070285044904331E-2</v>
      </c>
    </row>
    <row r="1215" spans="1:7">
      <c r="A1215" s="1">
        <v>4</v>
      </c>
      <c r="B1215" s="1" t="s">
        <v>125</v>
      </c>
      <c r="C1215" s="11">
        <v>0</v>
      </c>
      <c r="D1215" s="11">
        <v>0</v>
      </c>
      <c r="E1215" s="2">
        <f t="shared" si="42"/>
        <v>0</v>
      </c>
      <c r="F1215" s="11">
        <v>2.5000000000000001E-2</v>
      </c>
      <c r="G1215" s="14" t="e">
        <f t="shared" si="43"/>
        <v>#DIV/0!</v>
      </c>
    </row>
    <row r="1216" spans="1:7">
      <c r="A1216" s="1">
        <v>5</v>
      </c>
      <c r="B1216" s="1" t="s">
        <v>125</v>
      </c>
      <c r="C1216" s="11">
        <v>0</v>
      </c>
      <c r="D1216" s="11">
        <v>0</v>
      </c>
      <c r="E1216" s="2">
        <f t="shared" si="42"/>
        <v>0</v>
      </c>
      <c r="F1216" s="11">
        <v>0</v>
      </c>
      <c r="G1216" s="14" t="e">
        <f t="shared" si="43"/>
        <v>#DIV/0!</v>
      </c>
    </row>
    <row r="1217" spans="1:7">
      <c r="A1217" s="1">
        <v>6</v>
      </c>
      <c r="B1217" s="1" t="s">
        <v>125</v>
      </c>
      <c r="C1217" s="11">
        <v>0</v>
      </c>
      <c r="D1217" s="11">
        <v>0</v>
      </c>
      <c r="E1217" s="2">
        <f t="shared" si="42"/>
        <v>0</v>
      </c>
      <c r="F1217" s="11">
        <v>0</v>
      </c>
      <c r="G1217" s="14" t="e">
        <f t="shared" si="43"/>
        <v>#DIV/0!</v>
      </c>
    </row>
    <row r="1218" spans="1:7">
      <c r="A1218" s="1">
        <v>7</v>
      </c>
      <c r="B1218" s="1" t="s">
        <v>125</v>
      </c>
      <c r="C1218" s="11">
        <v>0</v>
      </c>
      <c r="D1218" s="11">
        <v>0</v>
      </c>
      <c r="E1218" s="2">
        <f t="shared" si="42"/>
        <v>0</v>
      </c>
      <c r="F1218" s="11">
        <v>1.4999999999999999E-2</v>
      </c>
      <c r="G1218" s="14" t="e">
        <f t="shared" si="43"/>
        <v>#DIV/0!</v>
      </c>
    </row>
    <row r="1219" spans="1:7">
      <c r="A1219" s="1">
        <v>10</v>
      </c>
      <c r="B1219" s="1" t="s">
        <v>125</v>
      </c>
      <c r="C1219" s="11">
        <v>22.28</v>
      </c>
      <c r="D1219" s="11">
        <v>21.1</v>
      </c>
      <c r="E1219" s="2">
        <f t="shared" si="42"/>
        <v>1.1799999999999997</v>
      </c>
      <c r="F1219" s="11">
        <v>8.5000000000000006E-2</v>
      </c>
      <c r="G1219" s="14">
        <f t="shared" si="43"/>
        <v>5.677737881508077E-2</v>
      </c>
    </row>
    <row r="1220" spans="1:7">
      <c r="A1220" s="1">
        <v>8</v>
      </c>
      <c r="B1220" s="1" t="s">
        <v>125</v>
      </c>
      <c r="C1220" s="11">
        <v>22.92</v>
      </c>
      <c r="D1220" s="11">
        <v>22.82</v>
      </c>
      <c r="E1220" s="2">
        <f t="shared" si="42"/>
        <v>0.10000000000000142</v>
      </c>
      <c r="F1220" s="11">
        <v>1.4999999999999999E-2</v>
      </c>
      <c r="G1220" s="14">
        <f t="shared" si="43"/>
        <v>5.0174520069808642E-3</v>
      </c>
    </row>
    <row r="1221" spans="1:7">
      <c r="A1221" s="1">
        <v>9</v>
      </c>
      <c r="B1221" s="1" t="s">
        <v>125</v>
      </c>
      <c r="C1221" s="11">
        <v>0</v>
      </c>
      <c r="D1221" s="11">
        <v>0</v>
      </c>
      <c r="E1221" s="2">
        <f t="shared" si="42"/>
        <v>0</v>
      </c>
      <c r="F1221" s="11">
        <v>3.5000000000000003E-2</v>
      </c>
      <c r="G1221" s="14" t="e">
        <f t="shared" si="43"/>
        <v>#DIV/0!</v>
      </c>
    </row>
    <row r="1222" spans="1:7">
      <c r="A1222" s="1">
        <v>11</v>
      </c>
      <c r="B1222" s="1" t="s">
        <v>125</v>
      </c>
      <c r="C1222" s="11">
        <v>0</v>
      </c>
      <c r="D1222" s="11">
        <v>0</v>
      </c>
      <c r="E1222" s="2">
        <f t="shared" si="42"/>
        <v>0</v>
      </c>
      <c r="F1222" s="11">
        <v>4.3999999999999997E-2</v>
      </c>
      <c r="G1222" s="14" t="e">
        <f t="shared" si="43"/>
        <v>#DIV/0!</v>
      </c>
    </row>
    <row r="1223" spans="1:7">
      <c r="A1223" s="1">
        <v>12</v>
      </c>
      <c r="B1223" s="1" t="s">
        <v>125</v>
      </c>
      <c r="C1223" s="11">
        <v>0</v>
      </c>
      <c r="D1223" s="11">
        <v>0</v>
      </c>
      <c r="E1223" s="2">
        <f t="shared" si="42"/>
        <v>0</v>
      </c>
      <c r="F1223" s="11">
        <v>4.5999999999999999E-2</v>
      </c>
      <c r="G1223" s="14" t="e">
        <f t="shared" si="43"/>
        <v>#DIV/0!</v>
      </c>
    </row>
    <row r="1224" spans="1:7">
      <c r="A1224" s="1">
        <v>13</v>
      </c>
      <c r="B1224" s="1" t="s">
        <v>125</v>
      </c>
      <c r="C1224" s="11">
        <v>24.97</v>
      </c>
      <c r="D1224" s="11">
        <v>23.74</v>
      </c>
      <c r="E1224" s="2">
        <f t="shared" si="42"/>
        <v>1.2300000000000004</v>
      </c>
      <c r="F1224" s="11">
        <v>0.13399999999999856</v>
      </c>
      <c r="G1224" s="14">
        <f t="shared" si="43"/>
        <v>5.4625550660792915E-2</v>
      </c>
    </row>
    <row r="1225" spans="1:7">
      <c r="A1225" s="1">
        <v>14</v>
      </c>
      <c r="B1225" s="1" t="s">
        <v>125</v>
      </c>
      <c r="C1225" s="11">
        <v>20.638000000000002</v>
      </c>
      <c r="D1225" s="11">
        <v>19.71</v>
      </c>
      <c r="E1225" s="2">
        <f t="shared" si="42"/>
        <v>0.92800000000000082</v>
      </c>
      <c r="F1225" s="11">
        <v>0</v>
      </c>
      <c r="G1225" s="14">
        <f t="shared" si="43"/>
        <v>4.4965597441612597E-2</v>
      </c>
    </row>
    <row r="1226" spans="1:7">
      <c r="A1226" s="1">
        <v>15</v>
      </c>
      <c r="B1226" s="1" t="s">
        <v>125</v>
      </c>
      <c r="C1226" s="11">
        <v>0</v>
      </c>
      <c r="D1226" s="11">
        <v>0</v>
      </c>
      <c r="E1226" s="2">
        <f t="shared" si="42"/>
        <v>0</v>
      </c>
      <c r="F1226" s="11">
        <v>1.4999999999999999E-2</v>
      </c>
      <c r="G1226" s="14" t="e">
        <f t="shared" si="43"/>
        <v>#DIV/0!</v>
      </c>
    </row>
    <row r="1227" spans="1:7">
      <c r="A1227" s="1">
        <v>16</v>
      </c>
      <c r="B1227" s="1" t="s">
        <v>125</v>
      </c>
      <c r="C1227" s="11">
        <v>16.838000000000001</v>
      </c>
      <c r="D1227" s="11">
        <v>16.09</v>
      </c>
      <c r="E1227" s="2">
        <f t="shared" si="42"/>
        <v>0.74800000000000111</v>
      </c>
      <c r="F1227" s="11">
        <v>9.6000000000000085E-2</v>
      </c>
      <c r="G1227" s="14">
        <f t="shared" si="43"/>
        <v>5.0124717899988187E-2</v>
      </c>
    </row>
    <row r="1228" spans="1:7">
      <c r="A1228" s="1">
        <v>17</v>
      </c>
      <c r="B1228" s="1" t="s">
        <v>125</v>
      </c>
      <c r="C1228" s="11">
        <v>0</v>
      </c>
      <c r="D1228" s="11">
        <v>0</v>
      </c>
      <c r="E1228" s="2">
        <f t="shared" si="42"/>
        <v>0</v>
      </c>
      <c r="F1228" s="11">
        <v>7.0999999999999994E-2</v>
      </c>
      <c r="G1228" s="14" t="e">
        <f t="shared" si="43"/>
        <v>#DIV/0!</v>
      </c>
    </row>
    <row r="1229" spans="1:7">
      <c r="A1229" s="1">
        <v>18</v>
      </c>
      <c r="B1229" s="1" t="s">
        <v>125</v>
      </c>
      <c r="C1229" s="11">
        <v>0</v>
      </c>
      <c r="D1229" s="11">
        <v>0</v>
      </c>
      <c r="E1229" s="2">
        <f t="shared" si="42"/>
        <v>0</v>
      </c>
      <c r="F1229" s="11">
        <v>1.0999999999999999E-2</v>
      </c>
      <c r="G1229" s="14" t="e">
        <f t="shared" si="43"/>
        <v>#DIV/0!</v>
      </c>
    </row>
    <row r="1230" spans="1:7">
      <c r="A1230" s="1">
        <v>19</v>
      </c>
      <c r="B1230" s="1" t="s">
        <v>125</v>
      </c>
      <c r="C1230" s="11">
        <v>51.5</v>
      </c>
      <c r="D1230" s="11">
        <v>49.03</v>
      </c>
      <c r="E1230" s="2">
        <f t="shared" si="42"/>
        <v>2.4699999999999989</v>
      </c>
      <c r="F1230" s="11">
        <v>4.2999999999999997E-2</v>
      </c>
      <c r="G1230" s="14">
        <f t="shared" si="43"/>
        <v>4.8796116504854346E-2</v>
      </c>
    </row>
    <row r="1231" spans="1:7">
      <c r="A1231" s="1">
        <v>20</v>
      </c>
      <c r="B1231" s="1" t="s">
        <v>125</v>
      </c>
      <c r="C1231" s="11">
        <v>0</v>
      </c>
      <c r="D1231" s="11">
        <v>0</v>
      </c>
      <c r="E1231" s="2">
        <f t="shared" si="42"/>
        <v>0</v>
      </c>
      <c r="F1231" s="11">
        <v>6.5000000000000002E-2</v>
      </c>
      <c r="G1231" s="14" t="e">
        <f t="shared" si="43"/>
        <v>#DIV/0!</v>
      </c>
    </row>
    <row r="1232" spans="1:7">
      <c r="A1232" s="1">
        <v>21</v>
      </c>
      <c r="B1232" s="1" t="s">
        <v>125</v>
      </c>
      <c r="C1232" s="11">
        <v>0</v>
      </c>
      <c r="D1232" s="11">
        <v>0</v>
      </c>
      <c r="E1232" s="2">
        <f t="shared" si="42"/>
        <v>0</v>
      </c>
      <c r="F1232" s="11">
        <v>0.41</v>
      </c>
      <c r="G1232" s="14" t="e">
        <f t="shared" si="43"/>
        <v>#DIV/0!</v>
      </c>
    </row>
    <row r="1233" spans="1:7">
      <c r="A1233" s="1">
        <v>22</v>
      </c>
      <c r="B1233" s="1" t="s">
        <v>125</v>
      </c>
      <c r="C1233" s="11">
        <v>20.88</v>
      </c>
      <c r="D1233" s="11">
        <v>19.91</v>
      </c>
      <c r="E1233" s="2">
        <f t="shared" si="42"/>
        <v>0.96999999999999886</v>
      </c>
      <c r="F1233" s="11">
        <v>0.214</v>
      </c>
      <c r="G1233" s="14">
        <f t="shared" si="43"/>
        <v>5.6704980842911826E-2</v>
      </c>
    </row>
    <row r="1234" spans="1:7">
      <c r="A1234" s="1">
        <v>23</v>
      </c>
      <c r="B1234" s="1" t="s">
        <v>125</v>
      </c>
      <c r="C1234" s="11">
        <v>29.83</v>
      </c>
      <c r="D1234" s="11">
        <v>28.31</v>
      </c>
      <c r="E1234" s="2">
        <f t="shared" si="42"/>
        <v>1.5199999999999996</v>
      </c>
      <c r="F1234" s="11">
        <v>0.13200000000000001</v>
      </c>
      <c r="G1234" s="3">
        <f t="shared" si="43"/>
        <v>5.5380489440160906E-2</v>
      </c>
    </row>
    <row r="1235" spans="1:7">
      <c r="A1235" s="1">
        <v>24</v>
      </c>
      <c r="B1235" s="1" t="s">
        <v>125</v>
      </c>
      <c r="C1235" s="11">
        <v>0</v>
      </c>
      <c r="D1235" s="11">
        <v>0</v>
      </c>
      <c r="E1235" s="2">
        <f t="shared" si="42"/>
        <v>0</v>
      </c>
      <c r="F1235" s="11">
        <v>0.17899999999999999</v>
      </c>
      <c r="G1235" s="3" t="e">
        <f t="shared" si="43"/>
        <v>#DIV/0!</v>
      </c>
    </row>
    <row r="1236" spans="1:7">
      <c r="A1236" s="1">
        <v>25</v>
      </c>
      <c r="B1236" s="1" t="s">
        <v>125</v>
      </c>
      <c r="C1236" s="11">
        <v>0</v>
      </c>
      <c r="D1236" s="11">
        <v>0</v>
      </c>
      <c r="E1236" s="2">
        <f t="shared" si="42"/>
        <v>0</v>
      </c>
      <c r="F1236" s="11">
        <v>0.08</v>
      </c>
      <c r="G1236" s="3" t="e">
        <f t="shared" si="43"/>
        <v>#DIV/0!</v>
      </c>
    </row>
    <row r="1237" spans="1:7">
      <c r="A1237" s="1">
        <v>26</v>
      </c>
      <c r="B1237" s="1" t="s">
        <v>125</v>
      </c>
      <c r="C1237" s="11">
        <v>26.99</v>
      </c>
      <c r="D1237" s="11">
        <v>25.67</v>
      </c>
      <c r="E1237" s="2">
        <f t="shared" si="42"/>
        <v>1.3199999999999967</v>
      </c>
      <c r="F1237" s="11">
        <v>9.0999999999999998E-2</v>
      </c>
      <c r="G1237" s="14">
        <f t="shared" si="43"/>
        <v>5.2278621711744973E-2</v>
      </c>
    </row>
    <row r="1238" spans="1:7">
      <c r="A1238" s="1">
        <v>27</v>
      </c>
      <c r="B1238" s="1" t="s">
        <v>125</v>
      </c>
      <c r="C1238" s="11">
        <v>22.7</v>
      </c>
      <c r="D1238" s="11">
        <v>21.66</v>
      </c>
      <c r="E1238" s="2">
        <f t="shared" si="42"/>
        <v>1.0399999999999991</v>
      </c>
      <c r="F1238" s="11">
        <v>0.11600000000000001</v>
      </c>
      <c r="G1238" s="14">
        <f t="shared" si="43"/>
        <v>5.0925110132158558E-2</v>
      </c>
    </row>
    <row r="1239" spans="1:7">
      <c r="A1239" s="1">
        <v>28</v>
      </c>
      <c r="B1239" s="1" t="s">
        <v>125</v>
      </c>
      <c r="C1239" s="11">
        <v>0</v>
      </c>
      <c r="D1239" s="11">
        <v>0</v>
      </c>
      <c r="E1239" s="2">
        <f t="shared" si="42"/>
        <v>0</v>
      </c>
      <c r="F1239" s="11">
        <v>0.13900000000000001</v>
      </c>
      <c r="G1239" s="14" t="e">
        <f t="shared" si="43"/>
        <v>#DIV/0!</v>
      </c>
    </row>
    <row r="1240" spans="1:7">
      <c r="A1240" s="1">
        <v>29</v>
      </c>
      <c r="B1240" s="1" t="s">
        <v>125</v>
      </c>
      <c r="C1240" s="11">
        <v>25.26</v>
      </c>
      <c r="D1240" s="11">
        <v>23.87</v>
      </c>
      <c r="E1240" s="2">
        <f t="shared" si="42"/>
        <v>1.3900000000000006</v>
      </c>
      <c r="F1240" s="11">
        <v>8.2000000000000003E-2</v>
      </c>
      <c r="G1240" s="14">
        <f t="shared" si="43"/>
        <v>5.8273950910530503E-2</v>
      </c>
    </row>
    <row r="1241" spans="1:7">
      <c r="A1241" s="1">
        <v>30</v>
      </c>
      <c r="B1241" s="1" t="s">
        <v>125</v>
      </c>
      <c r="C1241" s="11">
        <v>25.26</v>
      </c>
      <c r="D1241" s="11">
        <v>23.87</v>
      </c>
      <c r="E1241" s="2">
        <f t="shared" si="42"/>
        <v>1.3900000000000006</v>
      </c>
      <c r="F1241" s="11">
        <v>0</v>
      </c>
      <c r="G1241" s="14">
        <f t="shared" si="43"/>
        <v>5.5027711797308018E-2</v>
      </c>
    </row>
    <row r="1242" spans="1:7">
      <c r="A1242" s="1">
        <v>31</v>
      </c>
      <c r="B1242" s="1" t="s">
        <v>125</v>
      </c>
      <c r="C1242" s="11">
        <v>23.22</v>
      </c>
      <c r="D1242" s="11">
        <v>22.94</v>
      </c>
      <c r="E1242" s="2">
        <f t="shared" si="42"/>
        <v>0.27999999999999758</v>
      </c>
      <c r="F1242" s="11">
        <v>0.96499999999999997</v>
      </c>
      <c r="G1242" s="14">
        <f t="shared" si="43"/>
        <v>5.3617571059431414E-2</v>
      </c>
    </row>
    <row r="1243" spans="1:7">
      <c r="A1243" s="1">
        <v>1</v>
      </c>
      <c r="B1243" s="1" t="s">
        <v>126</v>
      </c>
      <c r="C1243" s="11">
        <v>0</v>
      </c>
      <c r="D1243" s="11">
        <v>0</v>
      </c>
      <c r="E1243" s="2">
        <f t="shared" si="42"/>
        <v>0</v>
      </c>
      <c r="F1243" s="11">
        <v>0</v>
      </c>
      <c r="G1243" s="3" t="e">
        <f t="shared" si="43"/>
        <v>#DIV/0!</v>
      </c>
    </row>
    <row r="1244" spans="1:7">
      <c r="A1244" s="1">
        <v>2</v>
      </c>
      <c r="B1244" s="1" t="s">
        <v>126</v>
      </c>
      <c r="C1244" s="11">
        <v>0</v>
      </c>
      <c r="D1244" s="11">
        <v>0</v>
      </c>
      <c r="E1244" s="2">
        <f t="shared" si="42"/>
        <v>0</v>
      </c>
      <c r="F1244" s="11">
        <v>0</v>
      </c>
      <c r="G1244" s="3" t="e">
        <f t="shared" si="43"/>
        <v>#DIV/0!</v>
      </c>
    </row>
    <row r="1245" spans="1:7">
      <c r="A1245" s="1">
        <v>3</v>
      </c>
      <c r="B1245" s="1" t="s">
        <v>126</v>
      </c>
      <c r="C1245" s="11">
        <v>0</v>
      </c>
      <c r="D1245" s="11">
        <v>0</v>
      </c>
      <c r="E1245" s="2">
        <f t="shared" si="42"/>
        <v>0</v>
      </c>
      <c r="F1245" s="11">
        <v>0</v>
      </c>
      <c r="G1245" s="3" t="e">
        <f t="shared" si="43"/>
        <v>#DIV/0!</v>
      </c>
    </row>
    <row r="1246" spans="1:7">
      <c r="A1246" s="1">
        <v>4</v>
      </c>
      <c r="B1246" s="1" t="s">
        <v>126</v>
      </c>
      <c r="C1246" s="11">
        <v>0</v>
      </c>
      <c r="D1246" s="11">
        <v>0</v>
      </c>
      <c r="E1246" s="2">
        <f t="shared" si="42"/>
        <v>0</v>
      </c>
      <c r="F1246" s="11">
        <v>0</v>
      </c>
      <c r="G1246" s="3" t="e">
        <f t="shared" si="43"/>
        <v>#DIV/0!</v>
      </c>
    </row>
    <row r="1247" spans="1:7">
      <c r="A1247" s="1">
        <v>5</v>
      </c>
      <c r="B1247" s="1" t="s">
        <v>126</v>
      </c>
      <c r="C1247" s="11">
        <v>0</v>
      </c>
      <c r="D1247" s="11">
        <v>0</v>
      </c>
      <c r="E1247" s="2">
        <f t="shared" si="42"/>
        <v>0</v>
      </c>
      <c r="F1247" s="11">
        <v>0</v>
      </c>
      <c r="G1247" s="3" t="e">
        <f t="shared" si="43"/>
        <v>#DIV/0!</v>
      </c>
    </row>
    <row r="1248" spans="1:7">
      <c r="A1248" s="1">
        <v>6</v>
      </c>
      <c r="B1248" s="1" t="s">
        <v>126</v>
      </c>
      <c r="C1248" s="11">
        <v>0</v>
      </c>
      <c r="D1248" s="11">
        <v>0</v>
      </c>
      <c r="E1248" s="2">
        <f t="shared" si="42"/>
        <v>0</v>
      </c>
      <c r="F1248" s="11">
        <v>0</v>
      </c>
      <c r="G1248" s="3" t="e">
        <f t="shared" si="43"/>
        <v>#DIV/0!</v>
      </c>
    </row>
    <row r="1249" spans="1:7">
      <c r="A1249" s="1">
        <v>7</v>
      </c>
      <c r="B1249" s="1" t="s">
        <v>126</v>
      </c>
      <c r="C1249" s="11">
        <v>0</v>
      </c>
      <c r="D1249" s="11">
        <v>0</v>
      </c>
      <c r="E1249" s="2">
        <f t="shared" si="42"/>
        <v>0</v>
      </c>
      <c r="F1249" s="11">
        <v>0</v>
      </c>
      <c r="G1249" s="3" t="e">
        <f t="shared" si="43"/>
        <v>#DIV/0!</v>
      </c>
    </row>
    <row r="1250" spans="1:7">
      <c r="A1250" s="1">
        <v>8</v>
      </c>
      <c r="B1250" s="1" t="s">
        <v>126</v>
      </c>
      <c r="C1250" s="11">
        <v>0</v>
      </c>
      <c r="D1250" s="11">
        <v>0</v>
      </c>
      <c r="E1250" s="2">
        <f t="shared" si="42"/>
        <v>0</v>
      </c>
      <c r="F1250" s="11">
        <v>0</v>
      </c>
      <c r="G1250" s="3" t="e">
        <f t="shared" si="43"/>
        <v>#DIV/0!</v>
      </c>
    </row>
    <row r="1251" spans="1:7">
      <c r="A1251" s="1">
        <v>9</v>
      </c>
      <c r="B1251" s="1" t="s">
        <v>126</v>
      </c>
      <c r="C1251" s="11">
        <v>0</v>
      </c>
      <c r="D1251" s="11">
        <v>0</v>
      </c>
      <c r="E1251" s="2">
        <f t="shared" si="42"/>
        <v>0</v>
      </c>
      <c r="F1251" s="11">
        <v>0</v>
      </c>
      <c r="G1251" s="3" t="e">
        <f t="shared" si="43"/>
        <v>#DIV/0!</v>
      </c>
    </row>
    <row r="1252" spans="1:7">
      <c r="A1252" s="1">
        <v>10</v>
      </c>
      <c r="B1252" s="1" t="s">
        <v>126</v>
      </c>
      <c r="C1252" s="11">
        <v>0</v>
      </c>
      <c r="D1252" s="11">
        <v>0</v>
      </c>
      <c r="E1252" s="2">
        <f t="shared" si="42"/>
        <v>0</v>
      </c>
      <c r="F1252" s="11">
        <v>0</v>
      </c>
      <c r="G1252" s="3" t="e">
        <f t="shared" si="43"/>
        <v>#DIV/0!</v>
      </c>
    </row>
    <row r="1253" spans="1:7">
      <c r="A1253" s="1">
        <v>11</v>
      </c>
      <c r="B1253" s="1" t="s">
        <v>126</v>
      </c>
      <c r="C1253" s="11">
        <v>0</v>
      </c>
      <c r="D1253" s="11">
        <v>0</v>
      </c>
      <c r="E1253" s="2">
        <f t="shared" si="42"/>
        <v>0</v>
      </c>
      <c r="F1253" s="11">
        <v>0</v>
      </c>
      <c r="G1253" s="3" t="e">
        <f t="shared" si="43"/>
        <v>#DIV/0!</v>
      </c>
    </row>
    <row r="1254" spans="1:7">
      <c r="A1254" s="1">
        <v>12</v>
      </c>
      <c r="B1254" s="1" t="s">
        <v>126</v>
      </c>
      <c r="C1254" s="11">
        <v>0</v>
      </c>
      <c r="D1254" s="11">
        <v>0</v>
      </c>
      <c r="E1254" s="2">
        <f t="shared" si="42"/>
        <v>0</v>
      </c>
      <c r="F1254" s="11">
        <v>0</v>
      </c>
      <c r="G1254" s="3" t="e">
        <f t="shared" si="43"/>
        <v>#DIV/0!</v>
      </c>
    </row>
    <row r="1255" spans="1:7">
      <c r="A1255" s="1">
        <v>13</v>
      </c>
      <c r="B1255" s="1" t="s">
        <v>126</v>
      </c>
      <c r="C1255" s="11">
        <v>0</v>
      </c>
      <c r="D1255" s="11">
        <v>0</v>
      </c>
      <c r="E1255" s="2">
        <f t="shared" si="42"/>
        <v>0</v>
      </c>
      <c r="F1255" s="11">
        <v>0</v>
      </c>
      <c r="G1255" s="3" t="e">
        <f t="shared" si="43"/>
        <v>#DIV/0!</v>
      </c>
    </row>
    <row r="1256" spans="1:7">
      <c r="A1256" s="1">
        <v>14</v>
      </c>
      <c r="B1256" s="1" t="s">
        <v>126</v>
      </c>
      <c r="C1256" s="11">
        <v>0</v>
      </c>
      <c r="D1256" s="11">
        <v>0</v>
      </c>
      <c r="E1256" s="2">
        <f t="shared" si="42"/>
        <v>0</v>
      </c>
      <c r="F1256" s="11">
        <v>0</v>
      </c>
      <c r="G1256" s="3" t="e">
        <f t="shared" si="43"/>
        <v>#DIV/0!</v>
      </c>
    </row>
    <row r="1257" spans="1:7">
      <c r="A1257" s="1">
        <v>15</v>
      </c>
      <c r="B1257" s="1" t="s">
        <v>126</v>
      </c>
      <c r="C1257" s="11">
        <v>29.033999999999999</v>
      </c>
      <c r="D1257" s="11">
        <v>28.47</v>
      </c>
      <c r="E1257" s="2">
        <f t="shared" si="42"/>
        <v>0.56400000000000006</v>
      </c>
      <c r="F1257" s="11">
        <v>0.99</v>
      </c>
      <c r="G1257" s="3">
        <f t="shared" si="43"/>
        <v>5.3523455259351108E-2</v>
      </c>
    </row>
    <row r="1258" spans="1:7">
      <c r="A1258" s="1">
        <v>16</v>
      </c>
      <c r="B1258" s="1" t="s">
        <v>126</v>
      </c>
      <c r="C1258" s="11">
        <v>0</v>
      </c>
      <c r="D1258" s="11">
        <v>0</v>
      </c>
      <c r="E1258" s="2">
        <f t="shared" si="42"/>
        <v>0</v>
      </c>
      <c r="F1258" s="11">
        <v>0.27500000000000002</v>
      </c>
      <c r="G1258" s="3" t="e">
        <f t="shared" si="43"/>
        <v>#DIV/0!</v>
      </c>
    </row>
    <row r="1259" spans="1:7">
      <c r="A1259" s="1">
        <v>17</v>
      </c>
      <c r="B1259" s="1" t="s">
        <v>126</v>
      </c>
      <c r="C1259" s="11">
        <v>0</v>
      </c>
      <c r="D1259" s="11">
        <v>0</v>
      </c>
      <c r="E1259" s="2">
        <f t="shared" si="42"/>
        <v>0</v>
      </c>
      <c r="F1259" s="11">
        <v>0.18</v>
      </c>
      <c r="G1259" s="3" t="e">
        <f t="shared" si="43"/>
        <v>#DIV/0!</v>
      </c>
    </row>
    <row r="1260" spans="1:7">
      <c r="A1260" s="1">
        <v>18</v>
      </c>
      <c r="B1260" s="1" t="s">
        <v>126</v>
      </c>
      <c r="C1260" s="11">
        <v>0</v>
      </c>
      <c r="D1260" s="11">
        <v>0</v>
      </c>
      <c r="E1260" s="2">
        <f t="shared" si="42"/>
        <v>0</v>
      </c>
      <c r="F1260" s="11">
        <v>0.2</v>
      </c>
      <c r="G1260" s="3" t="e">
        <f t="shared" si="43"/>
        <v>#DIV/0!</v>
      </c>
    </row>
    <row r="1261" spans="1:7">
      <c r="A1261" s="1">
        <v>19</v>
      </c>
      <c r="B1261" s="1" t="s">
        <v>126</v>
      </c>
      <c r="C1261" s="11">
        <v>0</v>
      </c>
      <c r="D1261" s="11">
        <v>0</v>
      </c>
      <c r="E1261" s="2">
        <f t="shared" si="42"/>
        <v>0</v>
      </c>
      <c r="F1261" s="11">
        <v>0.06</v>
      </c>
      <c r="G1261" s="3" t="e">
        <f t="shared" si="43"/>
        <v>#DIV/0!</v>
      </c>
    </row>
    <row r="1262" spans="1:7">
      <c r="A1262" s="1">
        <v>20</v>
      </c>
      <c r="B1262" s="1" t="s">
        <v>126</v>
      </c>
      <c r="C1262" s="11">
        <v>0</v>
      </c>
      <c r="D1262" s="11">
        <v>0</v>
      </c>
      <c r="E1262" s="2">
        <f t="shared" si="42"/>
        <v>0</v>
      </c>
      <c r="F1262" s="11">
        <v>0.35499999999999998</v>
      </c>
      <c r="G1262" s="3" t="e">
        <f t="shared" si="43"/>
        <v>#DIV/0!</v>
      </c>
    </row>
    <row r="1263" spans="1:7">
      <c r="A1263" s="1">
        <v>21</v>
      </c>
      <c r="B1263" s="1" t="s">
        <v>126</v>
      </c>
      <c r="C1263" s="11">
        <v>0</v>
      </c>
      <c r="D1263" s="11">
        <v>0</v>
      </c>
      <c r="E1263" s="2">
        <f t="shared" si="42"/>
        <v>0</v>
      </c>
      <c r="F1263" s="11">
        <v>0.01</v>
      </c>
      <c r="G1263" s="3" t="e">
        <f t="shared" si="43"/>
        <v>#DIV/0!</v>
      </c>
    </row>
    <row r="1264" spans="1:7">
      <c r="A1264" s="1">
        <v>22</v>
      </c>
      <c r="B1264" s="1" t="s">
        <v>126</v>
      </c>
      <c r="C1264" s="11">
        <v>0</v>
      </c>
      <c r="D1264" s="11">
        <v>0</v>
      </c>
      <c r="E1264" s="2">
        <f t="shared" si="42"/>
        <v>0</v>
      </c>
      <c r="F1264" s="11">
        <v>5.5E-2</v>
      </c>
      <c r="G1264" s="3" t="e">
        <f t="shared" si="43"/>
        <v>#DIV/0!</v>
      </c>
    </row>
    <row r="1265" spans="1:7">
      <c r="A1265" s="1">
        <v>23</v>
      </c>
      <c r="B1265" s="1" t="s">
        <v>126</v>
      </c>
      <c r="C1265" s="11">
        <v>0</v>
      </c>
      <c r="D1265" s="11">
        <v>0</v>
      </c>
      <c r="E1265" s="2">
        <f t="shared" si="42"/>
        <v>0</v>
      </c>
      <c r="F1265" s="11">
        <v>0.26</v>
      </c>
      <c r="G1265" s="3" t="e">
        <f t="shared" si="43"/>
        <v>#DIV/0!</v>
      </c>
    </row>
    <row r="1266" spans="1:7">
      <c r="A1266" s="1">
        <v>24</v>
      </c>
      <c r="B1266" s="1" t="s">
        <v>126</v>
      </c>
      <c r="C1266" s="11">
        <v>0</v>
      </c>
      <c r="D1266" s="11">
        <v>0</v>
      </c>
      <c r="E1266" s="2">
        <f t="shared" si="42"/>
        <v>0</v>
      </c>
      <c r="F1266" s="11">
        <v>0.155</v>
      </c>
      <c r="G1266" s="3" t="e">
        <f t="shared" si="43"/>
        <v>#DIV/0!</v>
      </c>
    </row>
    <row r="1267" spans="1:7">
      <c r="A1267" s="1">
        <v>25</v>
      </c>
      <c r="B1267" s="1" t="s">
        <v>126</v>
      </c>
      <c r="C1267" s="11">
        <v>0</v>
      </c>
      <c r="D1267" s="11">
        <v>0</v>
      </c>
      <c r="E1267" s="2">
        <f t="shared" si="42"/>
        <v>0</v>
      </c>
      <c r="F1267" s="11">
        <v>0.42</v>
      </c>
      <c r="G1267" s="3" t="e">
        <f t="shared" si="43"/>
        <v>#DIV/0!</v>
      </c>
    </row>
    <row r="1268" spans="1:7">
      <c r="A1268" s="1">
        <v>26</v>
      </c>
      <c r="B1268" s="1" t="s">
        <v>126</v>
      </c>
      <c r="C1268" s="11">
        <v>0</v>
      </c>
      <c r="D1268" s="11">
        <v>0</v>
      </c>
      <c r="E1268" s="2">
        <f t="shared" si="42"/>
        <v>0</v>
      </c>
      <c r="F1268" s="11">
        <v>0.35</v>
      </c>
      <c r="G1268" s="3" t="e">
        <f t="shared" si="43"/>
        <v>#DIV/0!</v>
      </c>
    </row>
    <row r="1269" spans="1:7">
      <c r="A1269" s="1">
        <v>27</v>
      </c>
      <c r="B1269" s="1" t="s">
        <v>126</v>
      </c>
      <c r="C1269" s="11">
        <v>0</v>
      </c>
      <c r="D1269" s="11">
        <v>0</v>
      </c>
      <c r="E1269" s="2">
        <f t="shared" si="42"/>
        <v>0</v>
      </c>
      <c r="F1269" s="11">
        <v>0.1</v>
      </c>
      <c r="G1269" s="3" t="e">
        <f t="shared" si="43"/>
        <v>#DIV/0!</v>
      </c>
    </row>
    <row r="1270" spans="1:7">
      <c r="A1270" s="1">
        <v>28</v>
      </c>
      <c r="B1270" s="1" t="s">
        <v>126</v>
      </c>
      <c r="C1270" s="11">
        <v>0</v>
      </c>
      <c r="D1270" s="11">
        <v>0</v>
      </c>
      <c r="E1270" s="2">
        <f t="shared" si="42"/>
        <v>0</v>
      </c>
      <c r="F1270" s="11">
        <v>0.64499999999999957</v>
      </c>
      <c r="G1270" s="3" t="e">
        <f t="shared" si="43"/>
        <v>#DIV/0!</v>
      </c>
    </row>
    <row r="1271" spans="1:7">
      <c r="A1271" s="1">
        <v>29</v>
      </c>
      <c r="B1271" s="1" t="s">
        <v>126</v>
      </c>
      <c r="C1271" s="11">
        <v>0</v>
      </c>
      <c r="D1271" s="11">
        <v>0</v>
      </c>
      <c r="E1271" s="2">
        <f t="shared" si="42"/>
        <v>0</v>
      </c>
      <c r="F1271" s="11">
        <v>0.19</v>
      </c>
      <c r="G1271" s="3" t="e">
        <f t="shared" si="43"/>
        <v>#DIV/0!</v>
      </c>
    </row>
    <row r="1272" spans="1:7">
      <c r="A1272" s="1">
        <v>30</v>
      </c>
      <c r="B1272" s="1" t="s">
        <v>126</v>
      </c>
      <c r="C1272" s="11">
        <v>0</v>
      </c>
      <c r="D1272" s="11">
        <v>0</v>
      </c>
      <c r="E1272" s="2">
        <f t="shared" si="42"/>
        <v>0</v>
      </c>
      <c r="F1272" s="11">
        <v>0.2</v>
      </c>
      <c r="G1272" s="3" t="e">
        <f t="shared" si="43"/>
        <v>#DIV/0!</v>
      </c>
    </row>
    <row r="1273" spans="1:7">
      <c r="A1273" s="1">
        <v>31</v>
      </c>
      <c r="B1273" s="1" t="s">
        <v>126</v>
      </c>
      <c r="C1273" s="11">
        <v>0</v>
      </c>
      <c r="D1273" s="11">
        <v>0</v>
      </c>
      <c r="E1273" s="2">
        <f t="shared" si="42"/>
        <v>0</v>
      </c>
      <c r="F1273" s="11">
        <v>5.0000000000000001E-3</v>
      </c>
      <c r="G1273" s="3" t="e">
        <f t="shared" si="43"/>
        <v>#DIV/0!</v>
      </c>
    </row>
    <row r="1274" spans="1:7">
      <c r="A1274" s="1">
        <v>1</v>
      </c>
      <c r="B1274" s="1" t="s">
        <v>127</v>
      </c>
      <c r="C1274" s="11">
        <v>0</v>
      </c>
      <c r="D1274" s="11">
        <v>0</v>
      </c>
      <c r="E1274" s="2">
        <f t="shared" si="42"/>
        <v>0</v>
      </c>
      <c r="F1274" s="11">
        <v>0</v>
      </c>
      <c r="G1274" s="3" t="e">
        <f t="shared" si="43"/>
        <v>#DIV/0!</v>
      </c>
    </row>
    <row r="1275" spans="1:7">
      <c r="A1275" s="1">
        <v>2</v>
      </c>
      <c r="B1275" s="1" t="s">
        <v>127</v>
      </c>
      <c r="C1275" s="11">
        <v>0</v>
      </c>
      <c r="D1275" s="11">
        <v>0</v>
      </c>
      <c r="E1275" s="2">
        <f t="shared" si="42"/>
        <v>0</v>
      </c>
      <c r="F1275" s="11">
        <v>0</v>
      </c>
      <c r="G1275" s="3" t="e">
        <f t="shared" si="43"/>
        <v>#DIV/0!</v>
      </c>
    </row>
    <row r="1276" spans="1:7">
      <c r="A1276" s="1">
        <v>3</v>
      </c>
      <c r="B1276" s="1" t="s">
        <v>127</v>
      </c>
      <c r="C1276" s="11">
        <v>0</v>
      </c>
      <c r="D1276" s="11">
        <v>0</v>
      </c>
      <c r="E1276" s="2">
        <f t="shared" si="42"/>
        <v>0</v>
      </c>
      <c r="F1276" s="11">
        <v>0</v>
      </c>
      <c r="G1276" s="3" t="e">
        <f t="shared" si="43"/>
        <v>#DIV/0!</v>
      </c>
    </row>
    <row r="1277" spans="1:7">
      <c r="A1277" s="1">
        <v>4</v>
      </c>
      <c r="B1277" s="1" t="s">
        <v>127</v>
      </c>
      <c r="C1277" s="11">
        <v>0</v>
      </c>
      <c r="D1277" s="11">
        <v>0</v>
      </c>
      <c r="E1277" s="2">
        <f t="shared" si="42"/>
        <v>0</v>
      </c>
      <c r="F1277" s="11">
        <v>0</v>
      </c>
      <c r="G1277" s="3" t="e">
        <f t="shared" si="43"/>
        <v>#DIV/0!</v>
      </c>
    </row>
    <row r="1278" spans="1:7">
      <c r="A1278" s="1">
        <v>5</v>
      </c>
      <c r="B1278" s="1" t="s">
        <v>127</v>
      </c>
      <c r="C1278" s="11">
        <v>0</v>
      </c>
      <c r="D1278" s="11">
        <v>0</v>
      </c>
      <c r="E1278" s="2">
        <f t="shared" si="42"/>
        <v>0</v>
      </c>
      <c r="F1278" s="11">
        <v>0</v>
      </c>
      <c r="G1278" s="3" t="e">
        <f t="shared" si="43"/>
        <v>#DIV/0!</v>
      </c>
    </row>
    <row r="1279" spans="1:7">
      <c r="A1279" s="1">
        <v>6</v>
      </c>
      <c r="B1279" s="1" t="s">
        <v>127</v>
      </c>
      <c r="C1279" s="11">
        <v>0</v>
      </c>
      <c r="D1279" s="11">
        <v>0</v>
      </c>
      <c r="E1279" s="2">
        <f t="shared" si="42"/>
        <v>0</v>
      </c>
      <c r="F1279" s="11">
        <v>0</v>
      </c>
      <c r="G1279" s="3" t="e">
        <f t="shared" si="43"/>
        <v>#DIV/0!</v>
      </c>
    </row>
    <row r="1280" spans="1:7">
      <c r="A1280" s="1">
        <v>7</v>
      </c>
      <c r="B1280" s="1" t="s">
        <v>127</v>
      </c>
      <c r="C1280" s="11">
        <v>0</v>
      </c>
      <c r="D1280" s="11">
        <v>0</v>
      </c>
      <c r="E1280" s="2">
        <f t="shared" si="42"/>
        <v>0</v>
      </c>
      <c r="F1280" s="11">
        <v>0</v>
      </c>
      <c r="G1280" s="3" t="e">
        <f t="shared" si="43"/>
        <v>#DIV/0!</v>
      </c>
    </row>
    <row r="1281" spans="1:7">
      <c r="A1281" s="1">
        <v>8</v>
      </c>
      <c r="B1281" s="1" t="s">
        <v>127</v>
      </c>
      <c r="C1281" s="11">
        <v>0</v>
      </c>
      <c r="D1281" s="11">
        <v>0</v>
      </c>
      <c r="E1281" s="2">
        <f t="shared" si="42"/>
        <v>0</v>
      </c>
      <c r="F1281" s="11">
        <v>0</v>
      </c>
      <c r="G1281" s="3" t="e">
        <f t="shared" si="43"/>
        <v>#DIV/0!</v>
      </c>
    </row>
    <row r="1282" spans="1:7">
      <c r="A1282" s="1">
        <v>9</v>
      </c>
      <c r="B1282" s="1" t="s">
        <v>127</v>
      </c>
      <c r="C1282" s="11">
        <v>0</v>
      </c>
      <c r="D1282" s="11">
        <v>0</v>
      </c>
      <c r="E1282" s="2">
        <f t="shared" si="42"/>
        <v>0</v>
      </c>
      <c r="F1282" s="11">
        <v>0</v>
      </c>
      <c r="G1282" s="3" t="e">
        <f t="shared" si="43"/>
        <v>#DIV/0!</v>
      </c>
    </row>
    <row r="1283" spans="1:7">
      <c r="A1283" s="1">
        <v>10</v>
      </c>
      <c r="B1283" s="1" t="s">
        <v>127</v>
      </c>
      <c r="C1283" s="11">
        <v>0</v>
      </c>
      <c r="D1283" s="11">
        <v>0</v>
      </c>
      <c r="E1283" s="2">
        <f t="shared" si="42"/>
        <v>0</v>
      </c>
      <c r="F1283" s="11">
        <v>0</v>
      </c>
      <c r="G1283" s="3" t="e">
        <f t="shared" si="43"/>
        <v>#DIV/0!</v>
      </c>
    </row>
    <row r="1284" spans="1:7">
      <c r="A1284" s="1">
        <v>11</v>
      </c>
      <c r="B1284" s="1" t="s">
        <v>127</v>
      </c>
      <c r="C1284" s="11">
        <v>0</v>
      </c>
      <c r="D1284" s="11">
        <v>0</v>
      </c>
      <c r="E1284" s="2">
        <f t="shared" si="42"/>
        <v>0</v>
      </c>
      <c r="F1284" s="11">
        <v>0</v>
      </c>
      <c r="G1284" s="3" t="e">
        <f t="shared" si="43"/>
        <v>#DIV/0!</v>
      </c>
    </row>
    <row r="1285" spans="1:7">
      <c r="A1285" s="1">
        <v>12</v>
      </c>
      <c r="B1285" s="1" t="s">
        <v>127</v>
      </c>
      <c r="C1285" s="11">
        <v>0</v>
      </c>
      <c r="D1285" s="11">
        <v>0</v>
      </c>
      <c r="E1285" s="2">
        <f t="shared" si="42"/>
        <v>0</v>
      </c>
      <c r="F1285" s="11">
        <v>0</v>
      </c>
      <c r="G1285" s="3" t="e">
        <f t="shared" si="43"/>
        <v>#DIV/0!</v>
      </c>
    </row>
    <row r="1286" spans="1:7">
      <c r="A1286" s="1">
        <v>13</v>
      </c>
      <c r="B1286" s="1" t="s">
        <v>127</v>
      </c>
      <c r="C1286" s="11">
        <v>0</v>
      </c>
      <c r="D1286" s="11">
        <v>0</v>
      </c>
      <c r="E1286" s="2">
        <f t="shared" si="42"/>
        <v>0</v>
      </c>
      <c r="F1286" s="11">
        <v>0</v>
      </c>
      <c r="G1286" s="3" t="e">
        <f t="shared" si="43"/>
        <v>#DIV/0!</v>
      </c>
    </row>
    <row r="1287" spans="1:7">
      <c r="A1287" s="1">
        <v>14</v>
      </c>
      <c r="B1287" s="1" t="s">
        <v>127</v>
      </c>
      <c r="C1287" s="11">
        <v>0</v>
      </c>
      <c r="D1287" s="11">
        <v>0</v>
      </c>
      <c r="E1287" s="2">
        <f t="shared" si="42"/>
        <v>0</v>
      </c>
      <c r="F1287" s="11">
        <v>0</v>
      </c>
      <c r="G1287" s="3" t="e">
        <f t="shared" si="43"/>
        <v>#DIV/0!</v>
      </c>
    </row>
    <row r="1288" spans="1:7">
      <c r="A1288" s="1">
        <v>15</v>
      </c>
      <c r="B1288" s="1" t="s">
        <v>127</v>
      </c>
      <c r="C1288" s="11">
        <v>0</v>
      </c>
      <c r="D1288" s="11">
        <v>0</v>
      </c>
      <c r="E1288" s="2">
        <f t="shared" si="42"/>
        <v>0</v>
      </c>
      <c r="F1288" s="11">
        <v>0</v>
      </c>
      <c r="G1288" s="3" t="e">
        <f t="shared" si="43"/>
        <v>#DIV/0!</v>
      </c>
    </row>
    <row r="1289" spans="1:7">
      <c r="A1289" s="1">
        <v>16</v>
      </c>
      <c r="B1289" s="1" t="s">
        <v>127</v>
      </c>
      <c r="C1289" s="11">
        <v>0</v>
      </c>
      <c r="D1289" s="11">
        <v>0</v>
      </c>
      <c r="E1289" s="2">
        <f t="shared" si="42"/>
        <v>0</v>
      </c>
      <c r="F1289" s="11">
        <v>0</v>
      </c>
      <c r="G1289" s="3" t="e">
        <f t="shared" si="43"/>
        <v>#DIV/0!</v>
      </c>
    </row>
    <row r="1290" spans="1:7">
      <c r="A1290" s="1">
        <v>17</v>
      </c>
      <c r="B1290" s="1" t="s">
        <v>127</v>
      </c>
      <c r="C1290" s="11">
        <v>20.89</v>
      </c>
      <c r="D1290" s="11">
        <v>20.89</v>
      </c>
      <c r="E1290" s="2">
        <f t="shared" si="42"/>
        <v>0</v>
      </c>
      <c r="F1290" s="11">
        <v>0.03</v>
      </c>
      <c r="G1290" s="3">
        <f t="shared" si="43"/>
        <v>1.4360938247965534E-3</v>
      </c>
    </row>
    <row r="1291" spans="1:7">
      <c r="A1291" s="1">
        <v>18</v>
      </c>
      <c r="B1291" s="1" t="s">
        <v>127</v>
      </c>
      <c r="C1291" s="11">
        <v>0</v>
      </c>
      <c r="D1291" s="11">
        <v>0</v>
      </c>
      <c r="E1291" s="2">
        <f t="shared" si="42"/>
        <v>0</v>
      </c>
      <c r="F1291" s="11">
        <v>0.03</v>
      </c>
      <c r="G1291" s="3" t="e">
        <f t="shared" si="43"/>
        <v>#DIV/0!</v>
      </c>
    </row>
    <row r="1292" spans="1:7">
      <c r="A1292" s="1">
        <v>19</v>
      </c>
      <c r="B1292" s="1" t="s">
        <v>127</v>
      </c>
      <c r="C1292" s="11">
        <v>0</v>
      </c>
      <c r="D1292" s="11">
        <v>0</v>
      </c>
      <c r="E1292" s="2">
        <f t="shared" si="42"/>
        <v>0</v>
      </c>
      <c r="F1292" s="11">
        <v>0.04</v>
      </c>
      <c r="G1292" s="3" t="e">
        <f t="shared" si="43"/>
        <v>#DIV/0!</v>
      </c>
    </row>
    <row r="1293" spans="1:7">
      <c r="A1293" s="1">
        <v>20</v>
      </c>
      <c r="B1293" s="1" t="s">
        <v>127</v>
      </c>
      <c r="C1293" s="11">
        <v>0</v>
      </c>
      <c r="D1293" s="11">
        <v>0</v>
      </c>
      <c r="E1293" s="2">
        <f t="shared" si="42"/>
        <v>0</v>
      </c>
      <c r="F1293" s="11">
        <v>2.5000000000000001E-2</v>
      </c>
      <c r="G1293" s="3" t="e">
        <f t="shared" si="43"/>
        <v>#DIV/0!</v>
      </c>
    </row>
    <row r="1294" spans="1:7">
      <c r="A1294" s="1">
        <v>21</v>
      </c>
      <c r="B1294" s="1" t="s">
        <v>127</v>
      </c>
      <c r="C1294" s="11">
        <v>0</v>
      </c>
      <c r="D1294" s="11">
        <v>0</v>
      </c>
      <c r="E1294" s="2">
        <f t="shared" si="42"/>
        <v>0</v>
      </c>
      <c r="F1294" s="11">
        <v>6.5000000000000002E-2</v>
      </c>
      <c r="G1294" s="3" t="e">
        <f t="shared" si="43"/>
        <v>#DIV/0!</v>
      </c>
    </row>
    <row r="1295" spans="1:7">
      <c r="A1295" s="1">
        <v>22</v>
      </c>
      <c r="B1295" s="1" t="s">
        <v>127</v>
      </c>
      <c r="C1295" s="11">
        <v>0</v>
      </c>
      <c r="D1295" s="11">
        <v>0</v>
      </c>
      <c r="E1295" s="2">
        <f t="shared" si="42"/>
        <v>0</v>
      </c>
      <c r="F1295" s="11">
        <v>6.4000000000000001E-2</v>
      </c>
      <c r="G1295" s="3" t="e">
        <f t="shared" si="43"/>
        <v>#DIV/0!</v>
      </c>
    </row>
    <row r="1296" spans="1:7">
      <c r="A1296" s="1">
        <v>23</v>
      </c>
      <c r="B1296" s="1" t="s">
        <v>127</v>
      </c>
      <c r="C1296" s="11">
        <v>0</v>
      </c>
      <c r="D1296" s="11">
        <v>0</v>
      </c>
      <c r="E1296" s="2">
        <f t="shared" si="42"/>
        <v>0</v>
      </c>
      <c r="F1296" s="11">
        <v>4.1000000000000002E-2</v>
      </c>
      <c r="G1296" s="3" t="e">
        <f t="shared" si="43"/>
        <v>#DIV/0!</v>
      </c>
    </row>
    <row r="1297" spans="1:7">
      <c r="A1297" s="1">
        <v>24</v>
      </c>
      <c r="B1297" s="1" t="s">
        <v>127</v>
      </c>
      <c r="C1297" s="11">
        <v>21.738</v>
      </c>
      <c r="D1297" s="11">
        <v>21.73</v>
      </c>
      <c r="E1297" s="2">
        <f t="shared" si="42"/>
        <v>7.9999999999991189E-3</v>
      </c>
      <c r="F1297" s="11">
        <v>0.13</v>
      </c>
      <c r="G1297" s="3">
        <f t="shared" si="43"/>
        <v>6.348330113165844E-3</v>
      </c>
    </row>
    <row r="1298" spans="1:7">
      <c r="A1298" s="1">
        <v>25</v>
      </c>
      <c r="B1298" s="1" t="s">
        <v>127</v>
      </c>
      <c r="C1298" s="11">
        <v>0</v>
      </c>
      <c r="D1298" s="11">
        <v>0</v>
      </c>
      <c r="E1298" s="2">
        <f t="shared" si="42"/>
        <v>0</v>
      </c>
      <c r="F1298" s="11">
        <v>0.14499999999999999</v>
      </c>
      <c r="G1298" s="3" t="e">
        <f t="shared" si="43"/>
        <v>#DIV/0!</v>
      </c>
    </row>
    <row r="1299" spans="1:7">
      <c r="A1299" s="1">
        <v>26</v>
      </c>
      <c r="B1299" s="1" t="s">
        <v>127</v>
      </c>
      <c r="C1299" s="11">
        <v>0</v>
      </c>
      <c r="D1299" s="11">
        <v>0</v>
      </c>
      <c r="E1299" s="2">
        <f t="shared" si="42"/>
        <v>0</v>
      </c>
      <c r="F1299" s="11">
        <v>4.4999999999999998E-2</v>
      </c>
      <c r="G1299" s="3" t="e">
        <f t="shared" si="43"/>
        <v>#DIV/0!</v>
      </c>
    </row>
    <row r="1300" spans="1:7">
      <c r="A1300" s="1">
        <v>27</v>
      </c>
      <c r="B1300" s="1" t="s">
        <v>127</v>
      </c>
      <c r="C1300" s="11">
        <v>0</v>
      </c>
      <c r="D1300" s="11">
        <v>0</v>
      </c>
      <c r="E1300" s="2">
        <f t="shared" si="42"/>
        <v>0</v>
      </c>
      <c r="F1300" s="11">
        <v>0.15</v>
      </c>
      <c r="G1300" s="3" t="e">
        <f t="shared" si="43"/>
        <v>#DIV/0!</v>
      </c>
    </row>
    <row r="1301" spans="1:7">
      <c r="A1301" s="1">
        <v>28</v>
      </c>
      <c r="B1301" s="1" t="s">
        <v>127</v>
      </c>
      <c r="C1301" s="11">
        <v>0</v>
      </c>
      <c r="D1301" s="11">
        <v>0</v>
      </c>
      <c r="E1301" s="2">
        <f t="shared" si="42"/>
        <v>0</v>
      </c>
      <c r="F1301" s="11">
        <v>0.13500000000000001</v>
      </c>
      <c r="G1301" s="3" t="e">
        <f t="shared" si="43"/>
        <v>#DIV/0!</v>
      </c>
    </row>
    <row r="1302" spans="1:7">
      <c r="A1302" s="1">
        <v>29</v>
      </c>
      <c r="B1302" s="1" t="s">
        <v>127</v>
      </c>
      <c r="C1302" s="11">
        <v>0</v>
      </c>
      <c r="D1302" s="11">
        <v>0</v>
      </c>
      <c r="E1302" s="2">
        <f t="shared" si="42"/>
        <v>0</v>
      </c>
      <c r="F1302" s="11">
        <v>6.9000000000000006E-2</v>
      </c>
      <c r="G1302" s="3" t="e">
        <f t="shared" si="43"/>
        <v>#DIV/0!</v>
      </c>
    </row>
    <row r="1303" spans="1:7">
      <c r="A1303" s="1">
        <v>30</v>
      </c>
      <c r="B1303" s="1" t="s">
        <v>127</v>
      </c>
      <c r="C1303" s="11">
        <v>27.41</v>
      </c>
      <c r="D1303" s="11">
        <v>27.28</v>
      </c>
      <c r="E1303" s="2">
        <f t="shared" si="42"/>
        <v>0.12999999999999901</v>
      </c>
      <c r="F1303" s="11">
        <v>0.151</v>
      </c>
      <c r="G1303" s="3">
        <f t="shared" si="43"/>
        <v>1.025173294418092E-2</v>
      </c>
    </row>
    <row r="1304" spans="1:7">
      <c r="A1304" s="1">
        <v>31</v>
      </c>
      <c r="B1304" s="1" t="s">
        <v>127</v>
      </c>
      <c r="C1304" s="11">
        <v>0</v>
      </c>
      <c r="D1304" s="11">
        <v>0</v>
      </c>
      <c r="E1304" s="2">
        <f t="shared" si="42"/>
        <v>0</v>
      </c>
      <c r="F1304" s="11">
        <v>0.09</v>
      </c>
      <c r="G1304" s="3" t="e">
        <f t="shared" si="43"/>
        <v>#DIV/0!</v>
      </c>
    </row>
    <row r="1305" spans="1:7">
      <c r="A1305" s="1">
        <v>1</v>
      </c>
      <c r="B1305" s="1" t="s">
        <v>129</v>
      </c>
      <c r="C1305" s="11">
        <v>0</v>
      </c>
      <c r="D1305" s="11">
        <v>0</v>
      </c>
      <c r="E1305" s="2">
        <f t="shared" si="42"/>
        <v>0</v>
      </c>
      <c r="F1305" s="11">
        <v>0</v>
      </c>
      <c r="G1305" s="3" t="e">
        <f t="shared" ref="G1305:G1366" si="44">(E1305+F1305)/C1305</f>
        <v>#DIV/0!</v>
      </c>
    </row>
    <row r="1306" spans="1:7">
      <c r="A1306" s="1">
        <v>2</v>
      </c>
      <c r="B1306" s="1" t="s">
        <v>129</v>
      </c>
      <c r="C1306" s="11">
        <v>0</v>
      </c>
      <c r="D1306" s="11">
        <v>0</v>
      </c>
      <c r="E1306" s="2">
        <f t="shared" si="42"/>
        <v>0</v>
      </c>
      <c r="F1306" s="11">
        <v>0</v>
      </c>
      <c r="G1306" s="3" t="e">
        <f t="shared" si="44"/>
        <v>#DIV/0!</v>
      </c>
    </row>
    <row r="1307" spans="1:7">
      <c r="A1307" s="1">
        <v>3</v>
      </c>
      <c r="B1307" s="1" t="s">
        <v>129</v>
      </c>
      <c r="C1307" s="11">
        <v>0</v>
      </c>
      <c r="D1307" s="11">
        <v>0</v>
      </c>
      <c r="E1307" s="2">
        <f t="shared" si="42"/>
        <v>0</v>
      </c>
      <c r="F1307" s="11">
        <v>0</v>
      </c>
      <c r="G1307" s="3" t="e">
        <f t="shared" si="44"/>
        <v>#DIV/0!</v>
      </c>
    </row>
    <row r="1308" spans="1:7">
      <c r="A1308" s="1">
        <v>4</v>
      </c>
      <c r="B1308" s="1" t="s">
        <v>129</v>
      </c>
      <c r="C1308" s="11">
        <v>0</v>
      </c>
      <c r="D1308" s="11">
        <v>0</v>
      </c>
      <c r="E1308" s="2">
        <f t="shared" si="42"/>
        <v>0</v>
      </c>
      <c r="F1308" s="11">
        <v>0</v>
      </c>
      <c r="G1308" s="3" t="e">
        <f t="shared" si="44"/>
        <v>#DIV/0!</v>
      </c>
    </row>
    <row r="1309" spans="1:7">
      <c r="A1309" s="1">
        <v>5</v>
      </c>
      <c r="B1309" s="1" t="s">
        <v>129</v>
      </c>
      <c r="C1309" s="11">
        <v>0</v>
      </c>
      <c r="D1309" s="11">
        <v>0</v>
      </c>
      <c r="E1309" s="2">
        <f t="shared" si="42"/>
        <v>0</v>
      </c>
      <c r="F1309" s="11">
        <v>0</v>
      </c>
      <c r="G1309" s="3" t="e">
        <f t="shared" si="44"/>
        <v>#DIV/0!</v>
      </c>
    </row>
    <row r="1310" spans="1:7">
      <c r="A1310" s="1">
        <v>6</v>
      </c>
      <c r="B1310" s="1" t="s">
        <v>129</v>
      </c>
      <c r="C1310" s="11">
        <v>0</v>
      </c>
      <c r="D1310" s="11">
        <v>0</v>
      </c>
      <c r="E1310" s="2">
        <f t="shared" si="42"/>
        <v>0</v>
      </c>
      <c r="F1310" s="11">
        <v>0</v>
      </c>
      <c r="G1310" s="3" t="e">
        <f t="shared" si="44"/>
        <v>#DIV/0!</v>
      </c>
    </row>
    <row r="1311" spans="1:7">
      <c r="A1311" s="1">
        <v>7</v>
      </c>
      <c r="B1311" s="1" t="s">
        <v>129</v>
      </c>
      <c r="C1311" s="11">
        <v>0</v>
      </c>
      <c r="D1311" s="11">
        <v>0</v>
      </c>
      <c r="E1311" s="2">
        <f t="shared" si="42"/>
        <v>0</v>
      </c>
      <c r="F1311" s="11">
        <v>0</v>
      </c>
      <c r="G1311" s="3" t="e">
        <f t="shared" si="44"/>
        <v>#DIV/0!</v>
      </c>
    </row>
    <row r="1312" spans="1:7">
      <c r="A1312" s="1">
        <v>8</v>
      </c>
      <c r="B1312" s="1" t="s">
        <v>129</v>
      </c>
      <c r="C1312" s="11">
        <v>0</v>
      </c>
      <c r="D1312" s="11">
        <v>0</v>
      </c>
      <c r="E1312" s="2">
        <f t="shared" si="42"/>
        <v>0</v>
      </c>
      <c r="F1312" s="11">
        <v>0</v>
      </c>
      <c r="G1312" s="3" t="e">
        <f t="shared" si="44"/>
        <v>#DIV/0!</v>
      </c>
    </row>
    <row r="1313" spans="1:7">
      <c r="A1313" s="1">
        <v>9</v>
      </c>
      <c r="B1313" s="1" t="s">
        <v>129</v>
      </c>
      <c r="C1313" s="11">
        <v>0</v>
      </c>
      <c r="D1313" s="11">
        <v>0</v>
      </c>
      <c r="E1313" s="2">
        <f t="shared" si="42"/>
        <v>0</v>
      </c>
      <c r="F1313" s="11">
        <v>0</v>
      </c>
      <c r="G1313" s="3" t="e">
        <f t="shared" si="44"/>
        <v>#DIV/0!</v>
      </c>
    </row>
    <row r="1314" spans="1:7">
      <c r="A1314" s="1">
        <v>10</v>
      </c>
      <c r="B1314" s="1" t="s">
        <v>129</v>
      </c>
      <c r="C1314" s="11">
        <v>0</v>
      </c>
      <c r="D1314" s="11">
        <v>0</v>
      </c>
      <c r="E1314" s="2">
        <f t="shared" si="42"/>
        <v>0</v>
      </c>
      <c r="F1314" s="11">
        <v>0</v>
      </c>
      <c r="G1314" s="3" t="e">
        <f t="shared" si="44"/>
        <v>#DIV/0!</v>
      </c>
    </row>
    <row r="1315" spans="1:7">
      <c r="A1315" s="1">
        <v>11</v>
      </c>
      <c r="B1315" s="1" t="s">
        <v>129</v>
      </c>
      <c r="C1315" s="11">
        <v>0</v>
      </c>
      <c r="D1315" s="11">
        <v>0</v>
      </c>
      <c r="E1315" s="2">
        <f t="shared" si="42"/>
        <v>0</v>
      </c>
      <c r="F1315" s="11">
        <v>0</v>
      </c>
      <c r="G1315" s="3" t="e">
        <f t="shared" si="44"/>
        <v>#DIV/0!</v>
      </c>
    </row>
    <row r="1316" spans="1:7">
      <c r="A1316" s="1">
        <v>12</v>
      </c>
      <c r="B1316" s="1" t="s">
        <v>129</v>
      </c>
      <c r="C1316" s="11">
        <v>0</v>
      </c>
      <c r="D1316" s="11">
        <v>0</v>
      </c>
      <c r="E1316" s="2">
        <f t="shared" si="42"/>
        <v>0</v>
      </c>
      <c r="F1316" s="11">
        <v>0</v>
      </c>
      <c r="G1316" s="3" t="e">
        <f t="shared" si="44"/>
        <v>#DIV/0!</v>
      </c>
    </row>
    <row r="1317" spans="1:7">
      <c r="A1317" s="1">
        <v>13</v>
      </c>
      <c r="B1317" s="1" t="s">
        <v>129</v>
      </c>
      <c r="C1317" s="11">
        <v>0</v>
      </c>
      <c r="D1317" s="11">
        <v>0</v>
      </c>
      <c r="E1317" s="2">
        <f t="shared" si="42"/>
        <v>0</v>
      </c>
      <c r="F1317" s="11">
        <v>0</v>
      </c>
      <c r="G1317" s="3" t="e">
        <f t="shared" si="44"/>
        <v>#DIV/0!</v>
      </c>
    </row>
    <row r="1318" spans="1:7">
      <c r="A1318" s="1">
        <v>14</v>
      </c>
      <c r="B1318" s="1" t="s">
        <v>129</v>
      </c>
      <c r="C1318" s="11">
        <v>0</v>
      </c>
      <c r="D1318" s="11">
        <v>0</v>
      </c>
      <c r="E1318" s="2">
        <f t="shared" si="42"/>
        <v>0</v>
      </c>
      <c r="F1318" s="11">
        <v>0</v>
      </c>
      <c r="G1318" s="3" t="e">
        <f t="shared" si="44"/>
        <v>#DIV/0!</v>
      </c>
    </row>
    <row r="1319" spans="1:7">
      <c r="A1319" s="1">
        <v>15</v>
      </c>
      <c r="B1319" s="1" t="s">
        <v>129</v>
      </c>
      <c r="C1319" s="11">
        <v>0</v>
      </c>
      <c r="D1319" s="11">
        <v>0</v>
      </c>
      <c r="E1319" s="2">
        <f t="shared" si="42"/>
        <v>0</v>
      </c>
      <c r="F1319" s="11">
        <v>0</v>
      </c>
      <c r="G1319" s="3" t="e">
        <f t="shared" si="44"/>
        <v>#DIV/0!</v>
      </c>
    </row>
    <row r="1320" spans="1:7">
      <c r="A1320" s="1">
        <v>16</v>
      </c>
      <c r="B1320" s="1" t="s">
        <v>129</v>
      </c>
      <c r="C1320" s="11">
        <v>0</v>
      </c>
      <c r="D1320" s="11">
        <v>0</v>
      </c>
      <c r="E1320" s="2">
        <f t="shared" si="42"/>
        <v>0</v>
      </c>
      <c r="F1320" s="11">
        <v>0</v>
      </c>
      <c r="G1320" s="3" t="e">
        <f t="shared" si="44"/>
        <v>#DIV/0!</v>
      </c>
    </row>
    <row r="1321" spans="1:7">
      <c r="A1321" s="1">
        <v>17</v>
      </c>
      <c r="B1321" s="1" t="s">
        <v>129</v>
      </c>
      <c r="C1321" s="11">
        <v>0</v>
      </c>
      <c r="D1321" s="11">
        <v>0</v>
      </c>
      <c r="E1321" s="2">
        <f t="shared" si="42"/>
        <v>0</v>
      </c>
      <c r="F1321" s="11">
        <v>0</v>
      </c>
      <c r="G1321" s="3" t="e">
        <f t="shared" si="44"/>
        <v>#DIV/0!</v>
      </c>
    </row>
    <row r="1322" spans="1:7">
      <c r="A1322" s="1">
        <v>18</v>
      </c>
      <c r="B1322" s="1" t="s">
        <v>129</v>
      </c>
      <c r="C1322" s="11">
        <v>0</v>
      </c>
      <c r="D1322" s="11">
        <v>0</v>
      </c>
      <c r="E1322" s="2">
        <f t="shared" si="42"/>
        <v>0</v>
      </c>
      <c r="F1322" s="11">
        <v>0</v>
      </c>
      <c r="G1322" s="3" t="e">
        <f t="shared" si="44"/>
        <v>#DIV/0!</v>
      </c>
    </row>
    <row r="1323" spans="1:7">
      <c r="A1323" s="1">
        <v>19</v>
      </c>
      <c r="B1323" s="1" t="s">
        <v>129</v>
      </c>
      <c r="C1323" s="11">
        <v>0</v>
      </c>
      <c r="D1323" s="11">
        <v>0</v>
      </c>
      <c r="E1323" s="2">
        <f t="shared" si="42"/>
        <v>0</v>
      </c>
      <c r="F1323" s="11">
        <v>0</v>
      </c>
      <c r="G1323" s="3" t="e">
        <f t="shared" si="44"/>
        <v>#DIV/0!</v>
      </c>
    </row>
    <row r="1324" spans="1:7">
      <c r="A1324" s="1">
        <v>20</v>
      </c>
      <c r="B1324" s="1" t="s">
        <v>129</v>
      </c>
      <c r="C1324" s="11">
        <v>0</v>
      </c>
      <c r="D1324" s="11">
        <v>0</v>
      </c>
      <c r="E1324" s="2">
        <f t="shared" si="42"/>
        <v>0</v>
      </c>
      <c r="F1324" s="11">
        <v>0</v>
      </c>
      <c r="G1324" s="3" t="e">
        <f t="shared" si="44"/>
        <v>#DIV/0!</v>
      </c>
    </row>
    <row r="1325" spans="1:7">
      <c r="A1325" s="1">
        <v>21</v>
      </c>
      <c r="B1325" s="1" t="s">
        <v>129</v>
      </c>
      <c r="C1325" s="11">
        <v>0</v>
      </c>
      <c r="D1325" s="11">
        <v>0</v>
      </c>
      <c r="E1325" s="2">
        <f t="shared" si="42"/>
        <v>0</v>
      </c>
      <c r="F1325" s="11">
        <v>0</v>
      </c>
      <c r="G1325" s="3" t="e">
        <f t="shared" si="44"/>
        <v>#DIV/0!</v>
      </c>
    </row>
    <row r="1326" spans="1:7">
      <c r="A1326" s="1">
        <v>22</v>
      </c>
      <c r="B1326" s="1" t="s">
        <v>129</v>
      </c>
      <c r="C1326" s="11">
        <v>0</v>
      </c>
      <c r="D1326" s="11">
        <v>0</v>
      </c>
      <c r="E1326" s="2">
        <f t="shared" si="42"/>
        <v>0</v>
      </c>
      <c r="F1326" s="11">
        <v>0</v>
      </c>
      <c r="G1326" s="3" t="e">
        <f t="shared" si="44"/>
        <v>#DIV/0!</v>
      </c>
    </row>
    <row r="1327" spans="1:7">
      <c r="A1327" s="1">
        <v>23</v>
      </c>
      <c r="B1327" s="1" t="s">
        <v>129</v>
      </c>
      <c r="C1327" s="11">
        <v>0</v>
      </c>
      <c r="D1327" s="11">
        <v>0</v>
      </c>
      <c r="E1327" s="2">
        <f t="shared" si="42"/>
        <v>0</v>
      </c>
      <c r="F1327" s="11">
        <v>0</v>
      </c>
      <c r="G1327" s="3" t="e">
        <f t="shared" si="44"/>
        <v>#DIV/0!</v>
      </c>
    </row>
    <row r="1328" spans="1:7">
      <c r="A1328" s="1">
        <v>24</v>
      </c>
      <c r="B1328" s="1" t="s">
        <v>129</v>
      </c>
      <c r="C1328" s="11">
        <v>0</v>
      </c>
      <c r="D1328" s="11">
        <v>0</v>
      </c>
      <c r="E1328" s="2">
        <f t="shared" si="42"/>
        <v>0</v>
      </c>
      <c r="F1328" s="11">
        <v>0</v>
      </c>
      <c r="G1328" s="3" t="e">
        <f t="shared" si="44"/>
        <v>#DIV/0!</v>
      </c>
    </row>
    <row r="1329" spans="1:7">
      <c r="A1329" s="1">
        <v>25</v>
      </c>
      <c r="B1329" s="1" t="s">
        <v>129</v>
      </c>
      <c r="C1329" s="11">
        <v>0</v>
      </c>
      <c r="D1329" s="11">
        <v>0</v>
      </c>
      <c r="E1329" s="2">
        <f t="shared" si="42"/>
        <v>0</v>
      </c>
      <c r="F1329" s="11">
        <v>0</v>
      </c>
      <c r="G1329" s="3" t="e">
        <f t="shared" si="44"/>
        <v>#DIV/0!</v>
      </c>
    </row>
    <row r="1330" spans="1:7">
      <c r="A1330" s="1">
        <v>26</v>
      </c>
      <c r="B1330" s="1" t="s">
        <v>129</v>
      </c>
      <c r="C1330" s="11">
        <v>0</v>
      </c>
      <c r="D1330" s="11">
        <v>0</v>
      </c>
      <c r="E1330" s="2">
        <f t="shared" si="42"/>
        <v>0</v>
      </c>
      <c r="F1330" s="11">
        <v>0</v>
      </c>
      <c r="G1330" s="3" t="e">
        <f t="shared" si="44"/>
        <v>#DIV/0!</v>
      </c>
    </row>
    <row r="1331" spans="1:7">
      <c r="A1331" s="1">
        <v>27</v>
      </c>
      <c r="B1331" s="1" t="s">
        <v>129</v>
      </c>
      <c r="C1331" s="11">
        <v>0</v>
      </c>
      <c r="D1331" s="11">
        <v>0</v>
      </c>
      <c r="E1331" s="2">
        <f t="shared" si="42"/>
        <v>0</v>
      </c>
      <c r="F1331" s="11">
        <v>0</v>
      </c>
      <c r="G1331" s="3" t="e">
        <f t="shared" si="44"/>
        <v>#DIV/0!</v>
      </c>
    </row>
    <row r="1332" spans="1:7">
      <c r="A1332" s="1">
        <v>28</v>
      </c>
      <c r="B1332" s="1" t="s">
        <v>129</v>
      </c>
      <c r="C1332" s="11">
        <v>0</v>
      </c>
      <c r="D1332" s="11">
        <v>0</v>
      </c>
      <c r="E1332" s="2">
        <f t="shared" si="42"/>
        <v>0</v>
      </c>
      <c r="F1332" s="11">
        <v>0</v>
      </c>
      <c r="G1332" s="3" t="e">
        <f t="shared" si="44"/>
        <v>#DIV/0!</v>
      </c>
    </row>
    <row r="1333" spans="1:7">
      <c r="A1333" s="1">
        <v>29</v>
      </c>
      <c r="B1333" s="1" t="s">
        <v>129</v>
      </c>
      <c r="C1333" s="11">
        <v>17.440000000000001</v>
      </c>
      <c r="D1333" s="11">
        <v>17.25</v>
      </c>
      <c r="E1333" s="2">
        <f t="shared" si="42"/>
        <v>0.19000000000000128</v>
      </c>
      <c r="F1333" s="11">
        <v>0.20899999999999999</v>
      </c>
      <c r="G1333" s="3">
        <f t="shared" si="44"/>
        <v>2.2878440366972546E-2</v>
      </c>
    </row>
    <row r="1334" spans="1:7">
      <c r="A1334" s="1">
        <v>30</v>
      </c>
      <c r="B1334" s="1" t="s">
        <v>129</v>
      </c>
      <c r="C1334" s="11">
        <v>55.605999999999995</v>
      </c>
      <c r="D1334" s="11">
        <v>54.94</v>
      </c>
      <c r="E1334" s="2">
        <f t="shared" si="42"/>
        <v>0.66599999999999682</v>
      </c>
      <c r="F1334" s="11">
        <v>0.26100000000000001</v>
      </c>
      <c r="G1334" s="3">
        <f t="shared" si="44"/>
        <v>1.667086285652622E-2</v>
      </c>
    </row>
    <row r="1335" spans="1:7">
      <c r="A1335" s="1">
        <v>31</v>
      </c>
      <c r="B1335" s="1" t="s">
        <v>129</v>
      </c>
      <c r="C1335" s="11">
        <v>0</v>
      </c>
      <c r="D1335" s="11">
        <v>0</v>
      </c>
      <c r="E1335" s="2">
        <f t="shared" si="42"/>
        <v>0</v>
      </c>
      <c r="F1335" s="11">
        <v>0.13</v>
      </c>
      <c r="G1335" s="3" t="e">
        <f t="shared" si="44"/>
        <v>#DIV/0!</v>
      </c>
    </row>
    <row r="1336" spans="1:7">
      <c r="A1336" s="1">
        <v>1</v>
      </c>
      <c r="B1336" s="1" t="s">
        <v>130</v>
      </c>
      <c r="C1336" s="11">
        <v>0</v>
      </c>
      <c r="D1336" s="11">
        <v>0</v>
      </c>
      <c r="E1336" s="2">
        <f t="shared" ref="E1336:E1366" si="45">C1336-D1336</f>
        <v>0</v>
      </c>
      <c r="F1336" s="11">
        <v>0</v>
      </c>
      <c r="G1336" s="3" t="e">
        <f t="shared" si="44"/>
        <v>#DIV/0!</v>
      </c>
    </row>
    <row r="1337" spans="1:7">
      <c r="A1337" s="1">
        <v>2</v>
      </c>
      <c r="B1337" s="1" t="s">
        <v>130</v>
      </c>
      <c r="C1337" s="11">
        <v>0</v>
      </c>
      <c r="D1337" s="11">
        <v>0</v>
      </c>
      <c r="E1337" s="2">
        <f t="shared" si="45"/>
        <v>0</v>
      </c>
      <c r="F1337" s="11">
        <v>0</v>
      </c>
      <c r="G1337" s="3" t="e">
        <f t="shared" si="44"/>
        <v>#DIV/0!</v>
      </c>
    </row>
    <row r="1338" spans="1:7">
      <c r="A1338" s="1">
        <v>3</v>
      </c>
      <c r="B1338" s="1" t="s">
        <v>130</v>
      </c>
      <c r="C1338" s="11">
        <v>0</v>
      </c>
      <c r="D1338" s="11">
        <v>0</v>
      </c>
      <c r="E1338" s="2">
        <f t="shared" si="45"/>
        <v>0</v>
      </c>
      <c r="F1338" s="11">
        <v>0</v>
      </c>
      <c r="G1338" s="3" t="e">
        <f t="shared" si="44"/>
        <v>#DIV/0!</v>
      </c>
    </row>
    <row r="1339" spans="1:7">
      <c r="A1339" s="1">
        <v>4</v>
      </c>
      <c r="B1339" s="1" t="s">
        <v>130</v>
      </c>
      <c r="C1339" s="11">
        <v>0</v>
      </c>
      <c r="D1339" s="11">
        <v>0</v>
      </c>
      <c r="E1339" s="2">
        <f t="shared" si="45"/>
        <v>0</v>
      </c>
      <c r="F1339" s="11">
        <v>0</v>
      </c>
      <c r="G1339" s="3" t="e">
        <f t="shared" si="44"/>
        <v>#DIV/0!</v>
      </c>
    </row>
    <row r="1340" spans="1:7">
      <c r="A1340" s="1">
        <v>5</v>
      </c>
      <c r="B1340" s="1" t="s">
        <v>130</v>
      </c>
      <c r="C1340" s="11">
        <v>0</v>
      </c>
      <c r="D1340" s="11">
        <v>0</v>
      </c>
      <c r="E1340" s="2">
        <f t="shared" si="45"/>
        <v>0</v>
      </c>
      <c r="F1340" s="11">
        <v>0</v>
      </c>
      <c r="G1340" s="3" t="e">
        <f t="shared" si="44"/>
        <v>#DIV/0!</v>
      </c>
    </row>
    <row r="1341" spans="1:7">
      <c r="A1341" s="1">
        <v>6</v>
      </c>
      <c r="B1341" s="1" t="s">
        <v>130</v>
      </c>
      <c r="C1341" s="11">
        <v>0</v>
      </c>
      <c r="D1341" s="11">
        <v>0</v>
      </c>
      <c r="E1341" s="2">
        <f t="shared" si="45"/>
        <v>0</v>
      </c>
      <c r="F1341" s="11">
        <v>0</v>
      </c>
      <c r="G1341" s="3" t="e">
        <f t="shared" si="44"/>
        <v>#DIV/0!</v>
      </c>
    </row>
    <row r="1342" spans="1:7">
      <c r="A1342" s="1">
        <v>7</v>
      </c>
      <c r="B1342" s="1" t="s">
        <v>130</v>
      </c>
      <c r="C1342" s="11">
        <v>0</v>
      </c>
      <c r="D1342" s="11">
        <v>0</v>
      </c>
      <c r="E1342" s="2">
        <f t="shared" si="45"/>
        <v>0</v>
      </c>
      <c r="F1342" s="11">
        <v>0</v>
      </c>
      <c r="G1342" s="3" t="e">
        <f t="shared" si="44"/>
        <v>#DIV/0!</v>
      </c>
    </row>
    <row r="1343" spans="1:7">
      <c r="A1343" s="1">
        <v>8</v>
      </c>
      <c r="B1343" s="1" t="s">
        <v>130</v>
      </c>
      <c r="C1343" s="11">
        <v>0</v>
      </c>
      <c r="D1343" s="11">
        <v>0</v>
      </c>
      <c r="E1343" s="2">
        <f t="shared" si="45"/>
        <v>0</v>
      </c>
      <c r="F1343" s="11">
        <v>0</v>
      </c>
      <c r="G1343" s="3" t="e">
        <f t="shared" si="44"/>
        <v>#DIV/0!</v>
      </c>
    </row>
    <row r="1344" spans="1:7">
      <c r="A1344" s="1">
        <v>9</v>
      </c>
      <c r="B1344" s="1" t="s">
        <v>130</v>
      </c>
      <c r="C1344" s="11">
        <v>0</v>
      </c>
      <c r="D1344" s="11">
        <v>0</v>
      </c>
      <c r="E1344" s="2">
        <f t="shared" si="45"/>
        <v>0</v>
      </c>
      <c r="F1344" s="11">
        <v>0</v>
      </c>
      <c r="G1344" s="3" t="e">
        <f t="shared" si="44"/>
        <v>#DIV/0!</v>
      </c>
    </row>
    <row r="1345" spans="1:7">
      <c r="A1345" s="1">
        <v>10</v>
      </c>
      <c r="B1345" s="1" t="s">
        <v>130</v>
      </c>
      <c r="C1345" s="11">
        <v>0</v>
      </c>
      <c r="D1345" s="11">
        <v>0</v>
      </c>
      <c r="E1345" s="2">
        <f t="shared" si="45"/>
        <v>0</v>
      </c>
      <c r="F1345" s="11">
        <v>0</v>
      </c>
      <c r="G1345" s="3" t="e">
        <f t="shared" si="44"/>
        <v>#DIV/0!</v>
      </c>
    </row>
    <row r="1346" spans="1:7">
      <c r="A1346" s="1">
        <v>11</v>
      </c>
      <c r="B1346" s="1" t="s">
        <v>130</v>
      </c>
      <c r="C1346" s="11">
        <v>0</v>
      </c>
      <c r="D1346" s="11">
        <v>0</v>
      </c>
      <c r="E1346" s="2">
        <f t="shared" si="45"/>
        <v>0</v>
      </c>
      <c r="F1346" s="11">
        <v>0</v>
      </c>
      <c r="G1346" s="3" t="e">
        <f t="shared" si="44"/>
        <v>#DIV/0!</v>
      </c>
    </row>
    <row r="1347" spans="1:7">
      <c r="A1347" s="1">
        <v>12</v>
      </c>
      <c r="B1347" s="1" t="s">
        <v>130</v>
      </c>
      <c r="C1347" s="11">
        <v>0</v>
      </c>
      <c r="D1347" s="11">
        <v>0</v>
      </c>
      <c r="E1347" s="2">
        <f t="shared" si="45"/>
        <v>0</v>
      </c>
      <c r="F1347" s="11">
        <v>0</v>
      </c>
      <c r="G1347" s="3" t="e">
        <f t="shared" si="44"/>
        <v>#DIV/0!</v>
      </c>
    </row>
    <row r="1348" spans="1:7">
      <c r="A1348" s="1">
        <v>13</v>
      </c>
      <c r="B1348" s="1" t="s">
        <v>130</v>
      </c>
      <c r="C1348" s="11">
        <v>0</v>
      </c>
      <c r="D1348" s="11">
        <v>0</v>
      </c>
      <c r="E1348" s="2">
        <f t="shared" si="45"/>
        <v>0</v>
      </c>
      <c r="F1348" s="11">
        <v>0</v>
      </c>
      <c r="G1348" s="3" t="e">
        <f t="shared" si="44"/>
        <v>#DIV/0!</v>
      </c>
    </row>
    <row r="1349" spans="1:7">
      <c r="A1349" s="1">
        <v>14</v>
      </c>
      <c r="B1349" s="1" t="s">
        <v>130</v>
      </c>
      <c r="C1349" s="11">
        <v>0</v>
      </c>
      <c r="D1349" s="11">
        <v>0</v>
      </c>
      <c r="E1349" s="2">
        <f t="shared" si="45"/>
        <v>0</v>
      </c>
      <c r="F1349" s="11">
        <v>0</v>
      </c>
      <c r="G1349" s="3" t="e">
        <f t="shared" si="44"/>
        <v>#DIV/0!</v>
      </c>
    </row>
    <row r="1350" spans="1:7">
      <c r="A1350" s="1">
        <v>15</v>
      </c>
      <c r="B1350" s="1" t="s">
        <v>130</v>
      </c>
      <c r="C1350" s="11">
        <v>0</v>
      </c>
      <c r="D1350" s="11">
        <v>0</v>
      </c>
      <c r="E1350" s="2">
        <f t="shared" si="45"/>
        <v>0</v>
      </c>
      <c r="F1350" s="11">
        <v>0</v>
      </c>
      <c r="G1350" s="3" t="e">
        <f t="shared" si="44"/>
        <v>#DIV/0!</v>
      </c>
    </row>
    <row r="1351" spans="1:7">
      <c r="A1351" s="1">
        <v>16</v>
      </c>
      <c r="B1351" s="1" t="s">
        <v>130</v>
      </c>
      <c r="C1351" s="11">
        <v>0</v>
      </c>
      <c r="D1351" s="11">
        <v>0</v>
      </c>
      <c r="E1351" s="2">
        <f t="shared" si="45"/>
        <v>0</v>
      </c>
      <c r="F1351" s="11">
        <v>0</v>
      </c>
      <c r="G1351" s="3" t="e">
        <f t="shared" si="44"/>
        <v>#DIV/0!</v>
      </c>
    </row>
    <row r="1352" spans="1:7">
      <c r="A1352" s="1">
        <v>17</v>
      </c>
      <c r="B1352" s="1" t="s">
        <v>130</v>
      </c>
      <c r="C1352" s="11">
        <v>0</v>
      </c>
      <c r="D1352" s="11">
        <v>0</v>
      </c>
      <c r="E1352" s="2">
        <f t="shared" si="45"/>
        <v>0</v>
      </c>
      <c r="F1352" s="11">
        <v>0</v>
      </c>
      <c r="G1352" s="3" t="e">
        <f t="shared" si="44"/>
        <v>#DIV/0!</v>
      </c>
    </row>
    <row r="1353" spans="1:7">
      <c r="A1353" s="1">
        <v>18</v>
      </c>
      <c r="B1353" s="1" t="s">
        <v>130</v>
      </c>
      <c r="C1353" s="11">
        <v>0</v>
      </c>
      <c r="D1353" s="11">
        <v>0</v>
      </c>
      <c r="E1353" s="2">
        <f t="shared" si="45"/>
        <v>0</v>
      </c>
      <c r="F1353" s="11">
        <v>0</v>
      </c>
      <c r="G1353" s="3" t="e">
        <f t="shared" si="44"/>
        <v>#DIV/0!</v>
      </c>
    </row>
    <row r="1354" spans="1:7">
      <c r="A1354" s="1">
        <v>19</v>
      </c>
      <c r="B1354" s="1" t="s">
        <v>130</v>
      </c>
      <c r="C1354" s="11">
        <v>0</v>
      </c>
      <c r="D1354" s="11">
        <v>0</v>
      </c>
      <c r="E1354" s="2">
        <f t="shared" si="45"/>
        <v>0</v>
      </c>
      <c r="F1354" s="11">
        <v>0</v>
      </c>
      <c r="G1354" s="3" t="e">
        <f t="shared" si="44"/>
        <v>#DIV/0!</v>
      </c>
    </row>
    <row r="1355" spans="1:7">
      <c r="A1355" s="1">
        <v>20</v>
      </c>
      <c r="B1355" s="1" t="s">
        <v>130</v>
      </c>
      <c r="C1355" s="11">
        <v>0</v>
      </c>
      <c r="D1355" s="11">
        <v>0</v>
      </c>
      <c r="E1355" s="2">
        <f t="shared" si="45"/>
        <v>0</v>
      </c>
      <c r="F1355" s="11">
        <v>0</v>
      </c>
      <c r="G1355" s="3" t="e">
        <f t="shared" si="44"/>
        <v>#DIV/0!</v>
      </c>
    </row>
    <row r="1356" spans="1:7">
      <c r="A1356" s="1">
        <v>21</v>
      </c>
      <c r="B1356" s="1" t="s">
        <v>130</v>
      </c>
      <c r="C1356" s="11">
        <v>0</v>
      </c>
      <c r="D1356" s="11">
        <v>0</v>
      </c>
      <c r="E1356" s="2">
        <f t="shared" si="45"/>
        <v>0</v>
      </c>
      <c r="F1356" s="11">
        <v>0</v>
      </c>
      <c r="G1356" s="3" t="e">
        <f t="shared" si="44"/>
        <v>#DIV/0!</v>
      </c>
    </row>
    <row r="1357" spans="1:7">
      <c r="A1357" s="1">
        <v>22</v>
      </c>
      <c r="B1357" s="1" t="s">
        <v>130</v>
      </c>
      <c r="C1357" s="11">
        <v>0</v>
      </c>
      <c r="D1357" s="11">
        <v>0</v>
      </c>
      <c r="E1357" s="2">
        <f t="shared" si="45"/>
        <v>0</v>
      </c>
      <c r="F1357" s="11">
        <v>0</v>
      </c>
      <c r="G1357" s="3" t="e">
        <f t="shared" si="44"/>
        <v>#DIV/0!</v>
      </c>
    </row>
    <row r="1358" spans="1:7">
      <c r="A1358" s="1">
        <v>23</v>
      </c>
      <c r="B1358" s="1" t="s">
        <v>130</v>
      </c>
      <c r="C1358" s="11">
        <v>0</v>
      </c>
      <c r="D1358" s="11">
        <v>0</v>
      </c>
      <c r="E1358" s="2">
        <f t="shared" si="45"/>
        <v>0</v>
      </c>
      <c r="F1358" s="11">
        <v>0</v>
      </c>
      <c r="G1358" s="3" t="e">
        <f t="shared" si="44"/>
        <v>#DIV/0!</v>
      </c>
    </row>
    <row r="1359" spans="1:7">
      <c r="A1359" s="1">
        <v>24</v>
      </c>
      <c r="B1359" s="1" t="s">
        <v>130</v>
      </c>
      <c r="C1359" s="11">
        <v>0</v>
      </c>
      <c r="D1359" s="11">
        <v>0</v>
      </c>
      <c r="E1359" s="2">
        <f t="shared" si="45"/>
        <v>0</v>
      </c>
      <c r="F1359" s="11">
        <v>0</v>
      </c>
      <c r="G1359" s="3" t="e">
        <f t="shared" si="44"/>
        <v>#DIV/0!</v>
      </c>
    </row>
    <row r="1360" spans="1:7">
      <c r="A1360" s="1">
        <v>25</v>
      </c>
      <c r="B1360" s="1" t="s">
        <v>130</v>
      </c>
      <c r="C1360" s="11">
        <v>0</v>
      </c>
      <c r="D1360" s="11">
        <v>0</v>
      </c>
      <c r="E1360" s="2">
        <f t="shared" si="45"/>
        <v>0</v>
      </c>
      <c r="F1360" s="11">
        <v>0</v>
      </c>
      <c r="G1360" s="3" t="e">
        <f t="shared" si="44"/>
        <v>#DIV/0!</v>
      </c>
    </row>
    <row r="1361" spans="1:7">
      <c r="A1361" s="1">
        <v>26</v>
      </c>
      <c r="B1361" s="1" t="s">
        <v>130</v>
      </c>
      <c r="C1361" s="11">
        <v>0</v>
      </c>
      <c r="D1361" s="11">
        <v>0</v>
      </c>
      <c r="E1361" s="2">
        <f t="shared" si="45"/>
        <v>0</v>
      </c>
      <c r="F1361" s="11">
        <v>0</v>
      </c>
      <c r="G1361" s="3" t="e">
        <f t="shared" si="44"/>
        <v>#DIV/0!</v>
      </c>
    </row>
    <row r="1362" spans="1:7">
      <c r="A1362" s="1">
        <v>27</v>
      </c>
      <c r="B1362" s="1" t="s">
        <v>130</v>
      </c>
      <c r="C1362" s="11">
        <v>0</v>
      </c>
      <c r="D1362" s="11">
        <v>0</v>
      </c>
      <c r="E1362" s="2">
        <f t="shared" si="45"/>
        <v>0</v>
      </c>
      <c r="F1362" s="11">
        <v>0</v>
      </c>
      <c r="G1362" s="3" t="e">
        <f t="shared" si="44"/>
        <v>#DIV/0!</v>
      </c>
    </row>
    <row r="1363" spans="1:7">
      <c r="A1363" s="1">
        <v>28</v>
      </c>
      <c r="B1363" s="1" t="s">
        <v>130</v>
      </c>
      <c r="C1363" s="11">
        <v>0</v>
      </c>
      <c r="D1363" s="11">
        <v>0</v>
      </c>
      <c r="E1363" s="2">
        <f t="shared" si="45"/>
        <v>0</v>
      </c>
      <c r="F1363" s="11">
        <v>0</v>
      </c>
      <c r="G1363" s="3" t="e">
        <f t="shared" si="44"/>
        <v>#DIV/0!</v>
      </c>
    </row>
    <row r="1364" spans="1:7">
      <c r="A1364" s="1">
        <v>29</v>
      </c>
      <c r="B1364" s="1" t="s">
        <v>130</v>
      </c>
      <c r="C1364" s="11">
        <v>0</v>
      </c>
      <c r="D1364" s="11">
        <v>0</v>
      </c>
      <c r="E1364" s="2">
        <f t="shared" si="45"/>
        <v>0</v>
      </c>
      <c r="F1364" s="11">
        <v>0</v>
      </c>
      <c r="G1364" s="3" t="e">
        <f t="shared" si="44"/>
        <v>#DIV/0!</v>
      </c>
    </row>
    <row r="1365" spans="1:7">
      <c r="A1365" s="1">
        <v>30</v>
      </c>
      <c r="B1365" s="1" t="s">
        <v>130</v>
      </c>
      <c r="C1365" s="11">
        <v>21.838000000000001</v>
      </c>
      <c r="D1365" s="11">
        <v>21.65</v>
      </c>
      <c r="E1365" s="2">
        <f t="shared" si="45"/>
        <v>0.18800000000000239</v>
      </c>
      <c r="F1365" s="11">
        <v>0</v>
      </c>
      <c r="G1365" s="3">
        <f t="shared" si="44"/>
        <v>8.6088469640078023E-3</v>
      </c>
    </row>
    <row r="1366" spans="1:7">
      <c r="A1366" s="1">
        <v>31</v>
      </c>
      <c r="B1366" s="1" t="s">
        <v>130</v>
      </c>
      <c r="C1366" s="11">
        <v>0</v>
      </c>
      <c r="D1366" s="11">
        <v>0</v>
      </c>
      <c r="E1366" s="2">
        <f t="shared" si="45"/>
        <v>0</v>
      </c>
      <c r="F1366" s="11">
        <v>0.188</v>
      </c>
      <c r="G1366" s="3" t="e">
        <f t="shared" si="44"/>
        <v>#DIV/0!</v>
      </c>
    </row>
    <row r="1367" spans="1:7">
      <c r="A1367" s="1">
        <v>1</v>
      </c>
      <c r="B1367" s="1" t="s">
        <v>131</v>
      </c>
      <c r="C1367" s="11">
        <v>0</v>
      </c>
      <c r="D1367" s="11">
        <v>0</v>
      </c>
      <c r="E1367" s="2">
        <f t="shared" si="42"/>
        <v>0</v>
      </c>
      <c r="F1367" s="11">
        <v>0</v>
      </c>
      <c r="G1367" s="3" t="e">
        <f t="shared" si="43"/>
        <v>#DIV/0!</v>
      </c>
    </row>
    <row r="1368" spans="1:7">
      <c r="A1368" s="1">
        <v>2</v>
      </c>
      <c r="B1368" s="1" t="s">
        <v>131</v>
      </c>
      <c r="C1368" s="11">
        <v>0</v>
      </c>
      <c r="D1368" s="11">
        <v>0</v>
      </c>
      <c r="E1368" s="2">
        <f t="shared" si="42"/>
        <v>0</v>
      </c>
      <c r="F1368" s="11">
        <v>0</v>
      </c>
      <c r="G1368" s="3" t="e">
        <f t="shared" si="43"/>
        <v>#DIV/0!</v>
      </c>
    </row>
    <row r="1369" spans="1:7">
      <c r="A1369" s="1">
        <v>3</v>
      </c>
      <c r="B1369" s="1" t="s">
        <v>131</v>
      </c>
      <c r="C1369" s="11">
        <v>0</v>
      </c>
      <c r="D1369" s="11">
        <v>0</v>
      </c>
      <c r="E1369" s="2">
        <f t="shared" si="42"/>
        <v>0</v>
      </c>
      <c r="F1369" s="11">
        <v>0</v>
      </c>
      <c r="G1369" s="3" t="e">
        <f t="shared" si="43"/>
        <v>#DIV/0!</v>
      </c>
    </row>
    <row r="1370" spans="1:7">
      <c r="A1370" s="1">
        <v>4</v>
      </c>
      <c r="B1370" s="1" t="s">
        <v>131</v>
      </c>
      <c r="C1370" s="11">
        <v>0</v>
      </c>
      <c r="D1370" s="11">
        <v>0</v>
      </c>
      <c r="E1370" s="2">
        <f t="shared" ref="E1370:E1395" si="46">C1370-D1370</f>
        <v>0</v>
      </c>
      <c r="F1370" s="11">
        <v>0</v>
      </c>
      <c r="G1370" s="3" t="e">
        <f t="shared" si="43"/>
        <v>#DIV/0!</v>
      </c>
    </row>
    <row r="1371" spans="1:7">
      <c r="A1371" s="1">
        <v>5</v>
      </c>
      <c r="B1371" s="1" t="s">
        <v>131</v>
      </c>
      <c r="C1371" s="11">
        <v>0</v>
      </c>
      <c r="D1371" s="11">
        <v>0</v>
      </c>
      <c r="E1371" s="2">
        <f t="shared" si="46"/>
        <v>0</v>
      </c>
      <c r="F1371" s="11">
        <v>0</v>
      </c>
      <c r="G1371" s="3" t="e">
        <f t="shared" ref="G1371:G1397" si="47">(E1371+F1371)/C1371</f>
        <v>#DIV/0!</v>
      </c>
    </row>
    <row r="1372" spans="1:7">
      <c r="A1372" s="1">
        <v>6</v>
      </c>
      <c r="B1372" s="1" t="s">
        <v>131</v>
      </c>
      <c r="C1372" s="11">
        <v>0</v>
      </c>
      <c r="D1372" s="11">
        <v>0</v>
      </c>
      <c r="E1372" s="2">
        <f t="shared" si="46"/>
        <v>0</v>
      </c>
      <c r="F1372" s="11">
        <v>0</v>
      </c>
      <c r="G1372" s="3" t="e">
        <f t="shared" si="47"/>
        <v>#DIV/0!</v>
      </c>
    </row>
    <row r="1373" spans="1:7">
      <c r="A1373" s="1">
        <v>7</v>
      </c>
      <c r="B1373" s="1" t="s">
        <v>131</v>
      </c>
      <c r="C1373" s="11">
        <v>0</v>
      </c>
      <c r="D1373" s="11">
        <v>0</v>
      </c>
      <c r="E1373" s="2">
        <f t="shared" si="46"/>
        <v>0</v>
      </c>
      <c r="F1373" s="11">
        <v>0</v>
      </c>
      <c r="G1373" s="3" t="e">
        <f t="shared" si="47"/>
        <v>#DIV/0!</v>
      </c>
    </row>
    <row r="1374" spans="1:7">
      <c r="A1374" s="1">
        <v>8</v>
      </c>
      <c r="B1374" s="1" t="s">
        <v>131</v>
      </c>
      <c r="C1374" s="11">
        <v>0</v>
      </c>
      <c r="D1374" s="11">
        <v>0</v>
      </c>
      <c r="E1374" s="2">
        <f t="shared" si="46"/>
        <v>0</v>
      </c>
      <c r="F1374" s="11">
        <v>0</v>
      </c>
      <c r="G1374" s="3" t="e">
        <f t="shared" si="47"/>
        <v>#DIV/0!</v>
      </c>
    </row>
    <row r="1375" spans="1:7">
      <c r="A1375" s="1">
        <v>9</v>
      </c>
      <c r="B1375" s="1" t="s">
        <v>131</v>
      </c>
      <c r="C1375" s="11">
        <v>0</v>
      </c>
      <c r="D1375" s="11">
        <v>0</v>
      </c>
      <c r="E1375" s="2">
        <f t="shared" si="46"/>
        <v>0</v>
      </c>
      <c r="F1375" s="11">
        <v>0</v>
      </c>
      <c r="G1375" s="3" t="e">
        <f t="shared" si="47"/>
        <v>#DIV/0!</v>
      </c>
    </row>
    <row r="1376" spans="1:7">
      <c r="A1376" s="1">
        <v>10</v>
      </c>
      <c r="B1376" s="1" t="s">
        <v>131</v>
      </c>
      <c r="C1376" s="11">
        <v>0</v>
      </c>
      <c r="D1376" s="11">
        <v>0</v>
      </c>
      <c r="E1376" s="2">
        <f t="shared" si="46"/>
        <v>0</v>
      </c>
      <c r="F1376" s="11">
        <v>0</v>
      </c>
      <c r="G1376" s="3" t="e">
        <f t="shared" si="47"/>
        <v>#DIV/0!</v>
      </c>
    </row>
    <row r="1377" spans="1:7">
      <c r="A1377" s="1">
        <v>11</v>
      </c>
      <c r="B1377" s="1" t="s">
        <v>131</v>
      </c>
      <c r="C1377" s="11">
        <v>0</v>
      </c>
      <c r="D1377" s="11">
        <v>0</v>
      </c>
      <c r="E1377" s="2">
        <f t="shared" si="46"/>
        <v>0</v>
      </c>
      <c r="F1377" s="11">
        <v>0</v>
      </c>
      <c r="G1377" s="3" t="e">
        <f t="shared" si="47"/>
        <v>#DIV/0!</v>
      </c>
    </row>
    <row r="1378" spans="1:7">
      <c r="A1378" s="1">
        <v>12</v>
      </c>
      <c r="B1378" s="1" t="s">
        <v>131</v>
      </c>
      <c r="C1378" s="11">
        <v>0</v>
      </c>
      <c r="D1378" s="11">
        <v>0</v>
      </c>
      <c r="E1378" s="2">
        <f t="shared" si="46"/>
        <v>0</v>
      </c>
      <c r="F1378" s="11">
        <v>0</v>
      </c>
      <c r="G1378" s="3" t="e">
        <f t="shared" si="47"/>
        <v>#DIV/0!</v>
      </c>
    </row>
    <row r="1379" spans="1:7">
      <c r="A1379" s="1">
        <v>13</v>
      </c>
      <c r="B1379" s="1" t="s">
        <v>131</v>
      </c>
      <c r="C1379" s="11">
        <v>0</v>
      </c>
      <c r="D1379" s="11">
        <v>0</v>
      </c>
      <c r="E1379" s="2">
        <f t="shared" si="46"/>
        <v>0</v>
      </c>
      <c r="F1379" s="11">
        <v>0</v>
      </c>
      <c r="G1379" s="3" t="e">
        <f t="shared" si="47"/>
        <v>#DIV/0!</v>
      </c>
    </row>
    <row r="1380" spans="1:7">
      <c r="A1380" s="1">
        <v>14</v>
      </c>
      <c r="B1380" s="1" t="s">
        <v>131</v>
      </c>
      <c r="C1380" s="11">
        <v>0</v>
      </c>
      <c r="D1380" s="11">
        <v>0</v>
      </c>
      <c r="E1380" s="2">
        <f t="shared" si="46"/>
        <v>0</v>
      </c>
      <c r="F1380" s="11">
        <v>0</v>
      </c>
      <c r="G1380" s="3" t="e">
        <f t="shared" si="47"/>
        <v>#DIV/0!</v>
      </c>
    </row>
    <row r="1381" spans="1:7">
      <c r="A1381" s="1">
        <v>15</v>
      </c>
      <c r="B1381" s="1" t="s">
        <v>131</v>
      </c>
      <c r="C1381" s="11">
        <v>0</v>
      </c>
      <c r="D1381" s="11">
        <v>0</v>
      </c>
      <c r="E1381" s="2">
        <f t="shared" si="46"/>
        <v>0</v>
      </c>
      <c r="F1381" s="11">
        <v>0</v>
      </c>
      <c r="G1381" s="3" t="e">
        <f t="shared" si="47"/>
        <v>#DIV/0!</v>
      </c>
    </row>
    <row r="1382" spans="1:7">
      <c r="A1382" s="1">
        <v>16</v>
      </c>
      <c r="B1382" s="1" t="s">
        <v>131</v>
      </c>
      <c r="C1382" s="11">
        <v>0</v>
      </c>
      <c r="D1382" s="11">
        <v>0</v>
      </c>
      <c r="E1382" s="2">
        <f t="shared" si="46"/>
        <v>0</v>
      </c>
      <c r="F1382" s="11">
        <v>0</v>
      </c>
      <c r="G1382" s="3" t="e">
        <f t="shared" si="47"/>
        <v>#DIV/0!</v>
      </c>
    </row>
    <row r="1383" spans="1:7">
      <c r="A1383" s="1">
        <v>17</v>
      </c>
      <c r="B1383" s="1" t="s">
        <v>131</v>
      </c>
      <c r="C1383" s="11">
        <v>0</v>
      </c>
      <c r="D1383" s="11">
        <v>0</v>
      </c>
      <c r="E1383" s="2">
        <f t="shared" si="46"/>
        <v>0</v>
      </c>
      <c r="F1383" s="11">
        <v>0</v>
      </c>
      <c r="G1383" s="3" t="e">
        <f t="shared" si="47"/>
        <v>#DIV/0!</v>
      </c>
    </row>
    <row r="1384" spans="1:7">
      <c r="A1384" s="1">
        <v>18</v>
      </c>
      <c r="B1384" s="1" t="s">
        <v>131</v>
      </c>
      <c r="C1384" s="11">
        <v>0</v>
      </c>
      <c r="D1384" s="11">
        <v>0</v>
      </c>
      <c r="E1384" s="2">
        <f t="shared" si="46"/>
        <v>0</v>
      </c>
      <c r="F1384" s="11">
        <v>0</v>
      </c>
      <c r="G1384" s="3" t="e">
        <f t="shared" si="47"/>
        <v>#DIV/0!</v>
      </c>
    </row>
    <row r="1385" spans="1:7">
      <c r="A1385" s="1">
        <v>19</v>
      </c>
      <c r="B1385" s="1" t="s">
        <v>131</v>
      </c>
      <c r="C1385" s="11">
        <v>0</v>
      </c>
      <c r="D1385" s="11">
        <v>0</v>
      </c>
      <c r="E1385" s="2">
        <f t="shared" si="46"/>
        <v>0</v>
      </c>
      <c r="F1385" s="11">
        <v>0</v>
      </c>
      <c r="G1385" s="3" t="e">
        <f t="shared" si="47"/>
        <v>#DIV/0!</v>
      </c>
    </row>
    <row r="1386" spans="1:7">
      <c r="A1386" s="1">
        <v>20</v>
      </c>
      <c r="B1386" s="1" t="s">
        <v>131</v>
      </c>
      <c r="C1386" s="11">
        <v>0</v>
      </c>
      <c r="D1386" s="11">
        <v>0</v>
      </c>
      <c r="E1386" s="2">
        <f t="shared" si="46"/>
        <v>0</v>
      </c>
      <c r="F1386" s="11">
        <v>0</v>
      </c>
      <c r="G1386" s="3" t="e">
        <f t="shared" si="47"/>
        <v>#DIV/0!</v>
      </c>
    </row>
    <row r="1387" spans="1:7">
      <c r="A1387" s="1">
        <v>21</v>
      </c>
      <c r="B1387" s="1" t="s">
        <v>131</v>
      </c>
      <c r="C1387" s="11">
        <v>0</v>
      </c>
      <c r="D1387" s="11">
        <v>0</v>
      </c>
      <c r="E1387" s="2">
        <f t="shared" si="46"/>
        <v>0</v>
      </c>
      <c r="F1387" s="11">
        <v>0</v>
      </c>
      <c r="G1387" s="3" t="e">
        <f t="shared" si="47"/>
        <v>#DIV/0!</v>
      </c>
    </row>
    <row r="1388" spans="1:7">
      <c r="A1388" s="1">
        <v>22</v>
      </c>
      <c r="B1388" s="1" t="s">
        <v>131</v>
      </c>
      <c r="C1388" s="11">
        <v>0</v>
      </c>
      <c r="D1388" s="11">
        <v>0</v>
      </c>
      <c r="E1388" s="2">
        <f t="shared" si="46"/>
        <v>0</v>
      </c>
      <c r="F1388" s="11">
        <v>0</v>
      </c>
      <c r="G1388" s="3" t="e">
        <f t="shared" si="47"/>
        <v>#DIV/0!</v>
      </c>
    </row>
    <row r="1389" spans="1:7">
      <c r="A1389" s="1">
        <v>23</v>
      </c>
      <c r="B1389" s="1" t="s">
        <v>131</v>
      </c>
      <c r="C1389" s="11">
        <v>0</v>
      </c>
      <c r="D1389" s="11">
        <v>0</v>
      </c>
      <c r="E1389" s="2">
        <f t="shared" si="46"/>
        <v>0</v>
      </c>
      <c r="F1389" s="11">
        <v>0</v>
      </c>
      <c r="G1389" s="3" t="e">
        <f t="shared" si="47"/>
        <v>#DIV/0!</v>
      </c>
    </row>
    <row r="1390" spans="1:7">
      <c r="A1390" s="1">
        <v>24</v>
      </c>
      <c r="B1390" s="1" t="s">
        <v>131</v>
      </c>
      <c r="C1390" s="11">
        <v>0</v>
      </c>
      <c r="D1390" s="11">
        <v>0</v>
      </c>
      <c r="E1390" s="2">
        <f t="shared" si="46"/>
        <v>0</v>
      </c>
      <c r="F1390" s="11">
        <v>0</v>
      </c>
      <c r="G1390" s="3" t="e">
        <f t="shared" si="47"/>
        <v>#DIV/0!</v>
      </c>
    </row>
    <row r="1391" spans="1:7">
      <c r="A1391" s="1">
        <v>25</v>
      </c>
      <c r="B1391" s="1" t="s">
        <v>131</v>
      </c>
      <c r="C1391" s="11">
        <v>0</v>
      </c>
      <c r="D1391" s="11">
        <v>0</v>
      </c>
      <c r="E1391" s="2">
        <f t="shared" si="46"/>
        <v>0</v>
      </c>
      <c r="F1391" s="11">
        <v>0</v>
      </c>
      <c r="G1391" s="3" t="e">
        <f t="shared" si="47"/>
        <v>#DIV/0!</v>
      </c>
    </row>
    <row r="1392" spans="1:7">
      <c r="A1392" s="1">
        <v>26</v>
      </c>
      <c r="B1392" s="1" t="s">
        <v>131</v>
      </c>
      <c r="C1392" s="11">
        <v>0</v>
      </c>
      <c r="D1392" s="11">
        <v>0</v>
      </c>
      <c r="E1392" s="2">
        <f t="shared" si="46"/>
        <v>0</v>
      </c>
      <c r="F1392" s="11">
        <v>0</v>
      </c>
      <c r="G1392" s="3" t="e">
        <f t="shared" si="47"/>
        <v>#DIV/0!</v>
      </c>
    </row>
    <row r="1393" spans="1:7">
      <c r="A1393" s="1">
        <v>27</v>
      </c>
      <c r="B1393" s="1" t="s">
        <v>131</v>
      </c>
      <c r="C1393" s="11">
        <v>0</v>
      </c>
      <c r="D1393" s="11">
        <v>0</v>
      </c>
      <c r="E1393" s="2">
        <f t="shared" si="46"/>
        <v>0</v>
      </c>
      <c r="F1393" s="11">
        <v>0</v>
      </c>
      <c r="G1393" s="3" t="e">
        <f t="shared" si="47"/>
        <v>#DIV/0!</v>
      </c>
    </row>
    <row r="1394" spans="1:7">
      <c r="A1394" s="1">
        <v>28</v>
      </c>
      <c r="B1394" s="1" t="s">
        <v>131</v>
      </c>
      <c r="C1394" s="11">
        <v>0</v>
      </c>
      <c r="D1394" s="11">
        <v>0</v>
      </c>
      <c r="E1394" s="2">
        <f t="shared" si="46"/>
        <v>0</v>
      </c>
      <c r="F1394" s="11">
        <v>0</v>
      </c>
      <c r="G1394" s="3" t="e">
        <f t="shared" si="47"/>
        <v>#DIV/0!</v>
      </c>
    </row>
    <row r="1395" spans="1:7">
      <c r="A1395" s="1">
        <v>29</v>
      </c>
      <c r="B1395" s="1" t="s">
        <v>131</v>
      </c>
      <c r="C1395" s="11">
        <v>0</v>
      </c>
      <c r="D1395" s="11">
        <v>0</v>
      </c>
      <c r="E1395" s="2">
        <f t="shared" si="46"/>
        <v>0</v>
      </c>
      <c r="F1395" s="11">
        <v>0</v>
      </c>
      <c r="G1395" s="3" t="e">
        <f t="shared" si="47"/>
        <v>#DIV/0!</v>
      </c>
    </row>
    <row r="1396" spans="1:7">
      <c r="A1396" s="1">
        <v>30</v>
      </c>
      <c r="B1396" s="1" t="s">
        <v>131</v>
      </c>
      <c r="C1396" s="11">
        <v>0</v>
      </c>
      <c r="D1396" s="11">
        <v>0</v>
      </c>
      <c r="E1396" s="2">
        <f t="shared" ref="E1396:E1397" si="48">C1396-D1396</f>
        <v>0</v>
      </c>
      <c r="F1396" s="11">
        <v>0</v>
      </c>
      <c r="G1396" s="3" t="e">
        <f t="shared" si="47"/>
        <v>#DIV/0!</v>
      </c>
    </row>
    <row r="1397" spans="1:7">
      <c r="A1397" s="1">
        <v>31</v>
      </c>
      <c r="B1397" s="1" t="s">
        <v>131</v>
      </c>
      <c r="C1397" s="11">
        <v>55.71</v>
      </c>
      <c r="D1397" s="11">
        <v>55.33</v>
      </c>
      <c r="E1397" s="2">
        <f t="shared" si="48"/>
        <v>0.38000000000000256</v>
      </c>
      <c r="F1397" s="11">
        <v>0</v>
      </c>
      <c r="G1397" s="3">
        <f t="shared" si="47"/>
        <v>6.8210375157063824E-3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66EF-4EF1-41BD-886A-217CEE1676DF}">
  <dimension ref="A3:F101"/>
  <sheetViews>
    <sheetView topLeftCell="A76" workbookViewId="0">
      <selection activeCell="A55" sqref="A55:F101"/>
    </sheetView>
  </sheetViews>
  <sheetFormatPr defaultRowHeight="14.4"/>
  <cols>
    <col min="1" max="1" width="17.44140625" bestFit="1" customWidth="1"/>
    <col min="2" max="2" width="11.5546875" bestFit="1" customWidth="1"/>
    <col min="3" max="3" width="13.21875" bestFit="1" customWidth="1"/>
    <col min="4" max="4" width="15.109375" bestFit="1" customWidth="1"/>
    <col min="5" max="5" width="17.88671875" bestFit="1" customWidth="1"/>
  </cols>
  <sheetData>
    <row r="3" spans="1:5">
      <c r="A3" s="99" t="s">
        <v>132</v>
      </c>
      <c r="B3" t="s">
        <v>46</v>
      </c>
      <c r="C3" t="s">
        <v>45</v>
      </c>
      <c r="D3" t="s">
        <v>47</v>
      </c>
      <c r="E3" t="s">
        <v>48</v>
      </c>
    </row>
    <row r="4" spans="1:5">
      <c r="A4" s="100" t="s">
        <v>23</v>
      </c>
      <c r="B4">
        <v>0</v>
      </c>
      <c r="C4">
        <v>0</v>
      </c>
      <c r="D4" s="15">
        <v>0</v>
      </c>
      <c r="E4" s="20">
        <v>3.5240000000000005</v>
      </c>
    </row>
    <row r="5" spans="1:5">
      <c r="A5" s="100" t="s">
        <v>18</v>
      </c>
      <c r="B5">
        <v>850</v>
      </c>
      <c r="C5">
        <v>846.85</v>
      </c>
      <c r="D5" s="15">
        <v>3.1500000000000021</v>
      </c>
      <c r="E5" s="20">
        <v>6.0890000000000102</v>
      </c>
    </row>
    <row r="6" spans="1:5">
      <c r="A6" s="100" t="s">
        <v>24</v>
      </c>
      <c r="B6">
        <v>143</v>
      </c>
      <c r="C6">
        <v>142.04</v>
      </c>
      <c r="D6" s="15">
        <v>0.96000000000000529</v>
      </c>
      <c r="E6" s="20">
        <v>2.3530000000000002</v>
      </c>
    </row>
    <row r="7" spans="1:5">
      <c r="A7" s="100" t="s">
        <v>14</v>
      </c>
      <c r="B7">
        <v>1766.3</v>
      </c>
      <c r="C7">
        <v>1755.34</v>
      </c>
      <c r="D7" s="15">
        <v>10.959999999999958</v>
      </c>
      <c r="E7" s="20">
        <v>16.510000000000005</v>
      </c>
    </row>
    <row r="8" spans="1:5">
      <c r="A8" s="100" t="s">
        <v>12</v>
      </c>
      <c r="B8">
        <v>1038</v>
      </c>
      <c r="C8">
        <v>1028.0000000000002</v>
      </c>
      <c r="D8" s="15">
        <v>9.9999999999999822</v>
      </c>
      <c r="E8" s="20">
        <v>16.542999999999996</v>
      </c>
    </row>
    <row r="9" spans="1:5">
      <c r="A9" s="100" t="s">
        <v>32</v>
      </c>
      <c r="B9">
        <v>40</v>
      </c>
      <c r="C9">
        <v>39.739999999999995</v>
      </c>
      <c r="D9" s="15">
        <v>0.26000000000000156</v>
      </c>
      <c r="E9" s="20">
        <v>4.0980000000000016</v>
      </c>
    </row>
    <row r="10" spans="1:5">
      <c r="A10" s="100" t="s">
        <v>25</v>
      </c>
      <c r="B10">
        <v>20</v>
      </c>
      <c r="C10">
        <v>19.98</v>
      </c>
      <c r="D10" s="15">
        <v>1.9999999999999574E-2</v>
      </c>
      <c r="E10" s="20">
        <v>2.2632999999999988</v>
      </c>
    </row>
    <row r="11" spans="1:5">
      <c r="A11" s="100" t="s">
        <v>26</v>
      </c>
      <c r="B11">
        <v>47.75</v>
      </c>
      <c r="C11">
        <v>47.21</v>
      </c>
      <c r="D11" s="15">
        <v>0.54</v>
      </c>
      <c r="E11" s="20">
        <v>2.324999999999998</v>
      </c>
    </row>
    <row r="12" spans="1:5">
      <c r="A12" s="100" t="s">
        <v>38</v>
      </c>
      <c r="B12">
        <v>80</v>
      </c>
      <c r="C12">
        <v>78.639999999999986</v>
      </c>
      <c r="D12" s="15">
        <v>1.360000000000003</v>
      </c>
      <c r="E12" s="20">
        <v>4.5720000000000001</v>
      </c>
    </row>
    <row r="13" spans="1:5">
      <c r="A13" s="100" t="s">
        <v>9</v>
      </c>
      <c r="B13">
        <v>550.54</v>
      </c>
      <c r="C13">
        <v>546.92000000000007</v>
      </c>
      <c r="D13" s="15">
        <v>3.620000000000001</v>
      </c>
      <c r="E13" s="20">
        <v>6.0230000000000006</v>
      </c>
    </row>
    <row r="14" spans="1:5">
      <c r="A14" s="100" t="s">
        <v>44</v>
      </c>
      <c r="B14">
        <v>20</v>
      </c>
      <c r="C14">
        <v>19.98</v>
      </c>
      <c r="D14" s="15">
        <v>1.9999999999999574E-2</v>
      </c>
      <c r="E14" s="20">
        <v>1.7340000000000009</v>
      </c>
    </row>
    <row r="15" spans="1:5">
      <c r="A15" s="100" t="s">
        <v>27</v>
      </c>
      <c r="B15">
        <v>20</v>
      </c>
      <c r="C15">
        <v>19.670000000000002</v>
      </c>
      <c r="D15" s="15">
        <v>0.32999999999999829</v>
      </c>
      <c r="E15" s="20">
        <v>0.39800000000000002</v>
      </c>
    </row>
    <row r="16" spans="1:5">
      <c r="A16" s="100" t="s">
        <v>33</v>
      </c>
      <c r="B16">
        <v>100</v>
      </c>
      <c r="C16">
        <v>99.100000000000009</v>
      </c>
      <c r="D16" s="15">
        <v>0.89999999999999858</v>
      </c>
      <c r="E16" s="20">
        <v>3.5759999999999996</v>
      </c>
    </row>
    <row r="17" spans="1:5">
      <c r="A17" s="100" t="s">
        <v>121</v>
      </c>
      <c r="B17">
        <v>85</v>
      </c>
      <c r="C17">
        <v>84.29</v>
      </c>
      <c r="D17" s="15">
        <v>0.71000000000000085</v>
      </c>
      <c r="E17" s="20">
        <v>3.3319999999999994</v>
      </c>
    </row>
    <row r="18" spans="1:5">
      <c r="A18" s="100" t="s">
        <v>67</v>
      </c>
      <c r="B18">
        <v>215</v>
      </c>
      <c r="C18">
        <v>213.36</v>
      </c>
      <c r="D18" s="15">
        <v>1.6400000000000041</v>
      </c>
      <c r="E18" s="20">
        <v>6.3549999999999995</v>
      </c>
    </row>
    <row r="19" spans="1:5">
      <c r="A19" s="100" t="s">
        <v>10</v>
      </c>
      <c r="B19">
        <v>160</v>
      </c>
      <c r="C19">
        <v>158.14000000000001</v>
      </c>
      <c r="D19" s="15">
        <v>1.860000000000003</v>
      </c>
      <c r="E19" s="20">
        <v>6.1830000000000007</v>
      </c>
    </row>
    <row r="20" spans="1:5">
      <c r="A20" s="100" t="s">
        <v>30</v>
      </c>
      <c r="B20">
        <v>125.13</v>
      </c>
      <c r="C20">
        <v>123.88999999999999</v>
      </c>
      <c r="D20" s="15">
        <v>1.240000000000002</v>
      </c>
      <c r="E20" s="20">
        <v>5.1819999999999977</v>
      </c>
    </row>
    <row r="21" spans="1:5">
      <c r="A21" s="100" t="s">
        <v>39</v>
      </c>
      <c r="B21">
        <v>148</v>
      </c>
      <c r="C21">
        <v>146.35999999999999</v>
      </c>
      <c r="D21" s="15">
        <v>1.6400000000000015</v>
      </c>
      <c r="E21" s="20">
        <v>5.7039999999999971</v>
      </c>
    </row>
    <row r="22" spans="1:5">
      <c r="A22" s="100" t="s">
        <v>20</v>
      </c>
      <c r="B22">
        <v>220</v>
      </c>
      <c r="C22">
        <v>219.22000000000003</v>
      </c>
      <c r="D22" s="15">
        <v>0.77999999999999403</v>
      </c>
      <c r="E22" s="20">
        <v>1.9469999999999985</v>
      </c>
    </row>
    <row r="23" spans="1:5">
      <c r="A23" s="100" t="s">
        <v>31</v>
      </c>
      <c r="B23">
        <v>111</v>
      </c>
      <c r="C23">
        <v>110</v>
      </c>
      <c r="D23" s="15">
        <v>0.99999999999999645</v>
      </c>
      <c r="E23" s="20">
        <v>5.1729999999999992</v>
      </c>
    </row>
    <row r="24" spans="1:5">
      <c r="A24" s="100" t="s">
        <v>124</v>
      </c>
      <c r="B24">
        <v>140</v>
      </c>
      <c r="C24">
        <v>137.74</v>
      </c>
      <c r="D24" s="15">
        <v>2.259999999999998</v>
      </c>
      <c r="E24" s="20">
        <v>2.6540000000000039</v>
      </c>
    </row>
    <row r="25" spans="1:5">
      <c r="A25" s="100" t="s">
        <v>17</v>
      </c>
      <c r="B25">
        <v>650</v>
      </c>
      <c r="C25">
        <v>645.51</v>
      </c>
      <c r="D25" s="15">
        <v>4.4899999999999984</v>
      </c>
      <c r="E25" s="20">
        <v>3.8240000000000016</v>
      </c>
    </row>
    <row r="26" spans="1:5">
      <c r="A26" s="100" t="s">
        <v>11</v>
      </c>
      <c r="B26">
        <v>197.66</v>
      </c>
      <c r="C26">
        <v>195.3</v>
      </c>
      <c r="D26" s="15">
        <v>2.360000000000003</v>
      </c>
      <c r="E26" s="20">
        <v>8.8020000000000014</v>
      </c>
    </row>
    <row r="27" spans="1:5">
      <c r="A27" s="100" t="s">
        <v>8</v>
      </c>
      <c r="B27">
        <v>1855.04</v>
      </c>
      <c r="C27">
        <v>1842.8999999999999</v>
      </c>
      <c r="D27" s="15">
        <v>12.140000000000029</v>
      </c>
      <c r="E27" s="20">
        <v>6.5899999999999883</v>
      </c>
    </row>
    <row r="28" spans="1:5">
      <c r="A28" s="100" t="s">
        <v>16</v>
      </c>
      <c r="B28">
        <v>465</v>
      </c>
      <c r="C28">
        <v>460.32</v>
      </c>
      <c r="D28" s="15">
        <v>4.6800000000000033</v>
      </c>
      <c r="E28" s="20">
        <v>5.9191999999999982</v>
      </c>
    </row>
    <row r="29" spans="1:5">
      <c r="A29" s="100" t="s">
        <v>36</v>
      </c>
      <c r="B29">
        <v>460.255</v>
      </c>
      <c r="C29">
        <v>459.36</v>
      </c>
      <c r="D29" s="15">
        <v>0.89500000000000934</v>
      </c>
      <c r="E29" s="20">
        <v>1.3850000000000053</v>
      </c>
    </row>
    <row r="30" spans="1:5">
      <c r="A30" s="100" t="s">
        <v>34</v>
      </c>
      <c r="B30">
        <v>594</v>
      </c>
      <c r="C30">
        <v>587.92999999999984</v>
      </c>
      <c r="D30" s="15">
        <v>6.0700000000000216</v>
      </c>
      <c r="E30" s="20">
        <v>1.8040000000000003</v>
      </c>
    </row>
    <row r="31" spans="1:5">
      <c r="A31" s="100" t="s">
        <v>19</v>
      </c>
      <c r="B31">
        <v>395</v>
      </c>
      <c r="C31">
        <v>390.6</v>
      </c>
      <c r="D31" s="15">
        <v>4.4000000000000057</v>
      </c>
      <c r="E31" s="20">
        <v>3.2260000000000009</v>
      </c>
    </row>
    <row r="32" spans="1:5">
      <c r="A32" s="100" t="s">
        <v>123</v>
      </c>
      <c r="B32">
        <v>80</v>
      </c>
      <c r="C32">
        <v>79</v>
      </c>
      <c r="D32" s="15">
        <v>1</v>
      </c>
      <c r="E32" s="20">
        <v>4.0219999999999994</v>
      </c>
    </row>
    <row r="33" spans="1:5">
      <c r="A33" s="100" t="s">
        <v>122</v>
      </c>
      <c r="B33">
        <v>50</v>
      </c>
      <c r="C33">
        <v>49.59</v>
      </c>
      <c r="D33" s="15">
        <v>0.41000000000000014</v>
      </c>
      <c r="E33" s="20">
        <v>0.51900000000000002</v>
      </c>
    </row>
    <row r="34" spans="1:5">
      <c r="A34" s="100" t="s">
        <v>28</v>
      </c>
      <c r="B34">
        <v>75</v>
      </c>
      <c r="C34">
        <v>73.680000000000007</v>
      </c>
      <c r="D34" s="15">
        <v>1.3199999999999967</v>
      </c>
      <c r="E34" s="20">
        <v>3.7729999999999992</v>
      </c>
    </row>
    <row r="35" spans="1:5">
      <c r="A35" s="100" t="s">
        <v>66</v>
      </c>
      <c r="B35">
        <v>117.09</v>
      </c>
      <c r="C35">
        <v>114.23999999999998</v>
      </c>
      <c r="D35" s="15">
        <v>2.8500000000000014</v>
      </c>
      <c r="E35" s="20">
        <v>0.90699999999999803</v>
      </c>
    </row>
    <row r="36" spans="1:5">
      <c r="A36" s="100" t="s">
        <v>29</v>
      </c>
      <c r="B36">
        <v>60</v>
      </c>
      <c r="C36">
        <v>59.5</v>
      </c>
      <c r="D36" s="15">
        <v>0.5</v>
      </c>
      <c r="E36" s="20">
        <v>3.5200000000000009</v>
      </c>
    </row>
    <row r="37" spans="1:5">
      <c r="A37" s="100" t="s">
        <v>21</v>
      </c>
      <c r="B37">
        <v>640</v>
      </c>
      <c r="C37">
        <v>634.01</v>
      </c>
      <c r="D37" s="15">
        <v>5.9900000000000055</v>
      </c>
      <c r="E37" s="20">
        <v>6.67</v>
      </c>
    </row>
    <row r="38" spans="1:5">
      <c r="A38" s="100" t="s">
        <v>118</v>
      </c>
      <c r="B38">
        <v>85.24</v>
      </c>
      <c r="C38">
        <v>84.42</v>
      </c>
      <c r="D38" s="15">
        <v>0.82000000000000028</v>
      </c>
      <c r="E38" s="20">
        <v>3.12</v>
      </c>
    </row>
    <row r="39" spans="1:5">
      <c r="A39" s="100" t="s">
        <v>37</v>
      </c>
      <c r="B39">
        <v>150</v>
      </c>
      <c r="C39">
        <v>149.46</v>
      </c>
      <c r="D39" s="15">
        <v>0.5400000000000027</v>
      </c>
      <c r="E39" s="20">
        <v>2.1480000000000001</v>
      </c>
    </row>
    <row r="40" spans="1:5">
      <c r="A40" s="100" t="s">
        <v>22</v>
      </c>
      <c r="B40">
        <v>1160</v>
      </c>
      <c r="C40">
        <v>1152.9599999999998</v>
      </c>
      <c r="D40" s="15">
        <v>7.039999999999992</v>
      </c>
      <c r="E40" s="20">
        <v>4.4909999999999997</v>
      </c>
    </row>
    <row r="41" spans="1:5">
      <c r="A41" s="100" t="s">
        <v>13</v>
      </c>
      <c r="B41">
        <v>435</v>
      </c>
      <c r="C41">
        <v>431.03000000000009</v>
      </c>
      <c r="D41" s="15">
        <v>3.9700000000000095</v>
      </c>
      <c r="E41" s="20">
        <v>6.1209999999999987</v>
      </c>
    </row>
    <row r="42" spans="1:5">
      <c r="A42" s="100" t="s">
        <v>15</v>
      </c>
      <c r="B42">
        <v>305</v>
      </c>
      <c r="C42">
        <v>303.58</v>
      </c>
      <c r="D42" s="15">
        <v>1.4200000000000053</v>
      </c>
      <c r="E42" s="20">
        <v>4.3614300000000004</v>
      </c>
    </row>
    <row r="43" spans="1:5">
      <c r="A43" s="100" t="s">
        <v>35</v>
      </c>
      <c r="B43">
        <v>180</v>
      </c>
      <c r="C43">
        <v>178.2</v>
      </c>
      <c r="D43" s="15">
        <v>1.8000000000000007</v>
      </c>
      <c r="E43" s="20">
        <v>5.3859999999999992</v>
      </c>
    </row>
    <row r="44" spans="1:5">
      <c r="A44" s="100" t="s">
        <v>126</v>
      </c>
      <c r="B44">
        <v>26.95</v>
      </c>
      <c r="C44">
        <v>26.54</v>
      </c>
      <c r="D44" s="15">
        <v>0.40999999999999925</v>
      </c>
      <c r="E44" s="20">
        <v>-1.1099999999999985</v>
      </c>
    </row>
    <row r="45" spans="1:5">
      <c r="A45" s="100" t="s">
        <v>125</v>
      </c>
      <c r="B45">
        <v>141</v>
      </c>
      <c r="C45">
        <v>136.54</v>
      </c>
      <c r="D45" s="15">
        <v>4.4599999999999991</v>
      </c>
      <c r="E45" s="20">
        <v>1.7290000000000008</v>
      </c>
    </row>
    <row r="46" spans="1:5">
      <c r="A46" s="100" t="s">
        <v>130</v>
      </c>
      <c r="B46">
        <v>0</v>
      </c>
      <c r="C46">
        <v>0</v>
      </c>
      <c r="D46" s="15">
        <v>0</v>
      </c>
      <c r="E46" s="20">
        <v>0.35300000000000004</v>
      </c>
    </row>
    <row r="47" spans="1:5">
      <c r="A47" s="100" t="s">
        <v>131</v>
      </c>
      <c r="B47">
        <v>40</v>
      </c>
      <c r="C47">
        <v>40.380000000000003</v>
      </c>
      <c r="D47" s="15">
        <v>-0.38000000000000256</v>
      </c>
      <c r="E47" s="20">
        <v>0.2</v>
      </c>
    </row>
    <row r="48" spans="1:5">
      <c r="A48" s="100" t="s">
        <v>129</v>
      </c>
      <c r="B48">
        <v>60</v>
      </c>
      <c r="C48">
        <v>59.51</v>
      </c>
      <c r="D48" s="15">
        <v>0.49000000000000199</v>
      </c>
      <c r="E48" s="20">
        <v>0.13600000000000001</v>
      </c>
    </row>
    <row r="49" spans="1:6">
      <c r="A49" s="100" t="s">
        <v>127</v>
      </c>
      <c r="B49">
        <v>66</v>
      </c>
      <c r="C49">
        <v>65.5</v>
      </c>
      <c r="D49" s="15">
        <v>0.50000000000000044</v>
      </c>
      <c r="E49" s="20">
        <v>1.835</v>
      </c>
    </row>
    <row r="50" spans="1:6">
      <c r="A50" s="100" t="s">
        <v>60</v>
      </c>
      <c r="B50">
        <v>14167.955</v>
      </c>
      <c r="C50">
        <v>14056.530000000002</v>
      </c>
      <c r="D50" s="15">
        <v>111.42500000000001</v>
      </c>
      <c r="E50" s="20">
        <v>186.26993000000007</v>
      </c>
    </row>
    <row r="54" spans="1:6">
      <c r="B54" t="s">
        <v>46</v>
      </c>
      <c r="C54" t="s">
        <v>45</v>
      </c>
      <c r="D54" t="s">
        <v>47</v>
      </c>
      <c r="E54" t="s">
        <v>48</v>
      </c>
    </row>
    <row r="55" spans="1:6">
      <c r="A55" t="s">
        <v>23</v>
      </c>
      <c r="B55">
        <v>25.282</v>
      </c>
      <c r="C55">
        <v>25.282</v>
      </c>
      <c r="D55">
        <v>0</v>
      </c>
      <c r="E55">
        <v>3.5240000000000005</v>
      </c>
      <c r="F55" s="4">
        <f t="shared" ref="F55:F101" si="0">(D55+E55)/B55</f>
        <v>0.13938770666877623</v>
      </c>
    </row>
    <row r="56" spans="1:6">
      <c r="A56" t="s">
        <v>25</v>
      </c>
      <c r="B56">
        <v>20</v>
      </c>
      <c r="C56">
        <v>19.98</v>
      </c>
      <c r="D56">
        <v>1.9999999999999574E-2</v>
      </c>
      <c r="E56">
        <v>2.2632999999999988</v>
      </c>
      <c r="F56" s="4">
        <f t="shared" si="0"/>
        <v>0.11416499999999992</v>
      </c>
    </row>
    <row r="57" spans="1:6">
      <c r="A57" t="s">
        <v>32</v>
      </c>
      <c r="B57">
        <v>40</v>
      </c>
      <c r="C57">
        <v>39.739999999999995</v>
      </c>
      <c r="D57">
        <v>0.26000000000000156</v>
      </c>
      <c r="E57">
        <v>4.0980000000000016</v>
      </c>
      <c r="F57" s="4">
        <f t="shared" si="0"/>
        <v>0.10895000000000007</v>
      </c>
    </row>
    <row r="58" spans="1:6">
      <c r="A58" t="s">
        <v>44</v>
      </c>
      <c r="B58">
        <v>20</v>
      </c>
      <c r="C58">
        <v>19.98</v>
      </c>
      <c r="D58">
        <v>1.9999999999999574E-2</v>
      </c>
      <c r="E58">
        <v>1.7340000000000009</v>
      </c>
      <c r="F58" s="4">
        <f t="shared" si="0"/>
        <v>8.7700000000000028E-2</v>
      </c>
    </row>
    <row r="59" spans="1:6">
      <c r="A59" t="s">
        <v>38</v>
      </c>
      <c r="B59">
        <v>80</v>
      </c>
      <c r="C59">
        <v>78.639999999999986</v>
      </c>
      <c r="D59">
        <v>1.360000000000003</v>
      </c>
      <c r="E59">
        <v>4.5720000000000001</v>
      </c>
      <c r="F59" s="4">
        <f t="shared" si="0"/>
        <v>7.4150000000000035E-2</v>
      </c>
    </row>
    <row r="60" spans="1:6">
      <c r="A60" t="s">
        <v>28</v>
      </c>
      <c r="B60">
        <v>75</v>
      </c>
      <c r="C60">
        <v>73.680000000000007</v>
      </c>
      <c r="D60">
        <v>1.3199999999999967</v>
      </c>
      <c r="E60">
        <v>3.7729999999999992</v>
      </c>
      <c r="F60" s="4">
        <f t="shared" si="0"/>
        <v>6.7906666666666615E-2</v>
      </c>
    </row>
    <row r="61" spans="1:6">
      <c r="A61" t="s">
        <v>29</v>
      </c>
      <c r="B61">
        <v>60</v>
      </c>
      <c r="C61">
        <v>59.5</v>
      </c>
      <c r="D61">
        <v>0.5</v>
      </c>
      <c r="E61">
        <v>3.5200000000000009</v>
      </c>
      <c r="F61" s="4">
        <f t="shared" si="0"/>
        <v>6.7000000000000018E-2</v>
      </c>
    </row>
    <row r="62" spans="1:6">
      <c r="A62" t="s">
        <v>123</v>
      </c>
      <c r="B62">
        <v>80</v>
      </c>
      <c r="C62">
        <v>79</v>
      </c>
      <c r="D62">
        <v>1</v>
      </c>
      <c r="E62">
        <v>4.0219999999999994</v>
      </c>
      <c r="F62" s="4">
        <f t="shared" si="0"/>
        <v>6.2774999999999997E-2</v>
      </c>
    </row>
    <row r="63" spans="1:6">
      <c r="A63" t="s">
        <v>26</v>
      </c>
      <c r="B63">
        <v>47.75</v>
      </c>
      <c r="C63">
        <v>47.21</v>
      </c>
      <c r="D63">
        <v>0.54</v>
      </c>
      <c r="E63">
        <v>2.324999999999998</v>
      </c>
      <c r="F63" s="4">
        <f t="shared" si="0"/>
        <v>5.9999999999999956E-2</v>
      </c>
    </row>
    <row r="64" spans="1:6">
      <c r="A64" t="s">
        <v>11</v>
      </c>
      <c r="B64">
        <v>197.66</v>
      </c>
      <c r="C64">
        <v>195.3</v>
      </c>
      <c r="D64">
        <v>2.360000000000003</v>
      </c>
      <c r="E64">
        <v>8.8020000000000014</v>
      </c>
      <c r="F64" s="4">
        <f t="shared" si="0"/>
        <v>5.6470707275118916E-2</v>
      </c>
    </row>
    <row r="65" spans="1:6">
      <c r="A65" t="s">
        <v>31</v>
      </c>
      <c r="B65">
        <v>111</v>
      </c>
      <c r="C65">
        <v>110</v>
      </c>
      <c r="D65">
        <v>0.99999999999999645</v>
      </c>
      <c r="E65">
        <v>5.1729999999999992</v>
      </c>
      <c r="F65" s="4">
        <f t="shared" si="0"/>
        <v>5.5612612612612571E-2</v>
      </c>
    </row>
    <row r="66" spans="1:6">
      <c r="A66" t="s">
        <v>30</v>
      </c>
      <c r="B66">
        <v>125.13</v>
      </c>
      <c r="C66">
        <v>123.88999999999999</v>
      </c>
      <c r="D66">
        <v>1.240000000000002</v>
      </c>
      <c r="E66">
        <v>5.1819999999999977</v>
      </c>
      <c r="F66" s="4">
        <f t="shared" si="0"/>
        <v>5.1322624470550623E-2</v>
      </c>
    </row>
    <row r="67" spans="1:6">
      <c r="A67" t="s">
        <v>10</v>
      </c>
      <c r="B67">
        <v>160</v>
      </c>
      <c r="C67">
        <v>158.14000000000001</v>
      </c>
      <c r="D67">
        <v>1.860000000000003</v>
      </c>
      <c r="E67">
        <v>6.1830000000000007</v>
      </c>
      <c r="F67" s="4">
        <f t="shared" si="0"/>
        <v>5.0268750000000015E-2</v>
      </c>
    </row>
    <row r="68" spans="1:6">
      <c r="A68" t="s">
        <v>39</v>
      </c>
      <c r="B68">
        <v>148</v>
      </c>
      <c r="C68">
        <v>146.35999999999999</v>
      </c>
      <c r="D68">
        <v>1.6400000000000015</v>
      </c>
      <c r="E68">
        <v>5.7039999999999971</v>
      </c>
      <c r="F68" s="4">
        <f t="shared" si="0"/>
        <v>4.9621621621621613E-2</v>
      </c>
    </row>
    <row r="69" spans="1:6">
      <c r="A69" t="s">
        <v>121</v>
      </c>
      <c r="B69">
        <v>85</v>
      </c>
      <c r="C69">
        <v>84.29</v>
      </c>
      <c r="D69">
        <v>0.71000000000000085</v>
      </c>
      <c r="E69">
        <v>3.3319999999999994</v>
      </c>
      <c r="F69" s="4">
        <f t="shared" si="0"/>
        <v>4.7552941176470589E-2</v>
      </c>
    </row>
    <row r="70" spans="1:6">
      <c r="A70" t="s">
        <v>118</v>
      </c>
      <c r="B70">
        <v>85.24</v>
      </c>
      <c r="C70">
        <v>84.42</v>
      </c>
      <c r="D70">
        <v>0.82000000000000028</v>
      </c>
      <c r="E70">
        <v>3.12</v>
      </c>
      <c r="F70" s="4">
        <f t="shared" si="0"/>
        <v>4.6222430783669645E-2</v>
      </c>
    </row>
    <row r="71" spans="1:6">
      <c r="A71" t="s">
        <v>33</v>
      </c>
      <c r="B71">
        <v>100</v>
      </c>
      <c r="C71">
        <v>99.100000000000009</v>
      </c>
      <c r="D71">
        <v>0.89999999999999858</v>
      </c>
      <c r="E71">
        <v>3.5759999999999996</v>
      </c>
      <c r="F71" s="4">
        <f t="shared" si="0"/>
        <v>4.475999999999998E-2</v>
      </c>
    </row>
    <row r="72" spans="1:6">
      <c r="A72" t="s">
        <v>125</v>
      </c>
      <c r="B72">
        <v>141</v>
      </c>
      <c r="C72">
        <v>136.54</v>
      </c>
      <c r="D72">
        <v>4.4599999999999991</v>
      </c>
      <c r="E72">
        <v>1.7290000000000008</v>
      </c>
      <c r="F72" s="4">
        <f t="shared" si="0"/>
        <v>4.3893617021276594E-2</v>
      </c>
    </row>
    <row r="73" spans="1:6">
      <c r="A73" t="s">
        <v>35</v>
      </c>
      <c r="B73">
        <v>180</v>
      </c>
      <c r="C73">
        <v>178.2</v>
      </c>
      <c r="D73">
        <v>1.8000000000000007</v>
      </c>
      <c r="E73">
        <v>5.3859999999999992</v>
      </c>
      <c r="F73" s="4">
        <f t="shared" si="0"/>
        <v>3.992222222222222E-2</v>
      </c>
    </row>
    <row r="74" spans="1:6">
      <c r="A74" t="s">
        <v>67</v>
      </c>
      <c r="B74">
        <v>215</v>
      </c>
      <c r="C74">
        <v>213.36</v>
      </c>
      <c r="D74">
        <v>1.6400000000000041</v>
      </c>
      <c r="E74">
        <v>6.3549999999999995</v>
      </c>
      <c r="F74" s="4">
        <f t="shared" si="0"/>
        <v>3.7186046511627921E-2</v>
      </c>
    </row>
    <row r="75" spans="1:6">
      <c r="A75" t="s">
        <v>27</v>
      </c>
      <c r="B75">
        <v>20</v>
      </c>
      <c r="C75">
        <v>19.670000000000002</v>
      </c>
      <c r="D75">
        <v>0.32999999999999829</v>
      </c>
      <c r="E75">
        <v>0.39800000000000002</v>
      </c>
      <c r="F75" s="4">
        <f t="shared" si="0"/>
        <v>3.6399999999999919E-2</v>
      </c>
    </row>
    <row r="76" spans="1:6">
      <c r="A76" t="s">
        <v>127</v>
      </c>
      <c r="B76">
        <v>66</v>
      </c>
      <c r="C76">
        <v>65.5</v>
      </c>
      <c r="D76">
        <v>0.50000000000000044</v>
      </c>
      <c r="E76">
        <v>1.835</v>
      </c>
      <c r="F76" s="4">
        <f t="shared" si="0"/>
        <v>3.5378787878787885E-2</v>
      </c>
    </row>
    <row r="77" spans="1:6">
      <c r="A77" t="s">
        <v>124</v>
      </c>
      <c r="B77">
        <v>140</v>
      </c>
      <c r="C77">
        <v>137.74</v>
      </c>
      <c r="D77">
        <v>2.259999999999998</v>
      </c>
      <c r="E77">
        <v>2.6540000000000039</v>
      </c>
      <c r="F77" s="4">
        <f t="shared" si="0"/>
        <v>3.5100000000000013E-2</v>
      </c>
    </row>
    <row r="78" spans="1:6">
      <c r="A78" t="s">
        <v>66</v>
      </c>
      <c r="B78">
        <v>117.09</v>
      </c>
      <c r="C78">
        <v>114.23999999999998</v>
      </c>
      <c r="D78">
        <v>2.8500000000000014</v>
      </c>
      <c r="E78">
        <v>0.90699999999999803</v>
      </c>
      <c r="F78" s="4">
        <f t="shared" si="0"/>
        <v>3.2086429242463056E-2</v>
      </c>
    </row>
    <row r="79" spans="1:6">
      <c r="A79" t="s">
        <v>12</v>
      </c>
      <c r="B79">
        <v>1038</v>
      </c>
      <c r="C79">
        <v>1028.0000000000002</v>
      </c>
      <c r="D79">
        <v>9.9999999999999822</v>
      </c>
      <c r="E79">
        <v>16.542999999999996</v>
      </c>
      <c r="F79" s="4">
        <f t="shared" si="0"/>
        <v>2.5571290944123293E-2</v>
      </c>
    </row>
    <row r="80" spans="1:6">
      <c r="A80" t="s">
        <v>13</v>
      </c>
      <c r="B80">
        <v>435</v>
      </c>
      <c r="C80">
        <v>431.03000000000009</v>
      </c>
      <c r="D80">
        <v>3.9700000000000095</v>
      </c>
      <c r="E80">
        <v>6.1209999999999987</v>
      </c>
      <c r="F80" s="4">
        <f t="shared" si="0"/>
        <v>2.3197701149425307E-2</v>
      </c>
    </row>
    <row r="81" spans="1:6">
      <c r="A81" t="s">
        <v>24</v>
      </c>
      <c r="B81">
        <v>143</v>
      </c>
      <c r="C81">
        <v>142.04</v>
      </c>
      <c r="D81">
        <v>0.96000000000000529</v>
      </c>
      <c r="E81">
        <v>2.3530000000000002</v>
      </c>
      <c r="F81" s="4">
        <f t="shared" si="0"/>
        <v>2.3167832167832206E-2</v>
      </c>
    </row>
    <row r="82" spans="1:6">
      <c r="A82" t="s">
        <v>16</v>
      </c>
      <c r="B82">
        <v>465</v>
      </c>
      <c r="C82">
        <v>460.32</v>
      </c>
      <c r="D82">
        <v>4.6800000000000033</v>
      </c>
      <c r="E82">
        <v>5.9191999999999982</v>
      </c>
      <c r="F82" s="4">
        <f t="shared" si="0"/>
        <v>2.2793978494623657E-2</v>
      </c>
    </row>
    <row r="83" spans="1:6">
      <c r="A83" t="s">
        <v>60</v>
      </c>
      <c r="B83">
        <v>14167.955</v>
      </c>
      <c r="C83">
        <v>14056.530000000002</v>
      </c>
      <c r="D83">
        <v>111.42500000000001</v>
      </c>
      <c r="E83">
        <v>186.26993000000007</v>
      </c>
      <c r="F83" s="4">
        <f t="shared" si="0"/>
        <v>2.1011848922445061E-2</v>
      </c>
    </row>
    <row r="84" spans="1:6">
      <c r="A84" t="s">
        <v>21</v>
      </c>
      <c r="B84">
        <v>640</v>
      </c>
      <c r="C84">
        <v>634.01</v>
      </c>
      <c r="D84">
        <v>5.9900000000000055</v>
      </c>
      <c r="E84">
        <v>6.67</v>
      </c>
      <c r="F84" s="4">
        <f t="shared" si="0"/>
        <v>1.9781250000000007E-2</v>
      </c>
    </row>
    <row r="85" spans="1:6">
      <c r="A85" t="s">
        <v>19</v>
      </c>
      <c r="B85">
        <v>395</v>
      </c>
      <c r="C85">
        <v>390.6</v>
      </c>
      <c r="D85">
        <v>4.4000000000000057</v>
      </c>
      <c r="E85">
        <v>3.2260000000000009</v>
      </c>
      <c r="F85" s="4">
        <f t="shared" si="0"/>
        <v>1.9306329113924069E-2</v>
      </c>
    </row>
    <row r="86" spans="1:6">
      <c r="A86" t="s">
        <v>15</v>
      </c>
      <c r="B86">
        <v>305</v>
      </c>
      <c r="C86">
        <v>303.58</v>
      </c>
      <c r="D86">
        <v>1.4200000000000053</v>
      </c>
      <c r="E86">
        <v>4.3614300000000004</v>
      </c>
      <c r="F86" s="4">
        <f t="shared" si="0"/>
        <v>1.895550819672133E-2</v>
      </c>
    </row>
    <row r="87" spans="1:6">
      <c r="A87" t="s">
        <v>122</v>
      </c>
      <c r="B87">
        <v>50</v>
      </c>
      <c r="C87">
        <v>49.59</v>
      </c>
      <c r="D87">
        <v>0.41000000000000014</v>
      </c>
      <c r="E87">
        <v>0.51900000000000002</v>
      </c>
      <c r="F87" s="4">
        <f t="shared" si="0"/>
        <v>1.8580000000000003E-2</v>
      </c>
    </row>
    <row r="88" spans="1:6">
      <c r="A88" t="s">
        <v>37</v>
      </c>
      <c r="B88">
        <v>150</v>
      </c>
      <c r="C88">
        <v>149.46</v>
      </c>
      <c r="D88">
        <v>0.5400000000000027</v>
      </c>
      <c r="E88">
        <v>2.1480000000000001</v>
      </c>
      <c r="F88" s="4">
        <f t="shared" si="0"/>
        <v>1.7920000000000019E-2</v>
      </c>
    </row>
    <row r="89" spans="1:6">
      <c r="A89" t="s">
        <v>130</v>
      </c>
      <c r="B89">
        <v>20</v>
      </c>
      <c r="C89">
        <v>19.739999999999998</v>
      </c>
      <c r="D89">
        <v>0</v>
      </c>
      <c r="E89">
        <v>0.35300000000000004</v>
      </c>
      <c r="F89" s="4">
        <f t="shared" si="0"/>
        <v>1.7650000000000002E-2</v>
      </c>
    </row>
    <row r="90" spans="1:6">
      <c r="A90" t="s">
        <v>9</v>
      </c>
      <c r="B90">
        <v>550.54</v>
      </c>
      <c r="C90">
        <v>546.92000000000007</v>
      </c>
      <c r="D90">
        <v>3.620000000000001</v>
      </c>
      <c r="E90">
        <v>6.0230000000000006</v>
      </c>
      <c r="F90" s="4">
        <f t="shared" si="0"/>
        <v>1.7515530206706147E-2</v>
      </c>
    </row>
    <row r="91" spans="1:6">
      <c r="A91" t="s">
        <v>14</v>
      </c>
      <c r="B91">
        <v>1766.3</v>
      </c>
      <c r="C91">
        <v>1755.34</v>
      </c>
      <c r="D91">
        <v>10.959999999999958</v>
      </c>
      <c r="E91">
        <v>16.510000000000005</v>
      </c>
      <c r="F91" s="4">
        <f t="shared" si="0"/>
        <v>1.5552284436392439E-2</v>
      </c>
    </row>
    <row r="92" spans="1:6">
      <c r="A92" t="s">
        <v>34</v>
      </c>
      <c r="B92">
        <v>594</v>
      </c>
      <c r="C92">
        <v>587.92999999999984</v>
      </c>
      <c r="D92">
        <v>6.0700000000000216</v>
      </c>
      <c r="E92">
        <v>1.8040000000000003</v>
      </c>
      <c r="F92" s="4">
        <f t="shared" si="0"/>
        <v>1.3255892255892293E-2</v>
      </c>
    </row>
    <row r="93" spans="1:6">
      <c r="A93" t="s">
        <v>17</v>
      </c>
      <c r="B93">
        <v>650</v>
      </c>
      <c r="C93">
        <v>645.51</v>
      </c>
      <c r="D93">
        <v>4.4899999999999984</v>
      </c>
      <c r="E93">
        <v>3.8240000000000016</v>
      </c>
      <c r="F93" s="4">
        <f t="shared" si="0"/>
        <v>1.2790769230769231E-2</v>
      </c>
    </row>
    <row r="94" spans="1:6">
      <c r="A94" t="s">
        <v>20</v>
      </c>
      <c r="B94">
        <v>220</v>
      </c>
      <c r="C94">
        <v>219.22000000000003</v>
      </c>
      <c r="D94">
        <v>0.77999999999999403</v>
      </c>
      <c r="E94">
        <v>1.9469999999999985</v>
      </c>
      <c r="F94" s="4">
        <f t="shared" si="0"/>
        <v>1.239545454545451E-2</v>
      </c>
    </row>
    <row r="95" spans="1:6">
      <c r="A95" t="s">
        <v>18</v>
      </c>
      <c r="B95">
        <v>850</v>
      </c>
      <c r="C95">
        <v>846.85</v>
      </c>
      <c r="D95">
        <v>3.1500000000000021</v>
      </c>
      <c r="E95">
        <v>6.0890000000000102</v>
      </c>
      <c r="F95" s="4">
        <f t="shared" si="0"/>
        <v>1.0869411764705897E-2</v>
      </c>
    </row>
    <row r="96" spans="1:6">
      <c r="A96" t="s">
        <v>129</v>
      </c>
      <c r="B96">
        <v>60</v>
      </c>
      <c r="C96">
        <v>59.51</v>
      </c>
      <c r="D96">
        <v>0.49000000000000199</v>
      </c>
      <c r="E96">
        <v>0.13600000000000001</v>
      </c>
      <c r="F96" s="4">
        <f t="shared" si="0"/>
        <v>1.0433333333333367E-2</v>
      </c>
    </row>
    <row r="97" spans="1:6">
      <c r="A97" t="s">
        <v>8</v>
      </c>
      <c r="B97">
        <v>1855.04</v>
      </c>
      <c r="C97">
        <v>1842.8999999999999</v>
      </c>
      <c r="D97">
        <v>12.140000000000029</v>
      </c>
      <c r="E97">
        <v>6.5899999999999883</v>
      </c>
      <c r="F97" s="4">
        <f t="shared" si="0"/>
        <v>1.0096817319303097E-2</v>
      </c>
    </row>
    <row r="98" spans="1:6">
      <c r="A98" t="s">
        <v>22</v>
      </c>
      <c r="B98">
        <v>1160</v>
      </c>
      <c r="C98">
        <v>1152.9599999999998</v>
      </c>
      <c r="D98">
        <v>7.039999999999992</v>
      </c>
      <c r="E98">
        <v>4.4909999999999997</v>
      </c>
      <c r="F98" s="4">
        <f t="shared" si="0"/>
        <v>9.9405172413793031E-3</v>
      </c>
    </row>
    <row r="99" spans="1:6">
      <c r="A99" t="s">
        <v>36</v>
      </c>
      <c r="B99">
        <v>460.255</v>
      </c>
      <c r="C99">
        <v>459.36</v>
      </c>
      <c r="D99">
        <v>0.89500000000000934</v>
      </c>
      <c r="E99">
        <v>1.3850000000000053</v>
      </c>
      <c r="F99" s="4">
        <f t="shared" si="0"/>
        <v>4.9537756243821672E-3</v>
      </c>
    </row>
    <row r="100" spans="1:6">
      <c r="A100" t="s">
        <v>131</v>
      </c>
      <c r="B100">
        <v>40</v>
      </c>
      <c r="C100">
        <v>40.380000000000003</v>
      </c>
      <c r="D100">
        <v>-0.38000000000000256</v>
      </c>
      <c r="E100">
        <v>0.2</v>
      </c>
      <c r="F100" s="4">
        <f t="shared" si="0"/>
        <v>-4.5000000000000638E-3</v>
      </c>
    </row>
    <row r="101" spans="1:6">
      <c r="A101" t="s">
        <v>126</v>
      </c>
      <c r="B101">
        <v>26.95</v>
      </c>
      <c r="C101">
        <v>26.54</v>
      </c>
      <c r="D101">
        <v>0.40999999999999925</v>
      </c>
      <c r="E101">
        <v>-1.1099999999999985</v>
      </c>
      <c r="F101" s="4">
        <f t="shared" si="0"/>
        <v>-2.5974025974025948E-2</v>
      </c>
    </row>
  </sheetData>
  <autoFilter ref="A54:F101" xr:uid="{45B566EF-4EF1-41BD-886A-217CEE1676DF}">
    <sortState xmlns:xlrd2="http://schemas.microsoft.com/office/spreadsheetml/2017/richdata2" ref="A55:F101">
      <sortCondition descending="1" ref="F54:F10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E5A9A-9193-47BF-874B-1B93A907DA29}">
  <sheetPr filterMode="1">
    <tabColor theme="7" tint="0.39997558519241921"/>
  </sheetPr>
  <dimension ref="A1:N1428"/>
  <sheetViews>
    <sheetView workbookViewId="0">
      <pane xSplit="1" ySplit="2" topLeftCell="B1351" activePane="bottomRight" state="frozen"/>
      <selection activeCell="F114" sqref="F114"/>
      <selection pane="topRight" activeCell="F114" sqref="F114"/>
      <selection pane="bottomLeft" activeCell="F114" sqref="F114"/>
      <selection pane="bottomRight" activeCell="F1365" sqref="F1365:F1366"/>
    </sheetView>
  </sheetViews>
  <sheetFormatPr defaultRowHeight="14.4"/>
  <cols>
    <col min="2" max="2" width="16.44140625" bestFit="1" customWidth="1"/>
    <col min="3" max="3" width="8.88671875" style="9"/>
    <col min="4" max="4" width="10.109375" style="9" bestFit="1" customWidth="1"/>
    <col min="5" max="5" width="8.88671875" style="9"/>
    <col min="6" max="6" width="10.88671875" style="12" bestFit="1" customWidth="1"/>
    <col min="7" max="7" width="8.88671875" style="4"/>
  </cols>
  <sheetData>
    <row r="1" spans="1:7" ht="12.6" customHeight="1">
      <c r="A1" s="113" t="s">
        <v>41</v>
      </c>
      <c r="B1" s="113"/>
      <c r="C1" s="114"/>
      <c r="D1" s="114"/>
      <c r="E1" s="114"/>
      <c r="F1" s="115"/>
      <c r="G1" s="116"/>
    </row>
    <row r="2" spans="1:7">
      <c r="A2" s="5" t="s">
        <v>1</v>
      </c>
      <c r="B2" s="5" t="s">
        <v>0</v>
      </c>
      <c r="C2" s="8" t="s">
        <v>2</v>
      </c>
      <c r="D2" s="8" t="s">
        <v>3</v>
      </c>
      <c r="E2" s="8" t="s">
        <v>4</v>
      </c>
      <c r="F2" s="10" t="s">
        <v>5</v>
      </c>
      <c r="G2" s="7" t="s">
        <v>6</v>
      </c>
    </row>
    <row r="3" spans="1:7" hidden="1">
      <c r="A3" s="1">
        <v>1</v>
      </c>
      <c r="B3" s="1" t="s">
        <v>8</v>
      </c>
      <c r="C3" s="11">
        <v>60</v>
      </c>
      <c r="D3" s="11">
        <v>59.41</v>
      </c>
      <c r="E3" s="2">
        <f>C3-D3</f>
        <v>0.59000000000000341</v>
      </c>
      <c r="F3" s="11">
        <v>0.15799999999998704</v>
      </c>
      <c r="G3" s="3">
        <f>(E3+F3)/C3</f>
        <v>1.2466666666666508E-2</v>
      </c>
    </row>
    <row r="4" spans="1:7" hidden="1">
      <c r="A4" s="1">
        <v>2</v>
      </c>
      <c r="B4" s="1" t="s">
        <v>8</v>
      </c>
      <c r="C4" s="11">
        <v>60</v>
      </c>
      <c r="D4" s="11">
        <v>59.43</v>
      </c>
      <c r="E4" s="2">
        <f t="shared" ref="E4:E67" si="0">C4-D4</f>
        <v>0.57000000000000028</v>
      </c>
      <c r="F4" s="11">
        <v>0.35499999999999998</v>
      </c>
      <c r="G4" s="3">
        <f t="shared" ref="G4:G67" si="1">(E4+F4)/C4</f>
        <v>1.5416666666666671E-2</v>
      </c>
    </row>
    <row r="5" spans="1:7" hidden="1">
      <c r="A5" s="1">
        <v>3</v>
      </c>
      <c r="B5" s="1" t="s">
        <v>8</v>
      </c>
      <c r="C5" s="11">
        <v>60</v>
      </c>
      <c r="D5" s="11">
        <v>59.58</v>
      </c>
      <c r="E5" s="2">
        <f t="shared" si="0"/>
        <v>0.42000000000000171</v>
      </c>
      <c r="F5" s="11">
        <v>0.35399999999999998</v>
      </c>
      <c r="G5" s="3">
        <f t="shared" si="1"/>
        <v>1.2900000000000028E-2</v>
      </c>
    </row>
    <row r="6" spans="1:7" hidden="1">
      <c r="A6" s="1">
        <v>4</v>
      </c>
      <c r="B6" s="1" t="s">
        <v>8</v>
      </c>
      <c r="C6" s="11">
        <v>60</v>
      </c>
      <c r="D6" s="11">
        <v>59.77</v>
      </c>
      <c r="E6" s="2">
        <f t="shared" si="0"/>
        <v>0.22999999999999687</v>
      </c>
      <c r="F6" s="11">
        <v>0.26</v>
      </c>
      <c r="G6" s="3">
        <f t="shared" si="1"/>
        <v>8.1666666666666155E-3</v>
      </c>
    </row>
    <row r="7" spans="1:7" hidden="1">
      <c r="A7" s="1">
        <v>5</v>
      </c>
      <c r="B7" s="1" t="s">
        <v>8</v>
      </c>
      <c r="C7" s="11">
        <v>60</v>
      </c>
      <c r="D7" s="11">
        <v>59.44</v>
      </c>
      <c r="E7" s="2">
        <f t="shared" si="0"/>
        <v>0.56000000000000227</v>
      </c>
      <c r="F7" s="11">
        <v>0</v>
      </c>
      <c r="G7" s="3">
        <f t="shared" si="1"/>
        <v>9.3333333333333705E-3</v>
      </c>
    </row>
    <row r="8" spans="1:7" hidden="1">
      <c r="A8" s="1">
        <v>6</v>
      </c>
      <c r="B8" s="1" t="s">
        <v>8</v>
      </c>
      <c r="C8" s="11">
        <v>40</v>
      </c>
      <c r="D8" s="11">
        <v>39.68</v>
      </c>
      <c r="E8" s="2">
        <f t="shared" si="0"/>
        <v>0.32000000000000028</v>
      </c>
      <c r="F8" s="11">
        <v>0.2</v>
      </c>
      <c r="G8" s="3">
        <f t="shared" si="1"/>
        <v>1.3000000000000006E-2</v>
      </c>
    </row>
    <row r="9" spans="1:7" hidden="1">
      <c r="A9" s="1">
        <v>7</v>
      </c>
      <c r="B9" s="1" t="s">
        <v>8</v>
      </c>
      <c r="C9" s="11">
        <v>80</v>
      </c>
      <c r="D9" s="11">
        <v>79.78</v>
      </c>
      <c r="E9" s="2">
        <f t="shared" si="0"/>
        <v>0.21999999999999886</v>
      </c>
      <c r="F9" s="11">
        <v>0.24</v>
      </c>
      <c r="G9" s="3">
        <f t="shared" si="1"/>
        <v>5.749999999999986E-3</v>
      </c>
    </row>
    <row r="10" spans="1:7" hidden="1">
      <c r="A10" s="1">
        <v>10</v>
      </c>
      <c r="B10" s="1" t="s">
        <v>8</v>
      </c>
      <c r="C10" s="11">
        <v>60</v>
      </c>
      <c r="D10" s="11">
        <v>59.66</v>
      </c>
      <c r="E10" s="2">
        <f t="shared" si="0"/>
        <v>0.34000000000000341</v>
      </c>
      <c r="F10" s="11">
        <v>0.2</v>
      </c>
      <c r="G10" s="3">
        <f t="shared" si="1"/>
        <v>9.0000000000000566E-3</v>
      </c>
    </row>
    <row r="11" spans="1:7" hidden="1">
      <c r="A11" s="1">
        <v>8</v>
      </c>
      <c r="B11" s="1" t="s">
        <v>8</v>
      </c>
      <c r="C11" s="11">
        <v>40</v>
      </c>
      <c r="D11" s="11">
        <v>39.78</v>
      </c>
      <c r="E11" s="2">
        <f t="shared" si="0"/>
        <v>0.21999999999999886</v>
      </c>
      <c r="F11" s="11">
        <v>0.254</v>
      </c>
      <c r="G11" s="3">
        <f t="shared" si="1"/>
        <v>1.1849999999999972E-2</v>
      </c>
    </row>
    <row r="12" spans="1:7" hidden="1">
      <c r="A12" s="1">
        <v>9</v>
      </c>
      <c r="B12" s="1" t="s">
        <v>8</v>
      </c>
      <c r="C12" s="11">
        <v>60</v>
      </c>
      <c r="D12" s="11">
        <v>59.58</v>
      </c>
      <c r="E12" s="2">
        <f t="shared" si="0"/>
        <v>0.42000000000000171</v>
      </c>
      <c r="F12" s="11">
        <v>0.35</v>
      </c>
      <c r="G12" s="3">
        <f t="shared" si="1"/>
        <v>1.2833333333333362E-2</v>
      </c>
    </row>
    <row r="13" spans="1:7" hidden="1">
      <c r="A13" s="1">
        <v>11</v>
      </c>
      <c r="B13" s="1" t="s">
        <v>8</v>
      </c>
      <c r="C13" s="11">
        <v>80</v>
      </c>
      <c r="D13" s="11">
        <v>79.790000000000006</v>
      </c>
      <c r="E13" s="2">
        <f t="shared" si="0"/>
        <v>0.20999999999999375</v>
      </c>
      <c r="F13" s="11">
        <v>0.37</v>
      </c>
      <c r="G13" s="3">
        <f t="shared" si="1"/>
        <v>7.2499999999999214E-3</v>
      </c>
    </row>
    <row r="14" spans="1:7" hidden="1">
      <c r="A14" s="1">
        <v>12</v>
      </c>
      <c r="B14" s="1" t="s">
        <v>8</v>
      </c>
      <c r="C14" s="11">
        <v>40</v>
      </c>
      <c r="D14" s="11">
        <v>39.64</v>
      </c>
      <c r="E14" s="2">
        <f t="shared" si="0"/>
        <v>0.35999999999999943</v>
      </c>
      <c r="F14" s="11">
        <v>0.17</v>
      </c>
      <c r="G14" s="3">
        <f t="shared" si="1"/>
        <v>1.3249999999999987E-2</v>
      </c>
    </row>
    <row r="15" spans="1:7" hidden="1">
      <c r="A15" s="1">
        <v>13</v>
      </c>
      <c r="B15" s="1" t="s">
        <v>8</v>
      </c>
      <c r="C15" s="11">
        <v>40</v>
      </c>
      <c r="D15" s="11">
        <v>39.68</v>
      </c>
      <c r="E15" s="2">
        <f t="shared" si="0"/>
        <v>0.32000000000000028</v>
      </c>
      <c r="F15" s="11">
        <v>0.14000000000000001</v>
      </c>
      <c r="G15" s="3">
        <f t="shared" si="1"/>
        <v>1.1500000000000007E-2</v>
      </c>
    </row>
    <row r="16" spans="1:7" hidden="1">
      <c r="A16" s="1">
        <v>14</v>
      </c>
      <c r="B16" s="1" t="s">
        <v>8</v>
      </c>
      <c r="C16" s="11">
        <v>60</v>
      </c>
      <c r="D16" s="11">
        <v>59.67</v>
      </c>
      <c r="E16" s="2">
        <f t="shared" si="0"/>
        <v>0.32999999999999829</v>
      </c>
      <c r="F16" s="11">
        <v>0.38500000000000001</v>
      </c>
      <c r="G16" s="3">
        <f t="shared" si="1"/>
        <v>1.1916666666666638E-2</v>
      </c>
    </row>
    <row r="17" spans="1:7" hidden="1">
      <c r="A17" s="1">
        <v>15</v>
      </c>
      <c r="B17" s="1" t="s">
        <v>8</v>
      </c>
      <c r="C17" s="11">
        <v>80.040000000000006</v>
      </c>
      <c r="D17" s="11">
        <v>79.459999999999994</v>
      </c>
      <c r="E17" s="2">
        <f t="shared" si="0"/>
        <v>0.58000000000001251</v>
      </c>
      <c r="F17" s="11">
        <v>0.32500000000000001</v>
      </c>
      <c r="G17" s="3">
        <f t="shared" si="1"/>
        <v>1.1306846576711799E-2</v>
      </c>
    </row>
    <row r="18" spans="1:7" hidden="1">
      <c r="A18" s="1">
        <v>16</v>
      </c>
      <c r="B18" s="1" t="s">
        <v>8</v>
      </c>
      <c r="C18" s="11">
        <v>60</v>
      </c>
      <c r="D18" s="11">
        <v>59.65</v>
      </c>
      <c r="E18" s="2">
        <f t="shared" si="0"/>
        <v>0.35000000000000142</v>
      </c>
      <c r="F18" s="11">
        <v>0.378</v>
      </c>
      <c r="G18" s="3">
        <f t="shared" si="1"/>
        <v>1.2133333333333357E-2</v>
      </c>
    </row>
    <row r="19" spans="1:7" hidden="1">
      <c r="A19" s="1">
        <v>17</v>
      </c>
      <c r="B19" s="1" t="s">
        <v>8</v>
      </c>
      <c r="C19" s="11">
        <v>40</v>
      </c>
      <c r="D19" s="11">
        <v>39.79</v>
      </c>
      <c r="E19" s="2">
        <f t="shared" si="0"/>
        <v>0.21000000000000085</v>
      </c>
      <c r="F19" s="11">
        <v>0</v>
      </c>
      <c r="G19" s="3">
        <f t="shared" si="1"/>
        <v>5.2500000000000211E-3</v>
      </c>
    </row>
    <row r="20" spans="1:7" hidden="1">
      <c r="A20" s="1">
        <v>18</v>
      </c>
      <c r="B20" s="1" t="s">
        <v>8</v>
      </c>
      <c r="C20" s="11">
        <v>60</v>
      </c>
      <c r="D20" s="11">
        <v>59.48</v>
      </c>
      <c r="E20" s="2">
        <f t="shared" si="0"/>
        <v>0.52000000000000313</v>
      </c>
      <c r="F20" s="11">
        <v>0.254</v>
      </c>
      <c r="G20" s="3">
        <f t="shared" si="1"/>
        <v>1.2900000000000052E-2</v>
      </c>
    </row>
    <row r="21" spans="1:7" hidden="1">
      <c r="A21" s="1">
        <v>19</v>
      </c>
      <c r="B21" s="1" t="s">
        <v>8</v>
      </c>
      <c r="C21" s="11">
        <v>160</v>
      </c>
      <c r="D21" s="11">
        <v>159.29</v>
      </c>
      <c r="E21" s="2">
        <f t="shared" si="0"/>
        <v>0.71000000000000796</v>
      </c>
      <c r="F21" s="11">
        <v>0.105</v>
      </c>
      <c r="G21" s="3">
        <f t="shared" si="1"/>
        <v>5.0937500000000496E-3</v>
      </c>
    </row>
    <row r="22" spans="1:7" hidden="1">
      <c r="A22" s="1">
        <v>20</v>
      </c>
      <c r="B22" s="1" t="s">
        <v>8</v>
      </c>
      <c r="C22" s="11">
        <v>80</v>
      </c>
      <c r="D22" s="11">
        <v>79.680000000000007</v>
      </c>
      <c r="E22" s="2">
        <f t="shared" si="0"/>
        <v>0.31999999999999318</v>
      </c>
      <c r="F22" s="11">
        <v>0.112</v>
      </c>
      <c r="G22" s="3">
        <f t="shared" si="1"/>
        <v>5.3999999999999144E-3</v>
      </c>
    </row>
    <row r="23" spans="1:7" hidden="1">
      <c r="A23" s="1">
        <v>21</v>
      </c>
      <c r="B23" s="1" t="s">
        <v>8</v>
      </c>
      <c r="C23" s="11">
        <v>60</v>
      </c>
      <c r="D23" s="11">
        <v>59.48</v>
      </c>
      <c r="E23" s="2">
        <f t="shared" si="0"/>
        <v>0.52000000000000313</v>
      </c>
      <c r="F23" s="11">
        <v>0.222</v>
      </c>
      <c r="G23" s="3">
        <f t="shared" si="1"/>
        <v>1.2366666666666718E-2</v>
      </c>
    </row>
    <row r="24" spans="1:7" hidden="1">
      <c r="A24" s="1">
        <v>22</v>
      </c>
      <c r="B24" s="1" t="s">
        <v>8</v>
      </c>
      <c r="C24" s="11">
        <v>25</v>
      </c>
      <c r="D24" s="11">
        <v>24.88</v>
      </c>
      <c r="E24" s="2">
        <f t="shared" si="0"/>
        <v>0.12000000000000099</v>
      </c>
      <c r="F24" s="11">
        <v>0.32100000000000001</v>
      </c>
      <c r="G24" s="3">
        <f t="shared" si="1"/>
        <v>1.7640000000000041E-2</v>
      </c>
    </row>
    <row r="25" spans="1:7" hidden="1">
      <c r="A25" s="1">
        <v>23</v>
      </c>
      <c r="B25" s="1" t="s">
        <v>8</v>
      </c>
      <c r="C25" s="11">
        <v>50</v>
      </c>
      <c r="D25" s="11">
        <v>49.65</v>
      </c>
      <c r="E25" s="2">
        <f t="shared" si="0"/>
        <v>0.35000000000000142</v>
      </c>
      <c r="F25" s="11">
        <v>0.16600000000000001</v>
      </c>
      <c r="G25" s="3">
        <f t="shared" si="1"/>
        <v>1.0320000000000029E-2</v>
      </c>
    </row>
    <row r="26" spans="1:7" hidden="1">
      <c r="A26" s="1">
        <v>24</v>
      </c>
      <c r="B26" s="1" t="s">
        <v>8</v>
      </c>
      <c r="C26" s="11">
        <v>50</v>
      </c>
      <c r="D26" s="11">
        <v>49.67</v>
      </c>
      <c r="E26" s="2">
        <f t="shared" si="0"/>
        <v>0.32999999999999829</v>
      </c>
      <c r="F26" s="11">
        <v>0.2</v>
      </c>
      <c r="G26" s="3">
        <f t="shared" si="1"/>
        <v>1.0599999999999965E-2</v>
      </c>
    </row>
    <row r="27" spans="1:7" hidden="1">
      <c r="A27" s="1">
        <v>25</v>
      </c>
      <c r="B27" s="1" t="s">
        <v>8</v>
      </c>
      <c r="C27" s="11">
        <v>65</v>
      </c>
      <c r="D27" s="11">
        <v>64.650000000000006</v>
      </c>
      <c r="E27" s="2">
        <f t="shared" si="0"/>
        <v>0.34999999999999432</v>
      </c>
      <c r="F27" s="11">
        <v>0.17399999999999999</v>
      </c>
      <c r="G27" s="3">
        <f t="shared" si="1"/>
        <v>8.0615384615383735E-3</v>
      </c>
    </row>
    <row r="28" spans="1:7" hidden="1">
      <c r="A28" s="1">
        <v>26</v>
      </c>
      <c r="B28" s="1" t="s">
        <v>8</v>
      </c>
      <c r="C28" s="11">
        <v>50</v>
      </c>
      <c r="D28" s="11">
        <v>49.66</v>
      </c>
      <c r="E28" s="2">
        <f t="shared" si="0"/>
        <v>0.34000000000000341</v>
      </c>
      <c r="F28" s="11">
        <v>0.186</v>
      </c>
      <c r="G28" s="3">
        <f t="shared" si="1"/>
        <v>1.0520000000000067E-2</v>
      </c>
    </row>
    <row r="29" spans="1:7" hidden="1">
      <c r="A29" s="1">
        <v>27</v>
      </c>
      <c r="B29" s="1" t="s">
        <v>8</v>
      </c>
      <c r="C29" s="11">
        <v>25</v>
      </c>
      <c r="D29" s="11">
        <v>24.76</v>
      </c>
      <c r="E29" s="2">
        <f t="shared" si="0"/>
        <v>0.23999999999999844</v>
      </c>
      <c r="F29" s="11">
        <v>0.128</v>
      </c>
      <c r="G29" s="3">
        <f t="shared" si="1"/>
        <v>1.4719999999999938E-2</v>
      </c>
    </row>
    <row r="30" spans="1:7" hidden="1">
      <c r="A30" s="1">
        <v>28</v>
      </c>
      <c r="B30" s="1" t="s">
        <v>8</v>
      </c>
      <c r="C30" s="11">
        <v>100</v>
      </c>
      <c r="D30" s="11">
        <v>99.32</v>
      </c>
      <c r="E30" s="2">
        <f t="shared" si="0"/>
        <v>0.68000000000000682</v>
      </c>
      <c r="F30" s="11">
        <v>0.254</v>
      </c>
      <c r="G30" s="3">
        <f t="shared" si="1"/>
        <v>9.3400000000000687E-3</v>
      </c>
    </row>
    <row r="31" spans="1:7" hidden="1">
      <c r="A31" s="1">
        <v>29</v>
      </c>
      <c r="B31" s="1" t="s">
        <v>8</v>
      </c>
      <c r="C31" s="11">
        <v>50</v>
      </c>
      <c r="D31" s="11">
        <v>49.37</v>
      </c>
      <c r="E31" s="2">
        <f t="shared" si="0"/>
        <v>0.63000000000000256</v>
      </c>
      <c r="F31" s="11">
        <v>0.20399999999999999</v>
      </c>
      <c r="G31" s="3">
        <f t="shared" si="1"/>
        <v>1.6680000000000049E-2</v>
      </c>
    </row>
    <row r="32" spans="1:7" hidden="1">
      <c r="A32" s="1">
        <v>30</v>
      </c>
      <c r="B32" s="1" t="s">
        <v>8</v>
      </c>
      <c r="C32" s="11">
        <v>50</v>
      </c>
      <c r="D32" s="11">
        <v>49.62</v>
      </c>
      <c r="E32" s="2">
        <f t="shared" si="0"/>
        <v>0.38000000000000256</v>
      </c>
      <c r="F32" s="11">
        <v>0</v>
      </c>
      <c r="G32" s="3">
        <f t="shared" si="1"/>
        <v>7.6000000000000512E-3</v>
      </c>
    </row>
    <row r="33" spans="1:7" hidden="1">
      <c r="A33" s="1">
        <v>31</v>
      </c>
      <c r="B33" s="1" t="s">
        <v>8</v>
      </c>
      <c r="C33" s="11">
        <v>50</v>
      </c>
      <c r="D33" s="11">
        <v>49.6</v>
      </c>
      <c r="E33" s="2">
        <f t="shared" si="0"/>
        <v>0.39999999999999858</v>
      </c>
      <c r="F33" s="11">
        <v>0.125</v>
      </c>
      <c r="G33" s="3">
        <f t="shared" si="1"/>
        <v>1.0499999999999971E-2</v>
      </c>
    </row>
    <row r="34" spans="1:7" hidden="1">
      <c r="A34" s="1">
        <v>1</v>
      </c>
      <c r="B34" s="1" t="s">
        <v>9</v>
      </c>
      <c r="C34" s="11">
        <v>20</v>
      </c>
      <c r="D34" s="11">
        <v>19.940000000000001</v>
      </c>
      <c r="E34" s="2">
        <f t="shared" si="0"/>
        <v>5.9999999999998721E-2</v>
      </c>
      <c r="F34" s="11">
        <v>0</v>
      </c>
      <c r="G34" s="3">
        <f t="shared" si="1"/>
        <v>2.9999999999999359E-3</v>
      </c>
    </row>
    <row r="35" spans="1:7" hidden="1">
      <c r="A35" s="1">
        <v>2</v>
      </c>
      <c r="B35" s="1" t="s">
        <v>9</v>
      </c>
      <c r="C35" s="11">
        <v>0</v>
      </c>
      <c r="D35" s="11">
        <v>0</v>
      </c>
      <c r="E35" s="2">
        <f t="shared" si="0"/>
        <v>0</v>
      </c>
      <c r="F35" s="11">
        <v>0.124</v>
      </c>
      <c r="G35" s="3" t="e">
        <f t="shared" si="1"/>
        <v>#DIV/0!</v>
      </c>
    </row>
    <row r="36" spans="1:7" hidden="1">
      <c r="A36" s="1">
        <v>3</v>
      </c>
      <c r="B36" s="1" t="s">
        <v>9</v>
      </c>
      <c r="C36" s="11">
        <v>40</v>
      </c>
      <c r="D36" s="11">
        <v>38.54</v>
      </c>
      <c r="E36" s="2">
        <f t="shared" si="0"/>
        <v>1.4600000000000009</v>
      </c>
      <c r="F36" s="11">
        <v>0.50600000000000001</v>
      </c>
      <c r="G36" s="3">
        <f t="shared" si="1"/>
        <v>4.915000000000002E-2</v>
      </c>
    </row>
    <row r="37" spans="1:7" hidden="1">
      <c r="A37" s="1">
        <v>4</v>
      </c>
      <c r="B37" s="1" t="s">
        <v>9</v>
      </c>
      <c r="C37" s="11">
        <v>0</v>
      </c>
      <c r="D37" s="11">
        <v>0</v>
      </c>
      <c r="E37" s="2">
        <f t="shared" si="0"/>
        <v>0</v>
      </c>
      <c r="F37" s="11">
        <v>0</v>
      </c>
      <c r="G37" s="3" t="e">
        <f t="shared" si="1"/>
        <v>#DIV/0!</v>
      </c>
    </row>
    <row r="38" spans="1:7" hidden="1">
      <c r="A38" s="1">
        <v>5</v>
      </c>
      <c r="B38" s="1" t="s">
        <v>9</v>
      </c>
      <c r="C38" s="11">
        <v>20</v>
      </c>
      <c r="D38" s="11">
        <v>19.88</v>
      </c>
      <c r="E38" s="2">
        <f t="shared" si="0"/>
        <v>0.12000000000000099</v>
      </c>
      <c r="F38" s="11">
        <v>0</v>
      </c>
      <c r="G38" s="3">
        <f t="shared" si="1"/>
        <v>6.0000000000000496E-3</v>
      </c>
    </row>
    <row r="39" spans="1:7" hidden="1">
      <c r="A39" s="1">
        <v>6</v>
      </c>
      <c r="B39" s="1" t="s">
        <v>9</v>
      </c>
      <c r="C39" s="11">
        <v>20</v>
      </c>
      <c r="D39" s="11">
        <v>19.84</v>
      </c>
      <c r="E39" s="2">
        <f t="shared" si="0"/>
        <v>0.16000000000000014</v>
      </c>
      <c r="F39" s="11">
        <v>0</v>
      </c>
      <c r="G39" s="3">
        <f t="shared" si="1"/>
        <v>8.0000000000000071E-3</v>
      </c>
    </row>
    <row r="40" spans="1:7" hidden="1">
      <c r="A40" s="1">
        <v>7</v>
      </c>
      <c r="B40" s="1" t="s">
        <v>9</v>
      </c>
      <c r="C40" s="11">
        <v>0</v>
      </c>
      <c r="D40" s="11">
        <v>0</v>
      </c>
      <c r="E40" s="2">
        <f t="shared" si="0"/>
        <v>0</v>
      </c>
      <c r="F40" s="11">
        <v>0</v>
      </c>
      <c r="G40" s="3" t="e">
        <f t="shared" si="1"/>
        <v>#DIV/0!</v>
      </c>
    </row>
    <row r="41" spans="1:7" hidden="1">
      <c r="A41" s="1">
        <v>10</v>
      </c>
      <c r="B41" s="1" t="s">
        <v>9</v>
      </c>
      <c r="C41" s="11">
        <v>40</v>
      </c>
      <c r="D41" s="11">
        <v>39.78</v>
      </c>
      <c r="E41" s="2">
        <f t="shared" si="0"/>
        <v>0.21999999999999886</v>
      </c>
      <c r="F41" s="11">
        <v>0</v>
      </c>
      <c r="G41" s="3">
        <f t="shared" si="1"/>
        <v>5.4999999999999719E-3</v>
      </c>
    </row>
    <row r="42" spans="1:7" hidden="1">
      <c r="A42" s="1">
        <v>8</v>
      </c>
      <c r="B42" s="1" t="s">
        <v>9</v>
      </c>
      <c r="C42" s="11">
        <v>20.02</v>
      </c>
      <c r="D42" s="11">
        <v>19.899999999999999</v>
      </c>
      <c r="E42" s="2">
        <f t="shared" si="0"/>
        <v>0.12000000000000099</v>
      </c>
      <c r="F42" s="11">
        <v>0</v>
      </c>
      <c r="G42" s="3">
        <f t="shared" si="1"/>
        <v>5.9940059940060434E-3</v>
      </c>
    </row>
    <row r="43" spans="1:7" hidden="1">
      <c r="A43" s="1">
        <v>9</v>
      </c>
      <c r="B43" s="1" t="s">
        <v>9</v>
      </c>
      <c r="C43" s="11">
        <v>20</v>
      </c>
      <c r="D43" s="11">
        <v>19.940000000000001</v>
      </c>
      <c r="E43" s="2">
        <f t="shared" si="0"/>
        <v>5.9999999999998721E-2</v>
      </c>
      <c r="F43" s="11">
        <v>0.28999999999999998</v>
      </c>
      <c r="G43" s="3">
        <f t="shared" si="1"/>
        <v>1.7499999999999936E-2</v>
      </c>
    </row>
    <row r="44" spans="1:7" hidden="1">
      <c r="A44" s="1">
        <v>11</v>
      </c>
      <c r="B44" s="1" t="s">
        <v>9</v>
      </c>
      <c r="C44" s="11">
        <v>25</v>
      </c>
      <c r="D44" s="11">
        <v>25</v>
      </c>
      <c r="E44" s="2">
        <f t="shared" si="0"/>
        <v>0</v>
      </c>
      <c r="F44" s="11">
        <v>0.91800000000000004</v>
      </c>
      <c r="G44" s="3">
        <f t="shared" si="1"/>
        <v>3.6720000000000003E-2</v>
      </c>
    </row>
    <row r="45" spans="1:7" hidden="1">
      <c r="A45" s="1">
        <v>12</v>
      </c>
      <c r="B45" s="1" t="s">
        <v>9</v>
      </c>
      <c r="C45" s="11">
        <v>25</v>
      </c>
      <c r="D45" s="11">
        <v>25</v>
      </c>
      <c r="E45" s="2">
        <f t="shared" si="0"/>
        <v>0</v>
      </c>
      <c r="F45" s="11">
        <v>7.0999999999999994E-2</v>
      </c>
      <c r="G45" s="3">
        <f t="shared" si="1"/>
        <v>2.8399999999999996E-3</v>
      </c>
    </row>
    <row r="46" spans="1:7" hidden="1">
      <c r="A46" s="1">
        <v>13</v>
      </c>
      <c r="B46" s="1" t="s">
        <v>9</v>
      </c>
      <c r="C46" s="11">
        <v>25</v>
      </c>
      <c r="D46" s="11">
        <v>24.74</v>
      </c>
      <c r="E46" s="2">
        <f t="shared" si="0"/>
        <v>0.26000000000000156</v>
      </c>
      <c r="F46" s="11">
        <v>0.159</v>
      </c>
      <c r="G46" s="3">
        <f t="shared" si="1"/>
        <v>1.6760000000000063E-2</v>
      </c>
    </row>
    <row r="47" spans="1:7" hidden="1">
      <c r="A47" s="1">
        <v>14</v>
      </c>
      <c r="B47" s="1" t="s">
        <v>9</v>
      </c>
      <c r="C47" s="11">
        <v>0</v>
      </c>
      <c r="D47" s="11">
        <v>0</v>
      </c>
      <c r="E47" s="2">
        <f t="shared" si="0"/>
        <v>0</v>
      </c>
      <c r="F47" s="11">
        <v>0</v>
      </c>
      <c r="G47" s="3" t="e">
        <f t="shared" si="1"/>
        <v>#DIV/0!</v>
      </c>
    </row>
    <row r="48" spans="1:7" hidden="1">
      <c r="A48" s="1">
        <v>15</v>
      </c>
      <c r="B48" s="1" t="s">
        <v>9</v>
      </c>
      <c r="C48" s="11">
        <v>0</v>
      </c>
      <c r="D48" s="11">
        <v>0</v>
      </c>
      <c r="E48" s="2">
        <f t="shared" si="0"/>
        <v>0</v>
      </c>
      <c r="F48" s="11">
        <v>0.247</v>
      </c>
      <c r="G48" s="3" t="e">
        <f t="shared" si="1"/>
        <v>#DIV/0!</v>
      </c>
    </row>
    <row r="49" spans="1:7" hidden="1">
      <c r="A49" s="1">
        <v>16</v>
      </c>
      <c r="B49" s="1" t="s">
        <v>9</v>
      </c>
      <c r="C49" s="11">
        <v>25</v>
      </c>
      <c r="D49" s="11">
        <v>25</v>
      </c>
      <c r="E49" s="2">
        <f t="shared" si="0"/>
        <v>0</v>
      </c>
      <c r="F49" s="11">
        <v>0.39</v>
      </c>
      <c r="G49" s="3">
        <f t="shared" si="1"/>
        <v>1.5600000000000001E-2</v>
      </c>
    </row>
    <row r="50" spans="1:7" hidden="1">
      <c r="A50" s="1">
        <v>17</v>
      </c>
      <c r="B50" s="1" t="s">
        <v>9</v>
      </c>
      <c r="C50" s="11">
        <v>25.12</v>
      </c>
      <c r="D50" s="11">
        <v>24.84</v>
      </c>
      <c r="E50" s="2">
        <f t="shared" si="0"/>
        <v>0.28000000000000114</v>
      </c>
      <c r="F50" s="11">
        <v>0.51700000000000002</v>
      </c>
      <c r="G50" s="3">
        <f t="shared" si="1"/>
        <v>3.1727707006369468E-2</v>
      </c>
    </row>
    <row r="51" spans="1:7" hidden="1">
      <c r="A51" s="1">
        <v>18</v>
      </c>
      <c r="B51" s="1" t="s">
        <v>9</v>
      </c>
      <c r="C51" s="11">
        <v>0</v>
      </c>
      <c r="D51" s="11">
        <v>0</v>
      </c>
      <c r="E51" s="2">
        <f t="shared" si="0"/>
        <v>0</v>
      </c>
      <c r="F51" s="11">
        <v>0</v>
      </c>
      <c r="G51" s="3" t="e">
        <f t="shared" si="1"/>
        <v>#DIV/0!</v>
      </c>
    </row>
    <row r="52" spans="1:7" hidden="1">
      <c r="A52" s="1">
        <v>19</v>
      </c>
      <c r="B52" s="1" t="s">
        <v>9</v>
      </c>
      <c r="C52" s="11">
        <v>50</v>
      </c>
      <c r="D52" s="11">
        <v>49.88</v>
      </c>
      <c r="E52" s="2">
        <f t="shared" si="0"/>
        <v>0.11999999999999744</v>
      </c>
      <c r="F52" s="11">
        <v>0.29499999999999998</v>
      </c>
      <c r="G52" s="3">
        <f t="shared" si="1"/>
        <v>8.299999999999948E-3</v>
      </c>
    </row>
    <row r="53" spans="1:7" hidden="1">
      <c r="A53" s="1">
        <v>20</v>
      </c>
      <c r="B53" s="1" t="s">
        <v>9</v>
      </c>
      <c r="C53" s="11">
        <v>0</v>
      </c>
      <c r="D53" s="11">
        <v>0</v>
      </c>
      <c r="E53" s="2">
        <f t="shared" si="0"/>
        <v>0</v>
      </c>
      <c r="F53" s="11">
        <v>0</v>
      </c>
      <c r="G53" s="3" t="e">
        <f t="shared" si="1"/>
        <v>#DIV/0!</v>
      </c>
    </row>
    <row r="54" spans="1:7" hidden="1">
      <c r="A54" s="1">
        <v>21</v>
      </c>
      <c r="B54" s="1" t="s">
        <v>9</v>
      </c>
      <c r="C54" s="11">
        <v>20</v>
      </c>
      <c r="D54" s="11">
        <v>19.899999999999999</v>
      </c>
      <c r="E54" s="2">
        <f t="shared" si="0"/>
        <v>0.10000000000000142</v>
      </c>
      <c r="F54" s="11">
        <v>0.20599999999999999</v>
      </c>
      <c r="G54" s="3">
        <f t="shared" si="1"/>
        <v>1.5300000000000069E-2</v>
      </c>
    </row>
    <row r="55" spans="1:7" hidden="1">
      <c r="A55" s="1">
        <v>22</v>
      </c>
      <c r="B55" s="1" t="s">
        <v>9</v>
      </c>
      <c r="C55" s="11">
        <v>10</v>
      </c>
      <c r="D55" s="11">
        <v>10</v>
      </c>
      <c r="E55" s="2">
        <f t="shared" si="0"/>
        <v>0</v>
      </c>
      <c r="F55" s="11">
        <v>0.111000000000001</v>
      </c>
      <c r="G55" s="3">
        <f t="shared" si="1"/>
        <v>1.1100000000000099E-2</v>
      </c>
    </row>
    <row r="56" spans="1:7" hidden="1">
      <c r="A56" s="1">
        <v>23</v>
      </c>
      <c r="B56" s="1" t="s">
        <v>9</v>
      </c>
      <c r="C56" s="11">
        <v>25</v>
      </c>
      <c r="D56" s="11">
        <v>24.8</v>
      </c>
      <c r="E56" s="2">
        <f t="shared" si="0"/>
        <v>0.19999999999999929</v>
      </c>
      <c r="F56" s="11">
        <v>0.02</v>
      </c>
      <c r="G56" s="3">
        <f t="shared" si="1"/>
        <v>8.799999999999971E-3</v>
      </c>
    </row>
    <row r="57" spans="1:7" hidden="1">
      <c r="A57" s="1">
        <v>24</v>
      </c>
      <c r="B57" s="1" t="s">
        <v>9</v>
      </c>
      <c r="C57" s="11">
        <v>25</v>
      </c>
      <c r="D57" s="11">
        <v>25</v>
      </c>
      <c r="E57" s="2">
        <f t="shared" si="0"/>
        <v>0</v>
      </c>
      <c r="F57" s="11">
        <v>0.39200000000000002</v>
      </c>
      <c r="G57" s="3">
        <f t="shared" si="1"/>
        <v>1.5679999999999999E-2</v>
      </c>
    </row>
    <row r="58" spans="1:7" hidden="1">
      <c r="A58" s="1">
        <v>25</v>
      </c>
      <c r="B58" s="1" t="s">
        <v>9</v>
      </c>
      <c r="C58" s="11">
        <v>55</v>
      </c>
      <c r="D58" s="11">
        <v>54.82</v>
      </c>
      <c r="E58" s="2">
        <f t="shared" si="0"/>
        <v>0.17999999999999972</v>
      </c>
      <c r="F58" s="11">
        <v>1.0289999999999999</v>
      </c>
      <c r="G58" s="3">
        <f t="shared" si="1"/>
        <v>2.1981818181818175E-2</v>
      </c>
    </row>
    <row r="59" spans="1:7" hidden="1">
      <c r="A59" s="1">
        <v>26</v>
      </c>
      <c r="B59" s="1" t="s">
        <v>9</v>
      </c>
      <c r="C59" s="11">
        <v>0</v>
      </c>
      <c r="D59" s="11">
        <v>0</v>
      </c>
      <c r="E59" s="2">
        <f t="shared" si="0"/>
        <v>0</v>
      </c>
      <c r="F59" s="11">
        <v>0</v>
      </c>
      <c r="G59" s="3" t="e">
        <f t="shared" si="1"/>
        <v>#DIV/0!</v>
      </c>
    </row>
    <row r="60" spans="1:7" hidden="1">
      <c r="A60" s="1">
        <v>27</v>
      </c>
      <c r="B60" s="1" t="s">
        <v>9</v>
      </c>
      <c r="C60" s="11">
        <v>0</v>
      </c>
      <c r="D60" s="11">
        <v>0</v>
      </c>
      <c r="E60" s="2">
        <f t="shared" si="0"/>
        <v>0</v>
      </c>
      <c r="F60" s="11">
        <v>0</v>
      </c>
      <c r="G60" s="3" t="e">
        <f t="shared" si="1"/>
        <v>#DIV/0!</v>
      </c>
    </row>
    <row r="61" spans="1:7" hidden="1">
      <c r="A61" s="1">
        <v>28</v>
      </c>
      <c r="B61" s="1" t="s">
        <v>9</v>
      </c>
      <c r="C61" s="11">
        <v>10.4</v>
      </c>
      <c r="D61" s="11">
        <v>10.119999999999999</v>
      </c>
      <c r="E61" s="2">
        <f t="shared" si="0"/>
        <v>0.28000000000000114</v>
      </c>
      <c r="F61" s="11">
        <v>0</v>
      </c>
      <c r="G61" s="3">
        <f t="shared" si="1"/>
        <v>2.6923076923077032E-2</v>
      </c>
    </row>
    <row r="62" spans="1:7" hidden="1">
      <c r="A62" s="1">
        <v>29</v>
      </c>
      <c r="B62" s="1" t="s">
        <v>9</v>
      </c>
      <c r="C62" s="11">
        <v>25</v>
      </c>
      <c r="D62" s="11">
        <v>25</v>
      </c>
      <c r="E62" s="2">
        <f t="shared" si="0"/>
        <v>0</v>
      </c>
      <c r="F62" s="11">
        <v>0.41399999999999998</v>
      </c>
      <c r="G62" s="3">
        <f t="shared" si="1"/>
        <v>1.6559999999999998E-2</v>
      </c>
    </row>
    <row r="63" spans="1:7" hidden="1">
      <c r="A63" s="1">
        <v>30</v>
      </c>
      <c r="B63" s="1" t="s">
        <v>9</v>
      </c>
      <c r="C63" s="11">
        <v>0</v>
      </c>
      <c r="D63" s="11">
        <v>0</v>
      </c>
      <c r="E63" s="2">
        <f t="shared" si="0"/>
        <v>0</v>
      </c>
      <c r="F63" s="11">
        <v>0</v>
      </c>
      <c r="G63" s="3" t="e">
        <f t="shared" si="1"/>
        <v>#DIV/0!</v>
      </c>
    </row>
    <row r="64" spans="1:7" hidden="1">
      <c r="A64" s="1">
        <v>31</v>
      </c>
      <c r="B64" s="1" t="s">
        <v>9</v>
      </c>
      <c r="C64" s="11">
        <v>25</v>
      </c>
      <c r="D64" s="11">
        <v>25</v>
      </c>
      <c r="E64" s="2">
        <f t="shared" si="0"/>
        <v>0</v>
      </c>
      <c r="F64" s="11">
        <v>0.33400000000000002</v>
      </c>
      <c r="G64" s="3">
        <f t="shared" si="1"/>
        <v>1.336E-2</v>
      </c>
    </row>
    <row r="65" spans="1:7" hidden="1">
      <c r="A65" s="1">
        <v>1</v>
      </c>
      <c r="B65" s="1" t="s">
        <v>10</v>
      </c>
      <c r="C65" s="11">
        <v>0</v>
      </c>
      <c r="D65" s="11">
        <v>0</v>
      </c>
      <c r="E65" s="2">
        <f t="shared" si="0"/>
        <v>0</v>
      </c>
      <c r="F65" s="11">
        <v>0.23499999999999999</v>
      </c>
      <c r="G65" s="3" t="e">
        <f t="shared" si="1"/>
        <v>#DIV/0!</v>
      </c>
    </row>
    <row r="66" spans="1:7" hidden="1">
      <c r="A66" s="1">
        <v>2</v>
      </c>
      <c r="B66" s="1" t="s">
        <v>10</v>
      </c>
      <c r="C66" s="11">
        <v>20</v>
      </c>
      <c r="D66" s="11">
        <v>19.72</v>
      </c>
      <c r="E66" s="2">
        <f t="shared" si="0"/>
        <v>0.28000000000000114</v>
      </c>
      <c r="F66" s="11">
        <v>0.26400000000000001</v>
      </c>
      <c r="G66" s="3">
        <f t="shared" si="1"/>
        <v>2.7200000000000057E-2</v>
      </c>
    </row>
    <row r="67" spans="1:7" hidden="1">
      <c r="A67" s="1">
        <v>3</v>
      </c>
      <c r="B67" s="1" t="s">
        <v>10</v>
      </c>
      <c r="C67" s="11">
        <v>0</v>
      </c>
      <c r="D67" s="11">
        <v>0</v>
      </c>
      <c r="E67" s="2">
        <f t="shared" si="0"/>
        <v>0</v>
      </c>
      <c r="F67" s="11">
        <v>0.26700000000000002</v>
      </c>
      <c r="G67" s="3" t="e">
        <f t="shared" si="1"/>
        <v>#DIV/0!</v>
      </c>
    </row>
    <row r="68" spans="1:7" hidden="1">
      <c r="A68" s="1">
        <v>4</v>
      </c>
      <c r="B68" s="1" t="s">
        <v>10</v>
      </c>
      <c r="C68" s="11">
        <v>20</v>
      </c>
      <c r="D68" s="11">
        <v>19.96</v>
      </c>
      <c r="E68" s="2">
        <f t="shared" ref="E68:E131" si="2">C68-D68</f>
        <v>3.9999999999999147E-2</v>
      </c>
      <c r="F68" s="11">
        <v>0.28000000000000003</v>
      </c>
      <c r="G68" s="3">
        <f t="shared" ref="G68:G131" si="3">(E68+F68)/C68</f>
        <v>1.5999999999999959E-2</v>
      </c>
    </row>
    <row r="69" spans="1:7" hidden="1">
      <c r="A69" s="1">
        <v>5</v>
      </c>
      <c r="B69" s="1" t="s">
        <v>10</v>
      </c>
      <c r="C69" s="11">
        <v>0</v>
      </c>
      <c r="D69" s="11">
        <v>0</v>
      </c>
      <c r="E69" s="2">
        <f t="shared" si="2"/>
        <v>0</v>
      </c>
      <c r="F69" s="11">
        <v>0.26600000000000001</v>
      </c>
      <c r="G69" s="3" t="e">
        <f t="shared" si="3"/>
        <v>#DIV/0!</v>
      </c>
    </row>
    <row r="70" spans="1:7" hidden="1">
      <c r="A70" s="1">
        <v>6</v>
      </c>
      <c r="B70" s="1" t="s">
        <v>10</v>
      </c>
      <c r="C70" s="11">
        <v>0</v>
      </c>
      <c r="D70" s="11">
        <v>0</v>
      </c>
      <c r="E70" s="2">
        <f t="shared" si="2"/>
        <v>0</v>
      </c>
      <c r="F70" s="11">
        <v>0.16900000000000001</v>
      </c>
      <c r="G70" s="3" t="e">
        <f t="shared" si="3"/>
        <v>#DIV/0!</v>
      </c>
    </row>
    <row r="71" spans="1:7" hidden="1">
      <c r="A71" s="1">
        <v>7</v>
      </c>
      <c r="B71" s="1" t="s">
        <v>10</v>
      </c>
      <c r="C71" s="11">
        <v>0</v>
      </c>
      <c r="D71" s="11">
        <v>0</v>
      </c>
      <c r="E71" s="2">
        <f t="shared" si="2"/>
        <v>0</v>
      </c>
      <c r="F71" s="11">
        <v>0.23100000000000001</v>
      </c>
      <c r="G71" s="3" t="e">
        <f t="shared" si="3"/>
        <v>#DIV/0!</v>
      </c>
    </row>
    <row r="72" spans="1:7" hidden="1">
      <c r="A72" s="1">
        <v>10</v>
      </c>
      <c r="B72" s="1" t="s">
        <v>10</v>
      </c>
      <c r="C72" s="11">
        <v>0</v>
      </c>
      <c r="D72" s="11">
        <v>0</v>
      </c>
      <c r="E72" s="2">
        <f t="shared" si="2"/>
        <v>0</v>
      </c>
      <c r="F72" s="11">
        <v>0.13200000000000001</v>
      </c>
      <c r="G72" s="3" t="e">
        <f t="shared" si="3"/>
        <v>#DIV/0!</v>
      </c>
    </row>
    <row r="73" spans="1:7" hidden="1">
      <c r="A73" s="1">
        <v>8</v>
      </c>
      <c r="B73" s="1" t="s">
        <v>10</v>
      </c>
      <c r="C73" s="11">
        <v>0</v>
      </c>
      <c r="D73" s="11">
        <v>0</v>
      </c>
      <c r="E73" s="2">
        <f t="shared" si="2"/>
        <v>0</v>
      </c>
      <c r="F73" s="11">
        <v>0.13400000000000001</v>
      </c>
      <c r="G73" s="3" t="e">
        <f t="shared" si="3"/>
        <v>#DIV/0!</v>
      </c>
    </row>
    <row r="74" spans="1:7" hidden="1">
      <c r="A74" s="1">
        <v>9</v>
      </c>
      <c r="B74" s="1" t="s">
        <v>10</v>
      </c>
      <c r="C74" s="11">
        <v>0</v>
      </c>
      <c r="D74" s="11">
        <v>0</v>
      </c>
      <c r="E74" s="2">
        <f t="shared" si="2"/>
        <v>0</v>
      </c>
      <c r="F74" s="11">
        <v>0.188</v>
      </c>
      <c r="G74" s="3" t="e">
        <f t="shared" si="3"/>
        <v>#DIV/0!</v>
      </c>
    </row>
    <row r="75" spans="1:7" hidden="1">
      <c r="A75" s="1">
        <v>11</v>
      </c>
      <c r="B75" s="1" t="s">
        <v>10</v>
      </c>
      <c r="C75" s="11">
        <v>0</v>
      </c>
      <c r="D75" s="11">
        <v>0</v>
      </c>
      <c r="E75" s="2">
        <f t="shared" si="2"/>
        <v>0</v>
      </c>
      <c r="F75" s="11">
        <v>0.13300000000000001</v>
      </c>
      <c r="G75" s="3" t="e">
        <f t="shared" si="3"/>
        <v>#DIV/0!</v>
      </c>
    </row>
    <row r="76" spans="1:7" hidden="1">
      <c r="A76" s="1">
        <v>12</v>
      </c>
      <c r="B76" s="1" t="s">
        <v>10</v>
      </c>
      <c r="C76" s="11">
        <v>0</v>
      </c>
      <c r="D76" s="11">
        <v>0</v>
      </c>
      <c r="E76" s="2">
        <f t="shared" si="2"/>
        <v>0</v>
      </c>
      <c r="F76" s="11">
        <v>0.23599999999999999</v>
      </c>
      <c r="G76" s="3" t="e">
        <f t="shared" si="3"/>
        <v>#DIV/0!</v>
      </c>
    </row>
    <row r="77" spans="1:7" hidden="1">
      <c r="A77" s="1">
        <v>13</v>
      </c>
      <c r="B77" s="1" t="s">
        <v>10</v>
      </c>
      <c r="C77" s="11">
        <v>0</v>
      </c>
      <c r="D77" s="11">
        <v>0</v>
      </c>
      <c r="E77" s="2">
        <f t="shared" si="2"/>
        <v>0</v>
      </c>
      <c r="F77" s="11">
        <v>0.24200000000000088</v>
      </c>
      <c r="G77" s="3" t="e">
        <f t="shared" si="3"/>
        <v>#DIV/0!</v>
      </c>
    </row>
    <row r="78" spans="1:7" hidden="1">
      <c r="A78" s="1">
        <v>14</v>
      </c>
      <c r="B78" s="1" t="s">
        <v>10</v>
      </c>
      <c r="C78" s="11">
        <v>0</v>
      </c>
      <c r="D78" s="11">
        <v>0</v>
      </c>
      <c r="E78" s="2">
        <f t="shared" si="2"/>
        <v>0</v>
      </c>
      <c r="F78" s="11">
        <v>0.216</v>
      </c>
      <c r="G78" s="3" t="e">
        <f t="shared" si="3"/>
        <v>#DIV/0!</v>
      </c>
    </row>
    <row r="79" spans="1:7" hidden="1">
      <c r="A79" s="1">
        <v>15</v>
      </c>
      <c r="B79" s="1" t="s">
        <v>10</v>
      </c>
      <c r="C79" s="11">
        <v>0</v>
      </c>
      <c r="D79" s="11">
        <v>0</v>
      </c>
      <c r="E79" s="2">
        <f t="shared" si="2"/>
        <v>0</v>
      </c>
      <c r="F79" s="11">
        <v>0.221</v>
      </c>
      <c r="G79" s="3" t="e">
        <f t="shared" si="3"/>
        <v>#DIV/0!</v>
      </c>
    </row>
    <row r="80" spans="1:7" hidden="1">
      <c r="A80" s="1">
        <v>16</v>
      </c>
      <c r="B80" s="1" t="s">
        <v>10</v>
      </c>
      <c r="C80" s="11">
        <v>0</v>
      </c>
      <c r="D80" s="11">
        <v>0</v>
      </c>
      <c r="E80" s="2">
        <f t="shared" si="2"/>
        <v>0</v>
      </c>
      <c r="F80" s="11">
        <v>0.17699999999999999</v>
      </c>
      <c r="G80" s="3" t="e">
        <f t="shared" si="3"/>
        <v>#DIV/0!</v>
      </c>
    </row>
    <row r="81" spans="1:7" hidden="1">
      <c r="A81" s="1">
        <v>17</v>
      </c>
      <c r="B81" s="1" t="s">
        <v>10</v>
      </c>
      <c r="C81" s="11">
        <v>0</v>
      </c>
      <c r="D81" s="11">
        <v>0</v>
      </c>
      <c r="E81" s="2">
        <f t="shared" si="2"/>
        <v>0</v>
      </c>
      <c r="F81" s="11">
        <v>0.115</v>
      </c>
      <c r="G81" s="3" t="e">
        <f t="shared" si="3"/>
        <v>#DIV/0!</v>
      </c>
    </row>
    <row r="82" spans="1:7" hidden="1">
      <c r="A82" s="1">
        <v>18</v>
      </c>
      <c r="B82" s="1" t="s">
        <v>10</v>
      </c>
      <c r="C82" s="11">
        <v>0</v>
      </c>
      <c r="D82" s="11">
        <v>0</v>
      </c>
      <c r="E82" s="2">
        <f t="shared" si="2"/>
        <v>0</v>
      </c>
      <c r="F82" s="11">
        <v>0.23300000000000001</v>
      </c>
      <c r="G82" s="3" t="e">
        <f t="shared" si="3"/>
        <v>#DIV/0!</v>
      </c>
    </row>
    <row r="83" spans="1:7" hidden="1">
      <c r="A83" s="1">
        <v>19</v>
      </c>
      <c r="B83" s="1" t="s">
        <v>10</v>
      </c>
      <c r="C83" s="11">
        <v>0</v>
      </c>
      <c r="D83" s="11">
        <v>0</v>
      </c>
      <c r="E83" s="2">
        <f t="shared" si="2"/>
        <v>0</v>
      </c>
      <c r="F83" s="11">
        <v>0.128</v>
      </c>
      <c r="G83" s="3" t="e">
        <f t="shared" si="3"/>
        <v>#DIV/0!</v>
      </c>
    </row>
    <row r="84" spans="1:7" hidden="1">
      <c r="A84" s="1">
        <v>20</v>
      </c>
      <c r="B84" s="1" t="s">
        <v>10</v>
      </c>
      <c r="C84" s="11">
        <v>0</v>
      </c>
      <c r="D84" s="11">
        <v>0</v>
      </c>
      <c r="E84" s="2">
        <f t="shared" si="2"/>
        <v>0</v>
      </c>
      <c r="F84" s="11">
        <v>0</v>
      </c>
      <c r="G84" s="3" t="e">
        <f t="shared" si="3"/>
        <v>#DIV/0!</v>
      </c>
    </row>
    <row r="85" spans="1:7" hidden="1">
      <c r="A85" s="1">
        <v>21</v>
      </c>
      <c r="B85" s="1" t="s">
        <v>10</v>
      </c>
      <c r="C85" s="11">
        <v>0</v>
      </c>
      <c r="D85" s="11">
        <v>0</v>
      </c>
      <c r="E85" s="2">
        <f t="shared" si="2"/>
        <v>0</v>
      </c>
      <c r="F85" s="11">
        <v>0.19800000000000001</v>
      </c>
      <c r="G85" s="3" t="e">
        <f t="shared" si="3"/>
        <v>#DIV/0!</v>
      </c>
    </row>
    <row r="86" spans="1:7" hidden="1">
      <c r="A86" s="1">
        <v>22</v>
      </c>
      <c r="B86" s="1" t="s">
        <v>10</v>
      </c>
      <c r="C86" s="11">
        <v>20</v>
      </c>
      <c r="D86" s="11">
        <v>19.78</v>
      </c>
      <c r="E86" s="2">
        <f t="shared" si="2"/>
        <v>0.21999999999999886</v>
      </c>
      <c r="F86" s="11">
        <v>0.153</v>
      </c>
      <c r="G86" s="3">
        <f t="shared" si="3"/>
        <v>1.8649999999999944E-2</v>
      </c>
    </row>
    <row r="87" spans="1:7" hidden="1">
      <c r="A87" s="1">
        <v>23</v>
      </c>
      <c r="B87" s="1" t="s">
        <v>10</v>
      </c>
      <c r="C87" s="11">
        <v>0</v>
      </c>
      <c r="D87" s="11">
        <v>0</v>
      </c>
      <c r="E87" s="2">
        <f t="shared" si="2"/>
        <v>0</v>
      </c>
      <c r="F87" s="11">
        <v>0.154</v>
      </c>
      <c r="G87" s="3" t="e">
        <f t="shared" si="3"/>
        <v>#DIV/0!</v>
      </c>
    </row>
    <row r="88" spans="1:7" hidden="1">
      <c r="A88" s="1">
        <v>24</v>
      </c>
      <c r="B88" s="1" t="s">
        <v>10</v>
      </c>
      <c r="C88" s="11">
        <v>0</v>
      </c>
      <c r="D88" s="11">
        <v>0</v>
      </c>
      <c r="E88" s="2">
        <f t="shared" si="2"/>
        <v>0</v>
      </c>
      <c r="F88" s="11">
        <v>0.129</v>
      </c>
      <c r="G88" s="3" t="e">
        <f t="shared" si="3"/>
        <v>#DIV/0!</v>
      </c>
    </row>
    <row r="89" spans="1:7" hidden="1">
      <c r="A89" s="1">
        <v>25</v>
      </c>
      <c r="B89" s="1" t="s">
        <v>10</v>
      </c>
      <c r="C89" s="11">
        <v>20</v>
      </c>
      <c r="D89" s="11">
        <v>19.95</v>
      </c>
      <c r="E89" s="2">
        <f t="shared" si="2"/>
        <v>5.0000000000000711E-2</v>
      </c>
      <c r="F89" s="11">
        <v>0.17699999999999999</v>
      </c>
      <c r="G89" s="3">
        <f t="shared" si="3"/>
        <v>1.1350000000000035E-2</v>
      </c>
    </row>
    <row r="90" spans="1:7" hidden="1">
      <c r="A90" s="1">
        <v>26</v>
      </c>
      <c r="B90" s="1" t="s">
        <v>10</v>
      </c>
      <c r="C90" s="11">
        <v>0</v>
      </c>
      <c r="D90" s="11">
        <v>0</v>
      </c>
      <c r="E90" s="2">
        <f t="shared" si="2"/>
        <v>0</v>
      </c>
      <c r="F90" s="11">
        <v>0.26200000000000001</v>
      </c>
      <c r="G90" s="3" t="e">
        <f t="shared" si="3"/>
        <v>#DIV/0!</v>
      </c>
    </row>
    <row r="91" spans="1:7" hidden="1">
      <c r="A91" s="1">
        <v>27</v>
      </c>
      <c r="B91" s="1" t="s">
        <v>10</v>
      </c>
      <c r="C91" s="11">
        <v>40</v>
      </c>
      <c r="D91" s="11">
        <v>39.4</v>
      </c>
      <c r="E91" s="2">
        <f t="shared" si="2"/>
        <v>0.60000000000000142</v>
      </c>
      <c r="F91" s="11">
        <v>0.28599999999999998</v>
      </c>
      <c r="G91" s="3">
        <f t="shared" si="3"/>
        <v>2.2150000000000038E-2</v>
      </c>
    </row>
    <row r="92" spans="1:7" hidden="1">
      <c r="A92" s="1">
        <v>28</v>
      </c>
      <c r="B92" s="1" t="s">
        <v>10</v>
      </c>
      <c r="C92" s="11">
        <v>0</v>
      </c>
      <c r="D92" s="11">
        <v>0</v>
      </c>
      <c r="E92" s="2">
        <f t="shared" si="2"/>
        <v>0</v>
      </c>
      <c r="F92" s="11">
        <v>0.28599999999999998</v>
      </c>
      <c r="G92" s="3" t="e">
        <f t="shared" si="3"/>
        <v>#DIV/0!</v>
      </c>
    </row>
    <row r="93" spans="1:7" hidden="1">
      <c r="A93" s="1">
        <v>29</v>
      </c>
      <c r="B93" s="1" t="s">
        <v>10</v>
      </c>
      <c r="C93" s="11">
        <v>20</v>
      </c>
      <c r="D93" s="11">
        <v>19.77</v>
      </c>
      <c r="E93" s="2">
        <f t="shared" si="2"/>
        <v>0.23000000000000043</v>
      </c>
      <c r="F93" s="11">
        <v>0.252</v>
      </c>
      <c r="G93" s="3">
        <f t="shared" si="3"/>
        <v>2.4100000000000021E-2</v>
      </c>
    </row>
    <row r="94" spans="1:7" hidden="1">
      <c r="A94" s="1">
        <v>30</v>
      </c>
      <c r="B94" s="1" t="s">
        <v>10</v>
      </c>
      <c r="C94" s="11">
        <v>20</v>
      </c>
      <c r="D94" s="11">
        <v>19.559999999999999</v>
      </c>
      <c r="E94" s="2">
        <f t="shared" si="2"/>
        <v>0.44000000000000128</v>
      </c>
      <c r="F94" s="11">
        <v>0.253</v>
      </c>
      <c r="G94" s="3">
        <f t="shared" si="3"/>
        <v>3.4650000000000063E-2</v>
      </c>
    </row>
    <row r="95" spans="1:7" hidden="1">
      <c r="A95" s="1">
        <v>31</v>
      </c>
      <c r="B95" s="1" t="s">
        <v>10</v>
      </c>
      <c r="C95" s="11">
        <v>0</v>
      </c>
      <c r="D95" s="11">
        <v>0</v>
      </c>
      <c r="E95" s="2">
        <f t="shared" si="2"/>
        <v>0</v>
      </c>
      <c r="F95" s="11">
        <v>0.16600000000000001</v>
      </c>
      <c r="G95" s="3" t="e">
        <f t="shared" si="3"/>
        <v>#DIV/0!</v>
      </c>
    </row>
    <row r="96" spans="1:7" hidden="1">
      <c r="A96" s="1">
        <v>1</v>
      </c>
      <c r="B96" s="1" t="s">
        <v>11</v>
      </c>
      <c r="C96" s="11">
        <v>52.18</v>
      </c>
      <c r="D96" s="11">
        <v>51.5</v>
      </c>
      <c r="E96" s="2">
        <f t="shared" si="2"/>
        <v>0.67999999999999972</v>
      </c>
      <c r="F96" s="11">
        <v>0</v>
      </c>
      <c r="G96" s="3">
        <f t="shared" si="3"/>
        <v>1.3031812955155226E-2</v>
      </c>
    </row>
    <row r="97" spans="1:7" hidden="1">
      <c r="A97" s="1">
        <v>2</v>
      </c>
      <c r="B97" s="1" t="s">
        <v>11</v>
      </c>
      <c r="C97" s="11">
        <v>0</v>
      </c>
      <c r="D97" s="11">
        <v>0</v>
      </c>
      <c r="E97" s="2">
        <f t="shared" si="2"/>
        <v>0</v>
      </c>
      <c r="F97" s="11">
        <v>0.67</v>
      </c>
      <c r="G97" s="3" t="e">
        <f t="shared" si="3"/>
        <v>#DIV/0!</v>
      </c>
    </row>
    <row r="98" spans="1:7" hidden="1">
      <c r="A98" s="1">
        <v>3</v>
      </c>
      <c r="B98" s="1" t="s">
        <v>11</v>
      </c>
      <c r="C98" s="11">
        <v>0</v>
      </c>
      <c r="D98" s="11">
        <v>0</v>
      </c>
      <c r="E98" s="2">
        <f t="shared" si="2"/>
        <v>0</v>
      </c>
      <c r="F98" s="11">
        <v>0</v>
      </c>
      <c r="G98" s="3" t="e">
        <f t="shared" si="3"/>
        <v>#DIV/0!</v>
      </c>
    </row>
    <row r="99" spans="1:7" hidden="1">
      <c r="A99" s="1">
        <v>4</v>
      </c>
      <c r="B99" s="1" t="s">
        <v>11</v>
      </c>
      <c r="C99" s="11">
        <v>0</v>
      </c>
      <c r="D99" s="11">
        <v>0</v>
      </c>
      <c r="E99" s="2">
        <f t="shared" si="2"/>
        <v>0</v>
      </c>
      <c r="F99" s="11">
        <v>0.53</v>
      </c>
      <c r="G99" s="3" t="e">
        <f t="shared" si="3"/>
        <v>#DIV/0!</v>
      </c>
    </row>
    <row r="100" spans="1:7" hidden="1">
      <c r="A100" s="1">
        <v>5</v>
      </c>
      <c r="B100" s="1" t="s">
        <v>11</v>
      </c>
      <c r="C100" s="11">
        <v>0</v>
      </c>
      <c r="D100" s="11">
        <v>0</v>
      </c>
      <c r="E100" s="2">
        <f t="shared" si="2"/>
        <v>0</v>
      </c>
      <c r="F100" s="11">
        <v>0.49</v>
      </c>
      <c r="G100" s="3" t="e">
        <f t="shared" si="3"/>
        <v>#DIV/0!</v>
      </c>
    </row>
    <row r="101" spans="1:7" hidden="1">
      <c r="A101" s="1">
        <v>6</v>
      </c>
      <c r="B101" s="1" t="s">
        <v>11</v>
      </c>
      <c r="C101" s="11">
        <v>0</v>
      </c>
      <c r="D101" s="11">
        <v>0</v>
      </c>
      <c r="E101" s="2">
        <f t="shared" si="2"/>
        <v>0</v>
      </c>
      <c r="F101" s="11">
        <v>0.21</v>
      </c>
      <c r="G101" s="3" t="e">
        <f t="shared" si="3"/>
        <v>#DIV/0!</v>
      </c>
    </row>
    <row r="102" spans="1:7" hidden="1">
      <c r="A102" s="1">
        <v>7</v>
      </c>
      <c r="B102" s="1" t="s">
        <v>11</v>
      </c>
      <c r="C102" s="11">
        <v>0</v>
      </c>
      <c r="D102" s="11">
        <v>0</v>
      </c>
      <c r="E102" s="2">
        <f t="shared" si="2"/>
        <v>0</v>
      </c>
      <c r="F102" s="11">
        <v>0.31</v>
      </c>
      <c r="G102" s="3" t="e">
        <f t="shared" si="3"/>
        <v>#DIV/0!</v>
      </c>
    </row>
    <row r="103" spans="1:7" hidden="1">
      <c r="A103" s="1">
        <v>10</v>
      </c>
      <c r="B103" s="1" t="s">
        <v>11</v>
      </c>
      <c r="C103" s="11">
        <v>0</v>
      </c>
      <c r="D103" s="11">
        <v>0</v>
      </c>
      <c r="E103" s="2">
        <f t="shared" si="2"/>
        <v>0</v>
      </c>
      <c r="F103" s="11">
        <v>0.43</v>
      </c>
      <c r="G103" s="3" t="e">
        <f t="shared" si="3"/>
        <v>#DIV/0!</v>
      </c>
    </row>
    <row r="104" spans="1:7" hidden="1">
      <c r="A104" s="1">
        <v>8</v>
      </c>
      <c r="B104" s="1" t="s">
        <v>11</v>
      </c>
      <c r="C104" s="11">
        <v>0</v>
      </c>
      <c r="D104" s="11">
        <v>0</v>
      </c>
      <c r="E104" s="2">
        <f t="shared" si="2"/>
        <v>0</v>
      </c>
      <c r="F104" s="11">
        <v>0.35399999999999998</v>
      </c>
      <c r="G104" s="3" t="e">
        <f t="shared" si="3"/>
        <v>#DIV/0!</v>
      </c>
    </row>
    <row r="105" spans="1:7" hidden="1">
      <c r="A105" s="1">
        <v>9</v>
      </c>
      <c r="B105" s="1" t="s">
        <v>11</v>
      </c>
      <c r="C105" s="11">
        <v>0</v>
      </c>
      <c r="D105" s="11">
        <v>0</v>
      </c>
      <c r="E105" s="2">
        <f t="shared" si="2"/>
        <v>0</v>
      </c>
      <c r="F105" s="11">
        <v>0.31</v>
      </c>
      <c r="G105" s="3" t="e">
        <f t="shared" si="3"/>
        <v>#DIV/0!</v>
      </c>
    </row>
    <row r="106" spans="1:7" hidden="1">
      <c r="A106" s="1">
        <v>11</v>
      </c>
      <c r="B106" s="1" t="s">
        <v>11</v>
      </c>
      <c r="C106" s="11">
        <v>0</v>
      </c>
      <c r="D106" s="11">
        <v>0</v>
      </c>
      <c r="E106" s="2">
        <f t="shared" si="2"/>
        <v>0</v>
      </c>
      <c r="F106" s="11">
        <v>0.245</v>
      </c>
      <c r="G106" s="3" t="e">
        <f t="shared" si="3"/>
        <v>#DIV/0!</v>
      </c>
    </row>
    <row r="107" spans="1:7" hidden="1">
      <c r="A107" s="1">
        <v>12</v>
      </c>
      <c r="B107" s="1" t="s">
        <v>11</v>
      </c>
      <c r="C107" s="11">
        <v>0</v>
      </c>
      <c r="D107" s="11">
        <v>0</v>
      </c>
      <c r="E107" s="2">
        <f t="shared" si="2"/>
        <v>0</v>
      </c>
      <c r="F107" s="11">
        <v>0.21</v>
      </c>
      <c r="G107" s="3" t="e">
        <f t="shared" si="3"/>
        <v>#DIV/0!</v>
      </c>
    </row>
    <row r="108" spans="1:7" hidden="1">
      <c r="A108" s="1">
        <v>13</v>
      </c>
      <c r="B108" s="1" t="s">
        <v>11</v>
      </c>
      <c r="C108" s="11">
        <v>0</v>
      </c>
      <c r="D108" s="11">
        <v>0</v>
      </c>
      <c r="E108" s="2">
        <f t="shared" si="2"/>
        <v>0</v>
      </c>
      <c r="F108" s="11">
        <v>0.21</v>
      </c>
      <c r="G108" s="3" t="e">
        <f t="shared" si="3"/>
        <v>#DIV/0!</v>
      </c>
    </row>
    <row r="109" spans="1:7" hidden="1">
      <c r="A109" s="1">
        <v>14</v>
      </c>
      <c r="B109" s="1" t="s">
        <v>11</v>
      </c>
      <c r="C109" s="11">
        <v>0</v>
      </c>
      <c r="D109" s="11">
        <v>0</v>
      </c>
      <c r="E109" s="2">
        <f t="shared" si="2"/>
        <v>0</v>
      </c>
      <c r="F109" s="11">
        <v>0.25</v>
      </c>
      <c r="G109" s="3" t="e">
        <f t="shared" si="3"/>
        <v>#DIV/0!</v>
      </c>
    </row>
    <row r="110" spans="1:7" hidden="1">
      <c r="A110" s="1">
        <v>15</v>
      </c>
      <c r="B110" s="1" t="s">
        <v>11</v>
      </c>
      <c r="C110" s="11">
        <v>0</v>
      </c>
      <c r="D110" s="11">
        <v>0</v>
      </c>
      <c r="E110" s="2">
        <f t="shared" si="2"/>
        <v>0</v>
      </c>
      <c r="F110" s="11">
        <v>0.38</v>
      </c>
      <c r="G110" s="3" t="e">
        <f t="shared" si="3"/>
        <v>#DIV/0!</v>
      </c>
    </row>
    <row r="111" spans="1:7" hidden="1">
      <c r="A111" s="1">
        <v>16</v>
      </c>
      <c r="B111" s="1" t="s">
        <v>11</v>
      </c>
      <c r="C111" s="11">
        <v>25</v>
      </c>
      <c r="D111" s="11">
        <v>24.8</v>
      </c>
      <c r="E111" s="2">
        <f t="shared" si="2"/>
        <v>0.19999999999999929</v>
      </c>
      <c r="F111" s="11">
        <v>0.33</v>
      </c>
      <c r="G111" s="3">
        <f t="shared" si="3"/>
        <v>2.1199999999999976E-2</v>
      </c>
    </row>
    <row r="112" spans="1:7" hidden="1">
      <c r="A112" s="1">
        <v>17</v>
      </c>
      <c r="B112" s="1" t="s">
        <v>11</v>
      </c>
      <c r="C112" s="11">
        <v>0</v>
      </c>
      <c r="D112" s="11">
        <v>0</v>
      </c>
      <c r="E112" s="2">
        <f t="shared" si="2"/>
        <v>0</v>
      </c>
      <c r="F112" s="11">
        <v>0.35</v>
      </c>
      <c r="G112" s="3" t="e">
        <f t="shared" si="3"/>
        <v>#DIV/0!</v>
      </c>
    </row>
    <row r="113" spans="1:7" hidden="1">
      <c r="A113" s="1">
        <v>18</v>
      </c>
      <c r="B113" s="1" t="s">
        <v>11</v>
      </c>
      <c r="C113" s="11">
        <v>0</v>
      </c>
      <c r="D113" s="11">
        <v>0</v>
      </c>
      <c r="E113" s="2">
        <f t="shared" si="2"/>
        <v>0</v>
      </c>
      <c r="F113" s="11">
        <v>0.20100000000000001</v>
      </c>
      <c r="G113" s="3" t="e">
        <f t="shared" si="3"/>
        <v>#DIV/0!</v>
      </c>
    </row>
    <row r="114" spans="1:7" hidden="1">
      <c r="A114" s="1">
        <v>19</v>
      </c>
      <c r="B114" s="1" t="s">
        <v>11</v>
      </c>
      <c r="C114" s="11">
        <v>0</v>
      </c>
      <c r="D114" s="11">
        <v>0</v>
      </c>
      <c r="E114" s="2">
        <f t="shared" si="2"/>
        <v>0</v>
      </c>
      <c r="F114" s="11">
        <v>0.33600000000000002</v>
      </c>
      <c r="G114" s="3" t="e">
        <f t="shared" si="3"/>
        <v>#DIV/0!</v>
      </c>
    </row>
    <row r="115" spans="1:7" hidden="1">
      <c r="A115" s="1">
        <v>20</v>
      </c>
      <c r="B115" s="1" t="s">
        <v>11</v>
      </c>
      <c r="C115" s="11">
        <v>70.28</v>
      </c>
      <c r="D115" s="11">
        <v>69.58</v>
      </c>
      <c r="E115" s="2">
        <f t="shared" si="2"/>
        <v>0.70000000000000284</v>
      </c>
      <c r="F115" s="11">
        <v>0.25</v>
      </c>
      <c r="G115" s="3">
        <f t="shared" si="3"/>
        <v>1.3517359134889056E-2</v>
      </c>
    </row>
    <row r="116" spans="1:7" hidden="1">
      <c r="A116" s="1">
        <v>21</v>
      </c>
      <c r="B116" s="1" t="s">
        <v>11</v>
      </c>
      <c r="C116" s="11">
        <v>0</v>
      </c>
      <c r="D116" s="11">
        <v>0</v>
      </c>
      <c r="E116" s="2">
        <f t="shared" si="2"/>
        <v>0</v>
      </c>
      <c r="F116" s="11">
        <v>0.311</v>
      </c>
      <c r="G116" s="3" t="e">
        <f t="shared" si="3"/>
        <v>#DIV/0!</v>
      </c>
    </row>
    <row r="117" spans="1:7" hidden="1">
      <c r="A117" s="1">
        <v>22</v>
      </c>
      <c r="B117" s="1" t="s">
        <v>11</v>
      </c>
      <c r="C117" s="11">
        <v>0</v>
      </c>
      <c r="D117" s="11">
        <v>0</v>
      </c>
      <c r="E117" s="2">
        <f t="shared" si="2"/>
        <v>0</v>
      </c>
      <c r="F117" s="11">
        <v>0.21000000000000099</v>
      </c>
      <c r="G117" s="3" t="e">
        <f t="shared" si="3"/>
        <v>#DIV/0!</v>
      </c>
    </row>
    <row r="118" spans="1:7" hidden="1">
      <c r="A118" s="1">
        <v>23</v>
      </c>
      <c r="B118" s="1" t="s">
        <v>11</v>
      </c>
      <c r="C118" s="11">
        <v>0</v>
      </c>
      <c r="D118" s="11">
        <v>0</v>
      </c>
      <c r="E118" s="2">
        <f t="shared" si="2"/>
        <v>0</v>
      </c>
      <c r="F118" s="11">
        <v>0.21099999999999999</v>
      </c>
      <c r="G118" s="3" t="e">
        <f t="shared" si="3"/>
        <v>#DIV/0!</v>
      </c>
    </row>
    <row r="119" spans="1:7" hidden="1">
      <c r="A119" s="1">
        <v>24</v>
      </c>
      <c r="B119" s="1" t="s">
        <v>11</v>
      </c>
      <c r="C119" s="11">
        <v>0</v>
      </c>
      <c r="D119" s="11">
        <v>0</v>
      </c>
      <c r="E119" s="2">
        <f t="shared" si="2"/>
        <v>0</v>
      </c>
      <c r="F119" s="11">
        <v>0.21399999999999864</v>
      </c>
      <c r="G119" s="3" t="e">
        <f t="shared" si="3"/>
        <v>#DIV/0!</v>
      </c>
    </row>
    <row r="120" spans="1:7" hidden="1">
      <c r="A120" s="1">
        <v>25</v>
      </c>
      <c r="B120" s="1" t="s">
        <v>11</v>
      </c>
      <c r="C120" s="11">
        <v>25</v>
      </c>
      <c r="D120" s="11">
        <v>24.84</v>
      </c>
      <c r="E120" s="2">
        <f t="shared" si="2"/>
        <v>0.16000000000000014</v>
      </c>
      <c r="F120" s="11">
        <v>0.35</v>
      </c>
      <c r="G120" s="3">
        <f t="shared" si="3"/>
        <v>2.0400000000000005E-2</v>
      </c>
    </row>
    <row r="121" spans="1:7" hidden="1">
      <c r="A121" s="1">
        <v>26</v>
      </c>
      <c r="B121" s="1" t="s">
        <v>11</v>
      </c>
      <c r="C121" s="11">
        <v>0</v>
      </c>
      <c r="D121" s="11">
        <v>0</v>
      </c>
      <c r="E121" s="2">
        <f t="shared" si="2"/>
        <v>0</v>
      </c>
      <c r="F121" s="11">
        <v>0.21</v>
      </c>
      <c r="G121" s="3" t="e">
        <f t="shared" si="3"/>
        <v>#DIV/0!</v>
      </c>
    </row>
    <row r="122" spans="1:7" hidden="1">
      <c r="A122" s="1">
        <v>27</v>
      </c>
      <c r="B122" s="1" t="s">
        <v>11</v>
      </c>
      <c r="C122" s="11">
        <v>0</v>
      </c>
      <c r="D122" s="11">
        <v>0</v>
      </c>
      <c r="E122" s="2">
        <f t="shared" si="2"/>
        <v>0</v>
      </c>
      <c r="F122" s="11">
        <v>0.25</v>
      </c>
      <c r="G122" s="3" t="e">
        <f t="shared" si="3"/>
        <v>#DIV/0!</v>
      </c>
    </row>
    <row r="123" spans="1:7" hidden="1">
      <c r="A123" s="1">
        <v>28</v>
      </c>
      <c r="B123" s="1" t="s">
        <v>11</v>
      </c>
      <c r="C123" s="11">
        <v>25.2</v>
      </c>
      <c r="D123" s="11">
        <v>24.58</v>
      </c>
      <c r="E123" s="2">
        <f t="shared" si="2"/>
        <v>0.62000000000000099</v>
      </c>
      <c r="F123" s="11">
        <v>0.3</v>
      </c>
      <c r="G123" s="3">
        <f t="shared" si="3"/>
        <v>3.6507936507936552E-2</v>
      </c>
    </row>
    <row r="124" spans="1:7" hidden="1">
      <c r="A124" s="1">
        <v>29</v>
      </c>
      <c r="B124" s="1" t="s">
        <v>11</v>
      </c>
      <c r="C124" s="11">
        <v>0</v>
      </c>
      <c r="D124" s="11">
        <v>0</v>
      </c>
      <c r="E124" s="2">
        <f t="shared" si="2"/>
        <v>0</v>
      </c>
      <c r="F124" s="11">
        <v>0.21</v>
      </c>
      <c r="G124" s="3" t="e">
        <f t="shared" si="3"/>
        <v>#DIV/0!</v>
      </c>
    </row>
    <row r="125" spans="1:7" hidden="1">
      <c r="A125" s="1">
        <v>30</v>
      </c>
      <c r="B125" s="1" t="s">
        <v>11</v>
      </c>
      <c r="C125" s="11">
        <v>0</v>
      </c>
      <c r="D125" s="11">
        <v>0</v>
      </c>
      <c r="E125" s="2">
        <f t="shared" si="2"/>
        <v>0</v>
      </c>
      <c r="F125" s="11">
        <v>0.25</v>
      </c>
      <c r="G125" s="3" t="e">
        <f t="shared" si="3"/>
        <v>#DIV/0!</v>
      </c>
    </row>
    <row r="126" spans="1:7" hidden="1">
      <c r="A126" s="1">
        <v>31</v>
      </c>
      <c r="B126" s="1" t="s">
        <v>11</v>
      </c>
      <c r="C126" s="11">
        <v>0</v>
      </c>
      <c r="D126" s="11">
        <v>0</v>
      </c>
      <c r="E126" s="2">
        <f t="shared" si="2"/>
        <v>0</v>
      </c>
      <c r="F126" s="11">
        <v>0.22</v>
      </c>
      <c r="G126" s="3" t="e">
        <f t="shared" si="3"/>
        <v>#DIV/0!</v>
      </c>
    </row>
    <row r="127" spans="1:7" hidden="1">
      <c r="A127" s="1">
        <v>1</v>
      </c>
      <c r="B127" s="1" t="s">
        <v>12</v>
      </c>
      <c r="C127" s="11">
        <v>40</v>
      </c>
      <c r="D127" s="11">
        <v>39.6</v>
      </c>
      <c r="E127" s="2">
        <f t="shared" si="2"/>
        <v>0.39999999999999858</v>
      </c>
      <c r="F127" s="11">
        <v>0.486999999999985</v>
      </c>
      <c r="G127" s="3">
        <f t="shared" si="3"/>
        <v>2.2174999999999591E-2</v>
      </c>
    </row>
    <row r="128" spans="1:7" hidden="1">
      <c r="A128" s="1">
        <v>2</v>
      </c>
      <c r="B128" s="1" t="s">
        <v>12</v>
      </c>
      <c r="C128" s="11">
        <v>80</v>
      </c>
      <c r="D128" s="11">
        <v>78.849999999999994</v>
      </c>
      <c r="E128" s="2">
        <f t="shared" si="2"/>
        <v>1.1500000000000057</v>
      </c>
      <c r="F128" s="11">
        <v>0.56599999999999995</v>
      </c>
      <c r="G128" s="3">
        <f t="shared" si="3"/>
        <v>2.145000000000007E-2</v>
      </c>
    </row>
    <row r="129" spans="1:7" hidden="1">
      <c r="A129" s="1">
        <v>3</v>
      </c>
      <c r="B129" s="1" t="s">
        <v>12</v>
      </c>
      <c r="C129" s="11">
        <v>20</v>
      </c>
      <c r="D129" s="11">
        <v>19.5</v>
      </c>
      <c r="E129" s="2">
        <f t="shared" si="2"/>
        <v>0.5</v>
      </c>
      <c r="F129" s="11">
        <v>0.56599999999999995</v>
      </c>
      <c r="G129" s="3">
        <f t="shared" si="3"/>
        <v>5.3299999999999993E-2</v>
      </c>
    </row>
    <row r="130" spans="1:7" hidden="1">
      <c r="A130" s="1">
        <v>4</v>
      </c>
      <c r="B130" s="1" t="s">
        <v>12</v>
      </c>
      <c r="C130" s="11">
        <v>40</v>
      </c>
      <c r="D130" s="11">
        <v>39.6</v>
      </c>
      <c r="E130" s="2">
        <f t="shared" si="2"/>
        <v>0.39999999999999858</v>
      </c>
      <c r="F130" s="11">
        <v>0.68300000000001049</v>
      </c>
      <c r="G130" s="3">
        <f t="shared" si="3"/>
        <v>2.7075000000000227E-2</v>
      </c>
    </row>
    <row r="131" spans="1:7" hidden="1">
      <c r="A131" s="1">
        <v>5</v>
      </c>
      <c r="B131" s="1" t="s">
        <v>12</v>
      </c>
      <c r="C131" s="11">
        <v>80</v>
      </c>
      <c r="D131" s="11">
        <v>79.55</v>
      </c>
      <c r="E131" s="2">
        <f t="shared" si="2"/>
        <v>0.45000000000000284</v>
      </c>
      <c r="F131" s="11">
        <v>0.42099999999999999</v>
      </c>
      <c r="G131" s="3">
        <f t="shared" si="3"/>
        <v>1.0887500000000036E-2</v>
      </c>
    </row>
    <row r="132" spans="1:7" hidden="1">
      <c r="A132" s="1">
        <v>6</v>
      </c>
      <c r="B132" s="1" t="s">
        <v>12</v>
      </c>
      <c r="C132" s="11">
        <v>20</v>
      </c>
      <c r="D132" s="11">
        <v>19.8</v>
      </c>
      <c r="E132" s="2">
        <f t="shared" ref="E132:E195" si="4">C132-D132</f>
        <v>0.19999999999999929</v>
      </c>
      <c r="F132" s="11">
        <v>0.32500000000000001</v>
      </c>
      <c r="G132" s="3">
        <f t="shared" ref="G132:G195" si="5">(E132+F132)/C132</f>
        <v>2.6249999999999961E-2</v>
      </c>
    </row>
    <row r="133" spans="1:7" hidden="1">
      <c r="A133" s="1">
        <v>7</v>
      </c>
      <c r="B133" s="1" t="s">
        <v>12</v>
      </c>
      <c r="C133" s="11">
        <v>40</v>
      </c>
      <c r="D133" s="11">
        <v>39.1</v>
      </c>
      <c r="E133" s="2">
        <f t="shared" si="4"/>
        <v>0.89999999999999858</v>
      </c>
      <c r="F133" s="11">
        <v>0.32500000000000001</v>
      </c>
      <c r="G133" s="3">
        <f t="shared" si="5"/>
        <v>3.0624999999999965E-2</v>
      </c>
    </row>
    <row r="134" spans="1:7" hidden="1">
      <c r="A134" s="1">
        <v>10</v>
      </c>
      <c r="B134" s="1" t="s">
        <v>12</v>
      </c>
      <c r="C134" s="11">
        <v>25</v>
      </c>
      <c r="D134" s="11">
        <v>24.8</v>
      </c>
      <c r="E134" s="2">
        <f t="shared" si="4"/>
        <v>0.19999999999999929</v>
      </c>
      <c r="F134" s="11">
        <v>0.38000000000000256</v>
      </c>
      <c r="G134" s="3">
        <f t="shared" si="5"/>
        <v>2.3200000000000075E-2</v>
      </c>
    </row>
    <row r="135" spans="1:7" hidden="1">
      <c r="A135" s="1">
        <v>8</v>
      </c>
      <c r="B135" s="1" t="s">
        <v>12</v>
      </c>
      <c r="C135" s="11">
        <v>40</v>
      </c>
      <c r="D135" s="11">
        <v>39.450000000000003</v>
      </c>
      <c r="E135" s="2">
        <f t="shared" si="4"/>
        <v>0.54999999999999716</v>
      </c>
      <c r="F135" s="11">
        <v>0.434</v>
      </c>
      <c r="G135" s="3">
        <f t="shared" si="5"/>
        <v>2.4599999999999927E-2</v>
      </c>
    </row>
    <row r="136" spans="1:7" hidden="1">
      <c r="A136" s="1">
        <v>9</v>
      </c>
      <c r="B136" s="1" t="s">
        <v>12</v>
      </c>
      <c r="C136" s="11">
        <v>0</v>
      </c>
      <c r="D136" s="11">
        <v>0</v>
      </c>
      <c r="E136" s="2">
        <f t="shared" si="4"/>
        <v>0</v>
      </c>
      <c r="F136" s="11">
        <v>0.5</v>
      </c>
      <c r="G136" s="3" t="e">
        <f t="shared" si="5"/>
        <v>#DIV/0!</v>
      </c>
    </row>
    <row r="137" spans="1:7" hidden="1">
      <c r="A137" s="1">
        <v>11</v>
      </c>
      <c r="B137" s="1" t="s">
        <v>12</v>
      </c>
      <c r="C137" s="11">
        <v>20</v>
      </c>
      <c r="D137" s="11">
        <v>19.850000000000001</v>
      </c>
      <c r="E137" s="2">
        <f t="shared" si="4"/>
        <v>0.14999999999999858</v>
      </c>
      <c r="F137" s="11">
        <v>0.48399999999999999</v>
      </c>
      <c r="G137" s="3">
        <f t="shared" si="5"/>
        <v>3.169999999999993E-2</v>
      </c>
    </row>
    <row r="138" spans="1:7" hidden="1">
      <c r="A138" s="1">
        <v>12</v>
      </c>
      <c r="B138" s="1" t="s">
        <v>12</v>
      </c>
      <c r="C138" s="11">
        <v>25</v>
      </c>
      <c r="D138" s="11">
        <v>24.85</v>
      </c>
      <c r="E138" s="2">
        <f t="shared" si="4"/>
        <v>0.14999999999999858</v>
      </c>
      <c r="F138" s="11">
        <v>0.57199999999999995</v>
      </c>
      <c r="G138" s="3">
        <f t="shared" si="5"/>
        <v>2.887999999999994E-2</v>
      </c>
    </row>
    <row r="139" spans="1:7" hidden="1">
      <c r="A139" s="1">
        <v>13</v>
      </c>
      <c r="B139" s="1" t="s">
        <v>12</v>
      </c>
      <c r="C139" s="11">
        <v>40</v>
      </c>
      <c r="D139" s="11">
        <v>39.700000000000003</v>
      </c>
      <c r="E139" s="2">
        <f t="shared" si="4"/>
        <v>0.29999999999999716</v>
      </c>
      <c r="F139" s="11">
        <v>0.755</v>
      </c>
      <c r="G139" s="3">
        <f t="shared" si="5"/>
        <v>2.6374999999999926E-2</v>
      </c>
    </row>
    <row r="140" spans="1:7" hidden="1">
      <c r="A140" s="1">
        <v>14</v>
      </c>
      <c r="B140" s="1" t="s">
        <v>12</v>
      </c>
      <c r="C140" s="11">
        <v>40</v>
      </c>
      <c r="D140" s="11">
        <v>39.6</v>
      </c>
      <c r="E140" s="2">
        <f t="shared" si="4"/>
        <v>0.39999999999999858</v>
      </c>
      <c r="F140" s="11">
        <v>0.64900000000000002</v>
      </c>
      <c r="G140" s="3">
        <f t="shared" si="5"/>
        <v>2.6224999999999964E-2</v>
      </c>
    </row>
    <row r="141" spans="1:7" hidden="1">
      <c r="A141" s="1">
        <v>15</v>
      </c>
      <c r="B141" s="1" t="s">
        <v>12</v>
      </c>
      <c r="C141" s="11">
        <v>20</v>
      </c>
      <c r="D141" s="11">
        <v>19.8</v>
      </c>
      <c r="E141" s="2">
        <f t="shared" si="4"/>
        <v>0.19999999999999929</v>
      </c>
      <c r="F141" s="11">
        <v>0.50600000000000001</v>
      </c>
      <c r="G141" s="3">
        <f t="shared" si="5"/>
        <v>3.5299999999999963E-2</v>
      </c>
    </row>
    <row r="142" spans="1:7" hidden="1">
      <c r="A142" s="1">
        <v>16</v>
      </c>
      <c r="B142" s="1" t="s">
        <v>12</v>
      </c>
      <c r="C142" s="11">
        <v>25</v>
      </c>
      <c r="D142" s="11">
        <v>24.8</v>
      </c>
      <c r="E142" s="2">
        <f t="shared" si="4"/>
        <v>0.19999999999999929</v>
      </c>
      <c r="F142" s="11">
        <v>0.33300000000000002</v>
      </c>
      <c r="G142" s="3">
        <f t="shared" si="5"/>
        <v>2.1319999999999971E-2</v>
      </c>
    </row>
    <row r="143" spans="1:7" hidden="1">
      <c r="A143" s="1">
        <v>17</v>
      </c>
      <c r="B143" s="1" t="s">
        <v>12</v>
      </c>
      <c r="C143" s="11">
        <v>58</v>
      </c>
      <c r="D143" s="11">
        <v>57.7</v>
      </c>
      <c r="E143" s="2">
        <f t="shared" si="4"/>
        <v>0.29999999999999716</v>
      </c>
      <c r="F143" s="11">
        <v>0.48699999999999999</v>
      </c>
      <c r="G143" s="3">
        <f t="shared" si="5"/>
        <v>1.356896551724133E-2</v>
      </c>
    </row>
    <row r="144" spans="1:7" hidden="1">
      <c r="A144" s="1">
        <v>18</v>
      </c>
      <c r="B144" s="1" t="s">
        <v>12</v>
      </c>
      <c r="C144" s="11">
        <v>25</v>
      </c>
      <c r="D144" s="11">
        <v>25</v>
      </c>
      <c r="E144" s="2">
        <f t="shared" si="4"/>
        <v>0</v>
      </c>
      <c r="F144" s="11">
        <v>0.95199999999999996</v>
      </c>
      <c r="G144" s="3">
        <f t="shared" si="5"/>
        <v>3.8079999999999996E-2</v>
      </c>
    </row>
    <row r="145" spans="1:7" hidden="1">
      <c r="A145" s="1">
        <v>19</v>
      </c>
      <c r="B145" s="1" t="s">
        <v>12</v>
      </c>
      <c r="C145" s="11">
        <v>25</v>
      </c>
      <c r="D145" s="11">
        <v>24.65</v>
      </c>
      <c r="E145" s="2">
        <f t="shared" si="4"/>
        <v>0.35000000000000142</v>
      </c>
      <c r="F145" s="11">
        <v>0.57599999999999996</v>
      </c>
      <c r="G145" s="3">
        <f t="shared" si="5"/>
        <v>3.7040000000000052E-2</v>
      </c>
    </row>
    <row r="146" spans="1:7" hidden="1">
      <c r="A146" s="1">
        <v>20</v>
      </c>
      <c r="B146" s="1" t="s">
        <v>12</v>
      </c>
      <c r="C146" s="11">
        <v>75</v>
      </c>
      <c r="D146" s="11">
        <v>74.5</v>
      </c>
      <c r="E146" s="2">
        <f t="shared" si="4"/>
        <v>0.5</v>
      </c>
      <c r="F146" s="11">
        <v>0.751</v>
      </c>
      <c r="G146" s="3">
        <f t="shared" si="5"/>
        <v>1.6679999999999997E-2</v>
      </c>
    </row>
    <row r="147" spans="1:7" hidden="1">
      <c r="A147" s="1">
        <v>21</v>
      </c>
      <c r="B147" s="1" t="s">
        <v>12</v>
      </c>
      <c r="C147" s="11">
        <v>0</v>
      </c>
      <c r="D147" s="11">
        <v>0</v>
      </c>
      <c r="E147" s="2">
        <f t="shared" si="4"/>
        <v>0</v>
      </c>
      <c r="F147" s="11">
        <v>0.63600000000000001</v>
      </c>
      <c r="G147" s="3" t="e">
        <f t="shared" si="5"/>
        <v>#DIV/0!</v>
      </c>
    </row>
    <row r="148" spans="1:7" hidden="1">
      <c r="A148" s="1">
        <v>22</v>
      </c>
      <c r="B148" s="1" t="s">
        <v>12</v>
      </c>
      <c r="C148" s="11">
        <v>50</v>
      </c>
      <c r="D148" s="11">
        <v>49.2</v>
      </c>
      <c r="E148" s="2">
        <f t="shared" si="4"/>
        <v>0.79999999999999716</v>
      </c>
      <c r="F148" s="11">
        <v>0.51199999999999901</v>
      </c>
      <c r="G148" s="3">
        <f t="shared" si="5"/>
        <v>2.6239999999999927E-2</v>
      </c>
    </row>
    <row r="149" spans="1:7" hidden="1">
      <c r="A149" s="1">
        <v>23</v>
      </c>
      <c r="B149" s="1" t="s">
        <v>12</v>
      </c>
      <c r="C149" s="11">
        <v>25</v>
      </c>
      <c r="D149" s="11">
        <v>24.9</v>
      </c>
      <c r="E149" s="2">
        <f t="shared" si="4"/>
        <v>0.10000000000000142</v>
      </c>
      <c r="F149" s="11">
        <v>0.81299999999999994</v>
      </c>
      <c r="G149" s="3">
        <f t="shared" si="5"/>
        <v>3.6520000000000052E-2</v>
      </c>
    </row>
    <row r="150" spans="1:7" hidden="1">
      <c r="A150" s="1">
        <v>24</v>
      </c>
      <c r="B150" s="1" t="s">
        <v>12</v>
      </c>
      <c r="C150" s="11">
        <v>25</v>
      </c>
      <c r="D150" s="11">
        <v>24.75</v>
      </c>
      <c r="E150" s="2">
        <f t="shared" si="4"/>
        <v>0.25</v>
      </c>
      <c r="F150" s="11">
        <v>0.435</v>
      </c>
      <c r="G150" s="3">
        <f t="shared" si="5"/>
        <v>2.7400000000000001E-2</v>
      </c>
    </row>
    <row r="151" spans="1:7" hidden="1">
      <c r="A151" s="1">
        <v>25</v>
      </c>
      <c r="B151" s="1" t="s">
        <v>12</v>
      </c>
      <c r="C151" s="11">
        <v>25</v>
      </c>
      <c r="D151" s="11">
        <v>24.85</v>
      </c>
      <c r="E151" s="2">
        <f t="shared" si="4"/>
        <v>0.14999999999999858</v>
      </c>
      <c r="F151" s="11">
        <v>0.69699999999999995</v>
      </c>
      <c r="G151" s="3">
        <f t="shared" si="5"/>
        <v>3.3879999999999938E-2</v>
      </c>
    </row>
    <row r="152" spans="1:7" hidden="1">
      <c r="A152" s="1">
        <v>26</v>
      </c>
      <c r="B152" s="1" t="s">
        <v>12</v>
      </c>
      <c r="C152" s="11">
        <v>50</v>
      </c>
      <c r="D152" s="11">
        <v>49.7</v>
      </c>
      <c r="E152" s="2">
        <f t="shared" si="4"/>
        <v>0.29999999999999716</v>
      </c>
      <c r="F152" s="11">
        <v>0.41599999999999998</v>
      </c>
      <c r="G152" s="3">
        <f t="shared" si="5"/>
        <v>1.4319999999999942E-2</v>
      </c>
    </row>
    <row r="153" spans="1:7" hidden="1">
      <c r="A153" s="1">
        <v>27</v>
      </c>
      <c r="B153" s="1" t="s">
        <v>12</v>
      </c>
      <c r="C153" s="11">
        <v>50</v>
      </c>
      <c r="D153" s="11">
        <v>49.7</v>
      </c>
      <c r="E153" s="2">
        <f t="shared" si="4"/>
        <v>0.29999999999999716</v>
      </c>
      <c r="F153" s="11">
        <v>0.312</v>
      </c>
      <c r="G153" s="3">
        <f t="shared" si="5"/>
        <v>1.2239999999999944E-2</v>
      </c>
    </row>
    <row r="154" spans="1:7" hidden="1">
      <c r="A154" s="1">
        <v>28</v>
      </c>
      <c r="B154" s="1" t="s">
        <v>12</v>
      </c>
      <c r="C154" s="11">
        <v>0</v>
      </c>
      <c r="D154" s="11">
        <v>0</v>
      </c>
      <c r="E154" s="2">
        <f t="shared" si="4"/>
        <v>0</v>
      </c>
      <c r="F154" s="11">
        <v>0.54900000000000004</v>
      </c>
      <c r="G154" s="3" t="e">
        <f t="shared" si="5"/>
        <v>#DIV/0!</v>
      </c>
    </row>
    <row r="155" spans="1:7" hidden="1">
      <c r="A155" s="1">
        <v>29</v>
      </c>
      <c r="B155" s="1" t="s">
        <v>12</v>
      </c>
      <c r="C155" s="11">
        <v>25</v>
      </c>
      <c r="D155" s="11">
        <v>24.65</v>
      </c>
      <c r="E155" s="2">
        <f t="shared" si="4"/>
        <v>0.35000000000000142</v>
      </c>
      <c r="F155" s="11">
        <v>0.52100000000000002</v>
      </c>
      <c r="G155" s="3">
        <f t="shared" si="5"/>
        <v>3.4840000000000058E-2</v>
      </c>
    </row>
    <row r="156" spans="1:7" hidden="1">
      <c r="A156" s="1">
        <v>30</v>
      </c>
      <c r="B156" s="1" t="s">
        <v>12</v>
      </c>
      <c r="C156" s="11">
        <v>25</v>
      </c>
      <c r="D156" s="11">
        <v>24.7</v>
      </c>
      <c r="E156" s="2">
        <f t="shared" si="4"/>
        <v>0.30000000000000071</v>
      </c>
      <c r="F156" s="11">
        <v>0.48199999999999998</v>
      </c>
      <c r="G156" s="3">
        <f t="shared" si="5"/>
        <v>3.128000000000003E-2</v>
      </c>
    </row>
    <row r="157" spans="1:7" hidden="1">
      <c r="A157" s="1">
        <v>31</v>
      </c>
      <c r="B157" s="1" t="s">
        <v>12</v>
      </c>
      <c r="C157" s="11">
        <v>25</v>
      </c>
      <c r="D157" s="11">
        <v>24.85</v>
      </c>
      <c r="E157" s="2">
        <f t="shared" si="4"/>
        <v>0.14999999999999858</v>
      </c>
      <c r="F157" s="11">
        <v>0.41799999999999998</v>
      </c>
      <c r="G157" s="3">
        <f t="shared" si="5"/>
        <v>2.2719999999999942E-2</v>
      </c>
    </row>
    <row r="158" spans="1:7" hidden="1">
      <c r="A158" s="1">
        <v>1</v>
      </c>
      <c r="B158" s="1" t="s">
        <v>13</v>
      </c>
      <c r="C158" s="11">
        <v>20</v>
      </c>
      <c r="D158" s="11">
        <v>19.78</v>
      </c>
      <c r="E158" s="2">
        <f t="shared" si="4"/>
        <v>0.21999999999999886</v>
      </c>
      <c r="F158" s="11">
        <v>0.28799999999999998</v>
      </c>
      <c r="G158" s="3">
        <f t="shared" si="5"/>
        <v>2.5399999999999943E-2</v>
      </c>
    </row>
    <row r="159" spans="1:7" hidden="1">
      <c r="A159" s="1">
        <v>2</v>
      </c>
      <c r="B159" s="1" t="s">
        <v>13</v>
      </c>
      <c r="C159" s="11">
        <v>20</v>
      </c>
      <c r="D159" s="11">
        <v>19.86</v>
      </c>
      <c r="E159" s="2">
        <f t="shared" si="4"/>
        <v>0.14000000000000057</v>
      </c>
      <c r="F159" s="11">
        <v>0.186</v>
      </c>
      <c r="G159" s="3">
        <f t="shared" si="5"/>
        <v>1.630000000000003E-2</v>
      </c>
    </row>
    <row r="160" spans="1:7" hidden="1">
      <c r="A160" s="1">
        <v>3</v>
      </c>
      <c r="B160" s="1" t="s">
        <v>13</v>
      </c>
      <c r="C160" s="11">
        <v>20</v>
      </c>
      <c r="D160" s="11">
        <v>19.86</v>
      </c>
      <c r="E160" s="2">
        <f t="shared" si="4"/>
        <v>0.14000000000000057</v>
      </c>
      <c r="F160" s="11">
        <v>0.22800000000000001</v>
      </c>
      <c r="G160" s="3">
        <f t="shared" si="5"/>
        <v>1.8400000000000027E-2</v>
      </c>
    </row>
    <row r="161" spans="1:7" hidden="1">
      <c r="A161" s="1">
        <v>4</v>
      </c>
      <c r="B161" s="1" t="s">
        <v>13</v>
      </c>
      <c r="C161" s="11">
        <v>20</v>
      </c>
      <c r="D161" s="11">
        <v>19.72</v>
      </c>
      <c r="E161" s="2">
        <f t="shared" si="4"/>
        <v>0.28000000000000114</v>
      </c>
      <c r="F161" s="11">
        <v>0.184</v>
      </c>
      <c r="G161" s="3">
        <f t="shared" si="5"/>
        <v>2.3200000000000057E-2</v>
      </c>
    </row>
    <row r="162" spans="1:7" hidden="1">
      <c r="A162" s="1">
        <v>5</v>
      </c>
      <c r="B162" s="1" t="s">
        <v>13</v>
      </c>
      <c r="C162" s="11">
        <v>0</v>
      </c>
      <c r="D162" s="11">
        <v>0</v>
      </c>
      <c r="E162" s="2">
        <f t="shared" si="4"/>
        <v>0</v>
      </c>
      <c r="F162" s="11">
        <v>0.19400000000000001</v>
      </c>
      <c r="G162" s="3" t="e">
        <f t="shared" si="5"/>
        <v>#DIV/0!</v>
      </c>
    </row>
    <row r="163" spans="1:7" hidden="1">
      <c r="A163" s="1">
        <v>6</v>
      </c>
      <c r="B163" s="1" t="s">
        <v>13</v>
      </c>
      <c r="C163" s="11">
        <v>20</v>
      </c>
      <c r="D163" s="11">
        <v>19.86</v>
      </c>
      <c r="E163" s="2">
        <f t="shared" si="4"/>
        <v>0.14000000000000057</v>
      </c>
      <c r="F163" s="11">
        <v>0.23100000000000001</v>
      </c>
      <c r="G163" s="3">
        <f t="shared" si="5"/>
        <v>1.8550000000000028E-2</v>
      </c>
    </row>
    <row r="164" spans="1:7" hidden="1">
      <c r="A164" s="1">
        <v>7</v>
      </c>
      <c r="B164" s="1" t="s">
        <v>13</v>
      </c>
      <c r="C164" s="11">
        <v>20</v>
      </c>
      <c r="D164" s="11">
        <v>19.86</v>
      </c>
      <c r="E164" s="2">
        <f t="shared" si="4"/>
        <v>0.14000000000000057</v>
      </c>
      <c r="F164" s="11">
        <v>0.19800000000000001</v>
      </c>
      <c r="G164" s="3">
        <f t="shared" si="5"/>
        <v>1.690000000000003E-2</v>
      </c>
    </row>
    <row r="165" spans="1:7" hidden="1">
      <c r="A165" s="1">
        <v>10</v>
      </c>
      <c r="B165" s="1" t="s">
        <v>13</v>
      </c>
      <c r="C165" s="11">
        <v>0</v>
      </c>
      <c r="D165" s="11">
        <v>0</v>
      </c>
      <c r="E165" s="2">
        <f t="shared" si="4"/>
        <v>0</v>
      </c>
      <c r="F165" s="11">
        <v>0.128</v>
      </c>
      <c r="G165" s="3" t="e">
        <f t="shared" si="5"/>
        <v>#DIV/0!</v>
      </c>
    </row>
    <row r="166" spans="1:7" hidden="1">
      <c r="A166" s="1">
        <v>8</v>
      </c>
      <c r="B166" s="1" t="s">
        <v>13</v>
      </c>
      <c r="C166" s="11">
        <v>0</v>
      </c>
      <c r="D166" s="11">
        <v>0</v>
      </c>
      <c r="E166" s="2">
        <f t="shared" si="4"/>
        <v>0</v>
      </c>
      <c r="F166" s="11">
        <v>0.156</v>
      </c>
      <c r="G166" s="3" t="e">
        <f t="shared" si="5"/>
        <v>#DIV/0!</v>
      </c>
    </row>
    <row r="167" spans="1:7" hidden="1">
      <c r="A167" s="1">
        <v>9</v>
      </c>
      <c r="B167" s="1" t="s">
        <v>13</v>
      </c>
      <c r="C167" s="11">
        <v>40</v>
      </c>
      <c r="D167" s="11">
        <v>39.4</v>
      </c>
      <c r="E167" s="2">
        <f t="shared" si="4"/>
        <v>0.60000000000000142</v>
      </c>
      <c r="F167" s="11">
        <v>0.17399999999999999</v>
      </c>
      <c r="G167" s="3">
        <f t="shared" si="5"/>
        <v>1.9350000000000034E-2</v>
      </c>
    </row>
    <row r="168" spans="1:7" hidden="1">
      <c r="A168" s="1">
        <v>11</v>
      </c>
      <c r="B168" s="1" t="s">
        <v>13</v>
      </c>
      <c r="C168" s="11">
        <v>0</v>
      </c>
      <c r="D168" s="11">
        <v>0</v>
      </c>
      <c r="E168" s="2">
        <f t="shared" si="4"/>
        <v>0</v>
      </c>
      <c r="F168" s="11">
        <v>0.20300000000000001</v>
      </c>
      <c r="G168" s="3" t="e">
        <f t="shared" si="5"/>
        <v>#DIV/0!</v>
      </c>
    </row>
    <row r="169" spans="1:7" hidden="1">
      <c r="A169" s="1">
        <v>12</v>
      </c>
      <c r="B169" s="1" t="s">
        <v>13</v>
      </c>
      <c r="C169" s="11">
        <v>20</v>
      </c>
      <c r="D169" s="11">
        <v>19.8</v>
      </c>
      <c r="E169" s="2">
        <f t="shared" si="4"/>
        <v>0.19999999999999929</v>
      </c>
      <c r="F169" s="11">
        <v>0.14199999999999999</v>
      </c>
      <c r="G169" s="3">
        <f t="shared" si="5"/>
        <v>1.7099999999999966E-2</v>
      </c>
    </row>
    <row r="170" spans="1:7" hidden="1">
      <c r="A170" s="1">
        <v>13</v>
      </c>
      <c r="B170" s="1" t="s">
        <v>13</v>
      </c>
      <c r="C170" s="11">
        <v>0</v>
      </c>
      <c r="D170" s="11">
        <v>0</v>
      </c>
      <c r="E170" s="2">
        <f t="shared" si="4"/>
        <v>0</v>
      </c>
      <c r="F170" s="11">
        <v>0.21199999999999999</v>
      </c>
      <c r="G170" s="3" t="e">
        <f t="shared" si="5"/>
        <v>#DIV/0!</v>
      </c>
    </row>
    <row r="171" spans="1:7" hidden="1">
      <c r="A171" s="1">
        <v>14</v>
      </c>
      <c r="B171" s="1" t="s">
        <v>13</v>
      </c>
      <c r="C171" s="11">
        <v>20</v>
      </c>
      <c r="D171" s="11">
        <v>19.739999999999998</v>
      </c>
      <c r="E171" s="2">
        <f t="shared" si="4"/>
        <v>0.26000000000000156</v>
      </c>
      <c r="F171" s="11">
        <v>0.14599999999999999</v>
      </c>
      <c r="G171" s="3">
        <f t="shared" si="5"/>
        <v>2.0300000000000078E-2</v>
      </c>
    </row>
    <row r="172" spans="1:7" hidden="1">
      <c r="A172" s="1">
        <v>15</v>
      </c>
      <c r="B172" s="1" t="s">
        <v>13</v>
      </c>
      <c r="C172" s="11">
        <v>0</v>
      </c>
      <c r="D172" s="11">
        <v>0</v>
      </c>
      <c r="E172" s="2">
        <f t="shared" si="4"/>
        <v>0</v>
      </c>
      <c r="F172" s="11">
        <v>0.13600000000000001</v>
      </c>
      <c r="G172" s="3" t="e">
        <f t="shared" si="5"/>
        <v>#DIV/0!</v>
      </c>
    </row>
    <row r="173" spans="1:7" hidden="1">
      <c r="A173" s="1">
        <v>16</v>
      </c>
      <c r="B173" s="1" t="s">
        <v>13</v>
      </c>
      <c r="C173" s="11">
        <v>0</v>
      </c>
      <c r="D173" s="11">
        <v>0</v>
      </c>
      <c r="E173" s="2">
        <f t="shared" si="4"/>
        <v>0</v>
      </c>
      <c r="F173" s="11">
        <v>0.20100000000000001</v>
      </c>
      <c r="G173" s="3" t="e">
        <f t="shared" si="5"/>
        <v>#DIV/0!</v>
      </c>
    </row>
    <row r="174" spans="1:7" hidden="1">
      <c r="A174" s="1">
        <v>17</v>
      </c>
      <c r="B174" s="1" t="s">
        <v>13</v>
      </c>
      <c r="C174" s="11">
        <v>20</v>
      </c>
      <c r="D174" s="11">
        <v>19.8</v>
      </c>
      <c r="E174" s="2">
        <f t="shared" si="4"/>
        <v>0.19999999999999929</v>
      </c>
      <c r="F174" s="11">
        <v>0.16600000000000001</v>
      </c>
      <c r="G174" s="3">
        <f t="shared" si="5"/>
        <v>1.8299999999999966E-2</v>
      </c>
    </row>
    <row r="175" spans="1:7" hidden="1">
      <c r="A175" s="1">
        <v>18</v>
      </c>
      <c r="B175" s="1" t="s">
        <v>13</v>
      </c>
      <c r="C175" s="11">
        <v>0</v>
      </c>
      <c r="D175" s="11">
        <v>0</v>
      </c>
      <c r="E175" s="2">
        <f t="shared" si="4"/>
        <v>0</v>
      </c>
      <c r="F175" s="11">
        <v>0.188</v>
      </c>
      <c r="G175" s="3" t="e">
        <f t="shared" si="5"/>
        <v>#DIV/0!</v>
      </c>
    </row>
    <row r="176" spans="1:7" hidden="1">
      <c r="A176" s="1">
        <v>19</v>
      </c>
      <c r="B176" s="1" t="s">
        <v>13</v>
      </c>
      <c r="C176" s="11">
        <v>0</v>
      </c>
      <c r="D176" s="11">
        <v>0</v>
      </c>
      <c r="E176" s="2">
        <f t="shared" si="4"/>
        <v>0</v>
      </c>
      <c r="F176" s="11">
        <v>0.16600000000000001</v>
      </c>
      <c r="G176" s="3" t="e">
        <f t="shared" si="5"/>
        <v>#DIV/0!</v>
      </c>
    </row>
    <row r="177" spans="1:7" hidden="1">
      <c r="A177" s="1">
        <v>20</v>
      </c>
      <c r="B177" s="1" t="s">
        <v>13</v>
      </c>
      <c r="C177" s="11">
        <v>20</v>
      </c>
      <c r="D177" s="11">
        <v>19.82</v>
      </c>
      <c r="E177" s="2">
        <f t="shared" si="4"/>
        <v>0.17999999999999972</v>
      </c>
      <c r="F177" s="11">
        <v>0.254</v>
      </c>
      <c r="G177" s="3">
        <f t="shared" si="5"/>
        <v>2.1699999999999987E-2</v>
      </c>
    </row>
    <row r="178" spans="1:7" hidden="1">
      <c r="A178" s="1">
        <v>21</v>
      </c>
      <c r="B178" s="1" t="s">
        <v>13</v>
      </c>
      <c r="C178" s="11">
        <v>40</v>
      </c>
      <c r="D178" s="11">
        <v>39.61</v>
      </c>
      <c r="E178" s="2">
        <f t="shared" si="4"/>
        <v>0.39000000000000057</v>
      </c>
      <c r="F178" s="11">
        <v>0.379</v>
      </c>
      <c r="G178" s="3">
        <f t="shared" si="5"/>
        <v>1.9225000000000013E-2</v>
      </c>
    </row>
    <row r="179" spans="1:7" hidden="1">
      <c r="A179" s="1">
        <v>22</v>
      </c>
      <c r="B179" s="1" t="s">
        <v>13</v>
      </c>
      <c r="C179" s="11">
        <v>20</v>
      </c>
      <c r="D179" s="11">
        <v>19.739999999999998</v>
      </c>
      <c r="E179" s="2">
        <f t="shared" si="4"/>
        <v>0.26000000000000156</v>
      </c>
      <c r="F179" s="11">
        <v>0.106999999999996</v>
      </c>
      <c r="G179" s="3">
        <f t="shared" si="5"/>
        <v>1.8349999999999877E-2</v>
      </c>
    </row>
    <row r="180" spans="1:7" hidden="1">
      <c r="A180" s="1">
        <v>23</v>
      </c>
      <c r="B180" s="1" t="s">
        <v>13</v>
      </c>
      <c r="C180" s="11">
        <v>20</v>
      </c>
      <c r="D180" s="11">
        <v>19.86</v>
      </c>
      <c r="E180" s="2">
        <f t="shared" si="4"/>
        <v>0.14000000000000057</v>
      </c>
      <c r="F180" s="11">
        <v>0.108</v>
      </c>
      <c r="G180" s="3">
        <f t="shared" si="5"/>
        <v>1.2400000000000027E-2</v>
      </c>
    </row>
    <row r="181" spans="1:7" hidden="1">
      <c r="A181" s="1">
        <v>24</v>
      </c>
      <c r="B181" s="1" t="s">
        <v>13</v>
      </c>
      <c r="C181" s="11">
        <v>20</v>
      </c>
      <c r="D181" s="11">
        <v>19.72</v>
      </c>
      <c r="E181" s="2">
        <f t="shared" si="4"/>
        <v>0.28000000000000114</v>
      </c>
      <c r="F181" s="11">
        <v>0.222</v>
      </c>
      <c r="G181" s="3">
        <f t="shared" si="5"/>
        <v>2.5100000000000056E-2</v>
      </c>
    </row>
    <row r="182" spans="1:7" hidden="1">
      <c r="A182" s="1">
        <v>25</v>
      </c>
      <c r="B182" s="1" t="s">
        <v>13</v>
      </c>
      <c r="C182" s="11">
        <v>0</v>
      </c>
      <c r="D182" s="11">
        <v>0</v>
      </c>
      <c r="E182" s="2">
        <f t="shared" si="4"/>
        <v>0</v>
      </c>
      <c r="F182" s="11">
        <v>0.17599999999999999</v>
      </c>
      <c r="G182" s="3" t="e">
        <f t="shared" si="5"/>
        <v>#DIV/0!</v>
      </c>
    </row>
    <row r="183" spans="1:7" hidden="1">
      <c r="A183" s="1">
        <v>26</v>
      </c>
      <c r="B183" s="1" t="s">
        <v>13</v>
      </c>
      <c r="C183" s="11">
        <v>50</v>
      </c>
      <c r="D183" s="11">
        <v>49.8</v>
      </c>
      <c r="E183" s="2">
        <f t="shared" si="4"/>
        <v>0.20000000000000284</v>
      </c>
      <c r="F183" s="11">
        <v>0.20300000000000001</v>
      </c>
      <c r="G183" s="3">
        <f t="shared" si="5"/>
        <v>8.0600000000000567E-3</v>
      </c>
    </row>
    <row r="184" spans="1:7" hidden="1">
      <c r="A184" s="1">
        <v>27</v>
      </c>
      <c r="B184" s="1" t="s">
        <v>13</v>
      </c>
      <c r="C184" s="11">
        <v>20</v>
      </c>
      <c r="D184" s="11">
        <v>19.86</v>
      </c>
      <c r="E184" s="2">
        <f t="shared" si="4"/>
        <v>0.14000000000000057</v>
      </c>
      <c r="F184" s="11">
        <v>0.21099999999999999</v>
      </c>
      <c r="G184" s="3">
        <f t="shared" si="5"/>
        <v>1.7550000000000027E-2</v>
      </c>
    </row>
    <row r="185" spans="1:7" hidden="1">
      <c r="A185" s="1">
        <v>28</v>
      </c>
      <c r="B185" s="1" t="s">
        <v>13</v>
      </c>
      <c r="C185" s="11">
        <v>0</v>
      </c>
      <c r="D185" s="11">
        <v>0</v>
      </c>
      <c r="E185" s="2">
        <f t="shared" si="4"/>
        <v>0</v>
      </c>
      <c r="F185" s="11">
        <v>0.20200000000000001</v>
      </c>
      <c r="G185" s="3" t="e">
        <f t="shared" si="5"/>
        <v>#DIV/0!</v>
      </c>
    </row>
    <row r="186" spans="1:7" hidden="1">
      <c r="A186" s="1">
        <v>29</v>
      </c>
      <c r="B186" s="1" t="s">
        <v>13</v>
      </c>
      <c r="C186" s="11">
        <v>25</v>
      </c>
      <c r="D186" s="11">
        <v>24.94</v>
      </c>
      <c r="E186" s="2">
        <f t="shared" si="4"/>
        <v>5.9999999999998721E-2</v>
      </c>
      <c r="F186" s="11">
        <v>0.29399999999999998</v>
      </c>
      <c r="G186" s="3">
        <f t="shared" si="5"/>
        <v>1.4159999999999949E-2</v>
      </c>
    </row>
    <row r="187" spans="1:7" hidden="1">
      <c r="A187" s="1">
        <v>30</v>
      </c>
      <c r="B187" s="1" t="s">
        <v>13</v>
      </c>
      <c r="C187" s="11">
        <v>0</v>
      </c>
      <c r="D187" s="11">
        <v>0</v>
      </c>
      <c r="E187" s="2">
        <f t="shared" si="4"/>
        <v>0</v>
      </c>
      <c r="F187" s="11">
        <v>0.24</v>
      </c>
      <c r="G187" s="3" t="e">
        <f t="shared" si="5"/>
        <v>#DIV/0!</v>
      </c>
    </row>
    <row r="188" spans="1:7" hidden="1">
      <c r="A188" s="1">
        <v>31</v>
      </c>
      <c r="B188" s="1" t="s">
        <v>13</v>
      </c>
      <c r="C188" s="11">
        <v>0</v>
      </c>
      <c r="D188" s="11">
        <v>0</v>
      </c>
      <c r="E188" s="2">
        <f t="shared" si="4"/>
        <v>0</v>
      </c>
      <c r="F188" s="11">
        <v>0.19800000000000217</v>
      </c>
      <c r="G188" s="3" t="e">
        <f t="shared" si="5"/>
        <v>#DIV/0!</v>
      </c>
    </row>
    <row r="189" spans="1:7" hidden="1">
      <c r="A189" s="1">
        <v>1</v>
      </c>
      <c r="B189" s="1" t="s">
        <v>14</v>
      </c>
      <c r="C189" s="11">
        <v>40</v>
      </c>
      <c r="D189" s="11">
        <v>39.880000000000003</v>
      </c>
      <c r="E189" s="2">
        <f t="shared" si="4"/>
        <v>0.11999999999999744</v>
      </c>
      <c r="F189" s="11">
        <v>0.35799999999999998</v>
      </c>
      <c r="G189" s="3">
        <f t="shared" si="5"/>
        <v>1.1949999999999936E-2</v>
      </c>
    </row>
    <row r="190" spans="1:7" hidden="1">
      <c r="A190" s="1">
        <v>2</v>
      </c>
      <c r="B190" s="1" t="s">
        <v>14</v>
      </c>
      <c r="C190" s="11">
        <v>40</v>
      </c>
      <c r="D190" s="11">
        <v>39.979999999999997</v>
      </c>
      <c r="E190" s="2">
        <f t="shared" si="4"/>
        <v>2.0000000000003126E-2</v>
      </c>
      <c r="F190" s="11">
        <v>0.57299999999999995</v>
      </c>
      <c r="G190" s="3">
        <f t="shared" si="5"/>
        <v>1.4825000000000078E-2</v>
      </c>
    </row>
    <row r="191" spans="1:7" hidden="1">
      <c r="A191" s="1">
        <v>3</v>
      </c>
      <c r="B191" s="1" t="s">
        <v>14</v>
      </c>
      <c r="C191" s="11">
        <v>220</v>
      </c>
      <c r="D191" s="11">
        <v>219.02</v>
      </c>
      <c r="E191" s="2">
        <f t="shared" si="4"/>
        <v>0.97999999999998977</v>
      </c>
      <c r="F191" s="11">
        <v>1.8640000000000001</v>
      </c>
      <c r="G191" s="3">
        <f t="shared" si="5"/>
        <v>1.292727272727268E-2</v>
      </c>
    </row>
    <row r="192" spans="1:7" hidden="1">
      <c r="A192" s="1">
        <v>4</v>
      </c>
      <c r="B192" s="1" t="s">
        <v>14</v>
      </c>
      <c r="C192" s="11">
        <v>140</v>
      </c>
      <c r="D192" s="11">
        <v>138.68</v>
      </c>
      <c r="E192" s="2">
        <f t="shared" si="4"/>
        <v>1.3199999999999932</v>
      </c>
      <c r="F192" s="11">
        <v>0.79300000000000004</v>
      </c>
      <c r="G192" s="3">
        <f t="shared" si="5"/>
        <v>1.5092857142857095E-2</v>
      </c>
    </row>
    <row r="193" spans="1:7" hidden="1">
      <c r="A193" s="1">
        <v>5</v>
      </c>
      <c r="B193" s="1" t="s">
        <v>14</v>
      </c>
      <c r="C193" s="11">
        <v>0</v>
      </c>
      <c r="D193" s="11">
        <v>0</v>
      </c>
      <c r="E193" s="2">
        <f t="shared" si="4"/>
        <v>0</v>
      </c>
      <c r="F193" s="11">
        <v>0.66700000000000004</v>
      </c>
      <c r="G193" s="3" t="e">
        <f t="shared" si="5"/>
        <v>#DIV/0!</v>
      </c>
    </row>
    <row r="194" spans="1:7" hidden="1">
      <c r="A194" s="1">
        <v>6</v>
      </c>
      <c r="B194" s="1" t="s">
        <v>14</v>
      </c>
      <c r="C194" s="11">
        <v>100</v>
      </c>
      <c r="D194" s="11">
        <v>99.82</v>
      </c>
      <c r="E194" s="2">
        <f t="shared" si="4"/>
        <v>0.18000000000000682</v>
      </c>
      <c r="F194" s="11">
        <v>0.71499999999999997</v>
      </c>
      <c r="G194" s="3">
        <f t="shared" si="5"/>
        <v>8.9500000000000673E-3</v>
      </c>
    </row>
    <row r="195" spans="1:7" hidden="1">
      <c r="A195" s="1">
        <v>7</v>
      </c>
      <c r="B195" s="1" t="s">
        <v>14</v>
      </c>
      <c r="C195" s="11">
        <v>20</v>
      </c>
      <c r="D195" s="11">
        <v>19.96</v>
      </c>
      <c r="E195" s="2">
        <f t="shared" si="4"/>
        <v>3.9999999999999147E-2</v>
      </c>
      <c r="F195" s="11">
        <v>0.29599999999999999</v>
      </c>
      <c r="G195" s="3">
        <f t="shared" si="5"/>
        <v>1.6799999999999957E-2</v>
      </c>
    </row>
    <row r="196" spans="1:7" hidden="1">
      <c r="A196" s="1">
        <v>10</v>
      </c>
      <c r="B196" s="1" t="s">
        <v>14</v>
      </c>
      <c r="C196" s="11">
        <v>0</v>
      </c>
      <c r="D196" s="11">
        <v>0</v>
      </c>
      <c r="E196" s="2">
        <f t="shared" ref="E196:E259" si="6">C196-D196</f>
        <v>0</v>
      </c>
      <c r="F196" s="11">
        <v>0.35199999999999998</v>
      </c>
      <c r="G196" s="3" t="e">
        <f t="shared" ref="G196:G259" si="7">(E196+F196)/C196</f>
        <v>#DIV/0!</v>
      </c>
    </row>
    <row r="197" spans="1:7" hidden="1">
      <c r="A197" s="1">
        <v>8</v>
      </c>
      <c r="B197" s="1" t="s">
        <v>14</v>
      </c>
      <c r="C197" s="11">
        <v>60</v>
      </c>
      <c r="D197" s="11">
        <v>59.36</v>
      </c>
      <c r="E197" s="2">
        <f t="shared" si="6"/>
        <v>0.64000000000000057</v>
      </c>
      <c r="F197" s="11">
        <v>0.81299999999999994</v>
      </c>
      <c r="G197" s="3">
        <f t="shared" si="7"/>
        <v>2.4216666666666675E-2</v>
      </c>
    </row>
    <row r="198" spans="1:7" hidden="1">
      <c r="A198" s="1">
        <v>9</v>
      </c>
      <c r="B198" s="1" t="s">
        <v>14</v>
      </c>
      <c r="C198" s="11">
        <v>45</v>
      </c>
      <c r="D198" s="11">
        <v>44.540000000000006</v>
      </c>
      <c r="E198" s="2">
        <f t="shared" si="6"/>
        <v>0.45999999999999375</v>
      </c>
      <c r="F198" s="11">
        <v>0.59399999999999997</v>
      </c>
      <c r="G198" s="3">
        <f t="shared" si="7"/>
        <v>2.3422222222222081E-2</v>
      </c>
    </row>
    <row r="199" spans="1:7" hidden="1">
      <c r="A199" s="1">
        <v>11</v>
      </c>
      <c r="B199" s="1" t="s">
        <v>14</v>
      </c>
      <c r="C199" s="11">
        <v>25</v>
      </c>
      <c r="D199" s="11">
        <v>24.9</v>
      </c>
      <c r="E199" s="2">
        <f t="shared" si="6"/>
        <v>0.10000000000000142</v>
      </c>
      <c r="F199" s="11">
        <v>0.98299999999999998</v>
      </c>
      <c r="G199" s="3">
        <f t="shared" si="7"/>
        <v>4.332000000000006E-2</v>
      </c>
    </row>
    <row r="200" spans="1:7" hidden="1">
      <c r="A200" s="1">
        <v>12</v>
      </c>
      <c r="B200" s="1" t="s">
        <v>14</v>
      </c>
      <c r="C200" s="11">
        <v>51.3</v>
      </c>
      <c r="D200" s="11">
        <v>50.2</v>
      </c>
      <c r="E200" s="2">
        <f t="shared" si="6"/>
        <v>1.0999999999999943</v>
      </c>
      <c r="F200" s="11">
        <v>0.31900000000000001</v>
      </c>
      <c r="G200" s="3">
        <f t="shared" si="7"/>
        <v>2.7660818713450181E-2</v>
      </c>
    </row>
    <row r="201" spans="1:7" hidden="1">
      <c r="A201" s="1">
        <v>13</v>
      </c>
      <c r="B201" s="1" t="s">
        <v>14</v>
      </c>
      <c r="C201" s="11">
        <v>25</v>
      </c>
      <c r="D201" s="11">
        <v>25.3</v>
      </c>
      <c r="E201" s="2">
        <f t="shared" si="6"/>
        <v>-0.30000000000000071</v>
      </c>
      <c r="F201" s="11">
        <v>0.245</v>
      </c>
      <c r="G201" s="3">
        <f t="shared" si="7"/>
        <v>-2.2000000000000288E-3</v>
      </c>
    </row>
    <row r="202" spans="1:7" hidden="1">
      <c r="A202" s="1">
        <v>14</v>
      </c>
      <c r="B202" s="1" t="s">
        <v>14</v>
      </c>
      <c r="C202" s="11">
        <v>25</v>
      </c>
      <c r="D202" s="11">
        <v>25.3</v>
      </c>
      <c r="E202" s="2">
        <f t="shared" si="6"/>
        <v>-0.30000000000000071</v>
      </c>
      <c r="F202" s="11">
        <v>0.41799999999999998</v>
      </c>
      <c r="G202" s="3">
        <f t="shared" si="7"/>
        <v>4.7199999999999707E-3</v>
      </c>
    </row>
    <row r="203" spans="1:7" hidden="1">
      <c r="A203" s="1">
        <v>15</v>
      </c>
      <c r="B203" s="1" t="s">
        <v>14</v>
      </c>
      <c r="C203" s="11">
        <v>25</v>
      </c>
      <c r="D203" s="11">
        <v>25.1</v>
      </c>
      <c r="E203" s="2">
        <f t="shared" si="6"/>
        <v>-0.10000000000000142</v>
      </c>
      <c r="F203" s="11">
        <v>0.41099999999999998</v>
      </c>
      <c r="G203" s="3">
        <f t="shared" si="7"/>
        <v>1.2439999999999942E-2</v>
      </c>
    </row>
    <row r="204" spans="1:7" hidden="1">
      <c r="A204" s="1">
        <v>16</v>
      </c>
      <c r="B204" s="1" t="s">
        <v>14</v>
      </c>
      <c r="C204" s="11">
        <v>50</v>
      </c>
      <c r="D204" s="11">
        <v>49.8</v>
      </c>
      <c r="E204" s="2">
        <f t="shared" si="6"/>
        <v>0.20000000000000284</v>
      </c>
      <c r="F204" s="11">
        <v>0.12</v>
      </c>
      <c r="G204" s="3">
        <f t="shared" si="7"/>
        <v>6.4000000000000567E-3</v>
      </c>
    </row>
    <row r="205" spans="1:7" hidden="1">
      <c r="A205" s="1">
        <v>17</v>
      </c>
      <c r="B205" s="1" t="s">
        <v>14</v>
      </c>
      <c r="C205" s="11">
        <v>50</v>
      </c>
      <c r="D205" s="11">
        <v>49.6</v>
      </c>
      <c r="E205" s="2">
        <f t="shared" si="6"/>
        <v>0.39999999999999858</v>
      </c>
      <c r="F205" s="11">
        <v>0.38600000000000001</v>
      </c>
      <c r="G205" s="3">
        <f t="shared" si="7"/>
        <v>1.571999999999997E-2</v>
      </c>
    </row>
    <row r="206" spans="1:7" hidden="1">
      <c r="A206" s="1">
        <v>18</v>
      </c>
      <c r="B206" s="1" t="s">
        <v>14</v>
      </c>
      <c r="C206" s="11">
        <v>25</v>
      </c>
      <c r="D206" s="11">
        <v>25.1</v>
      </c>
      <c r="E206" s="2">
        <f t="shared" si="6"/>
        <v>-0.10000000000000142</v>
      </c>
      <c r="F206" s="11">
        <v>0.33</v>
      </c>
      <c r="G206" s="3">
        <f t="shared" si="7"/>
        <v>9.1999999999999443E-3</v>
      </c>
    </row>
    <row r="207" spans="1:7" hidden="1">
      <c r="A207" s="1">
        <v>19</v>
      </c>
      <c r="B207" s="1" t="s">
        <v>14</v>
      </c>
      <c r="C207" s="11">
        <v>0</v>
      </c>
      <c r="D207" s="11">
        <v>0</v>
      </c>
      <c r="E207" s="2">
        <f t="shared" si="6"/>
        <v>0</v>
      </c>
      <c r="F207" s="11">
        <v>0.35</v>
      </c>
      <c r="G207" s="3" t="e">
        <f t="shared" si="7"/>
        <v>#DIV/0!</v>
      </c>
    </row>
    <row r="208" spans="1:7" hidden="1">
      <c r="A208" s="1">
        <v>20</v>
      </c>
      <c r="B208" s="1" t="s">
        <v>14</v>
      </c>
      <c r="C208" s="11">
        <v>25</v>
      </c>
      <c r="D208" s="11">
        <v>25.3</v>
      </c>
      <c r="E208" s="2">
        <f t="shared" si="6"/>
        <v>-0.30000000000000071</v>
      </c>
      <c r="F208" s="11">
        <v>0.91300000000000003</v>
      </c>
      <c r="G208" s="3">
        <f t="shared" si="7"/>
        <v>2.4519999999999972E-2</v>
      </c>
    </row>
    <row r="209" spans="1:7" hidden="1">
      <c r="A209" s="1">
        <v>21</v>
      </c>
      <c r="B209" s="1" t="s">
        <v>14</v>
      </c>
      <c r="C209" s="11">
        <v>50</v>
      </c>
      <c r="D209" s="11">
        <v>50.6</v>
      </c>
      <c r="E209" s="2">
        <f t="shared" si="6"/>
        <v>-0.60000000000000142</v>
      </c>
      <c r="F209" s="11">
        <v>0.19500000000000001</v>
      </c>
      <c r="G209" s="3">
        <f t="shared" si="7"/>
        <v>-8.1000000000000291E-3</v>
      </c>
    </row>
    <row r="210" spans="1:7" hidden="1">
      <c r="A210" s="1">
        <v>22</v>
      </c>
      <c r="B210" s="1" t="s">
        <v>14</v>
      </c>
      <c r="C210" s="11">
        <v>50</v>
      </c>
      <c r="D210" s="11">
        <v>49</v>
      </c>
      <c r="E210" s="2">
        <f t="shared" si="6"/>
        <v>1</v>
      </c>
      <c r="F210" s="11">
        <v>0.70600000000000995</v>
      </c>
      <c r="G210" s="3">
        <f t="shared" si="7"/>
        <v>3.4120000000000199E-2</v>
      </c>
    </row>
    <row r="211" spans="1:7" hidden="1">
      <c r="A211" s="1">
        <v>23</v>
      </c>
      <c r="B211" s="1" t="s">
        <v>14</v>
      </c>
      <c r="C211" s="11">
        <v>20</v>
      </c>
      <c r="D211" s="11">
        <v>20</v>
      </c>
      <c r="E211" s="2">
        <f t="shared" si="6"/>
        <v>0</v>
      </c>
      <c r="F211" s="11">
        <v>0.32400000000000001</v>
      </c>
      <c r="G211" s="3">
        <f t="shared" si="7"/>
        <v>1.6199999999999999E-2</v>
      </c>
    </row>
    <row r="212" spans="1:7" hidden="1">
      <c r="A212" s="1">
        <v>24</v>
      </c>
      <c r="B212" s="1" t="s">
        <v>14</v>
      </c>
      <c r="C212" s="11">
        <v>60</v>
      </c>
      <c r="D212" s="11">
        <v>59.04</v>
      </c>
      <c r="E212" s="2">
        <f t="shared" si="6"/>
        <v>0.96000000000000085</v>
      </c>
      <c r="F212" s="11">
        <v>0.75</v>
      </c>
      <c r="G212" s="3">
        <f t="shared" si="7"/>
        <v>2.8500000000000015E-2</v>
      </c>
    </row>
    <row r="213" spans="1:7" hidden="1">
      <c r="A213" s="1">
        <v>25</v>
      </c>
      <c r="B213" s="1" t="s">
        <v>14</v>
      </c>
      <c r="C213" s="11">
        <v>65</v>
      </c>
      <c r="D213" s="11">
        <v>64.94</v>
      </c>
      <c r="E213" s="2">
        <f t="shared" si="6"/>
        <v>6.0000000000002274E-2</v>
      </c>
      <c r="F213" s="11">
        <v>0.68600000000000005</v>
      </c>
      <c r="G213" s="3">
        <f t="shared" si="7"/>
        <v>1.1476923076923112E-2</v>
      </c>
    </row>
    <row r="214" spans="1:7" hidden="1">
      <c r="A214" s="1">
        <v>26</v>
      </c>
      <c r="B214" s="1" t="s">
        <v>14</v>
      </c>
      <c r="C214" s="11">
        <v>50</v>
      </c>
      <c r="D214" s="11">
        <v>49.8</v>
      </c>
      <c r="E214" s="2">
        <f t="shared" si="6"/>
        <v>0.20000000000000284</v>
      </c>
      <c r="F214" s="11">
        <v>0.58499999999999996</v>
      </c>
      <c r="G214" s="3">
        <f t="shared" si="7"/>
        <v>1.5700000000000058E-2</v>
      </c>
    </row>
    <row r="215" spans="1:7" hidden="1">
      <c r="A215" s="1">
        <v>27</v>
      </c>
      <c r="B215" s="1" t="s">
        <v>14</v>
      </c>
      <c r="C215" s="11">
        <v>330</v>
      </c>
      <c r="D215" s="11">
        <v>327.22000000000003</v>
      </c>
      <c r="E215" s="2">
        <f t="shared" si="6"/>
        <v>2.7799999999999727</v>
      </c>
      <c r="F215" s="11">
        <v>0.20300000000000001</v>
      </c>
      <c r="G215" s="3">
        <f t="shared" si="7"/>
        <v>9.0393939393938558E-3</v>
      </c>
    </row>
    <row r="216" spans="1:7" hidden="1">
      <c r="A216" s="1">
        <v>28</v>
      </c>
      <c r="B216" s="1" t="s">
        <v>14</v>
      </c>
      <c r="C216" s="11">
        <v>50</v>
      </c>
      <c r="D216" s="11">
        <v>49.8</v>
      </c>
      <c r="E216" s="2">
        <f t="shared" si="6"/>
        <v>0.20000000000000284</v>
      </c>
      <c r="F216" s="11">
        <v>0.21299999999999999</v>
      </c>
      <c r="G216" s="3">
        <f t="shared" si="7"/>
        <v>8.2600000000000555E-3</v>
      </c>
    </row>
    <row r="217" spans="1:7" hidden="1">
      <c r="A217" s="1">
        <v>29</v>
      </c>
      <c r="B217" s="1" t="s">
        <v>14</v>
      </c>
      <c r="C217" s="11">
        <v>25</v>
      </c>
      <c r="D217" s="11">
        <v>24.7</v>
      </c>
      <c r="E217" s="2">
        <f t="shared" si="6"/>
        <v>0.30000000000000071</v>
      </c>
      <c r="F217" s="11">
        <v>0.4</v>
      </c>
      <c r="G217" s="3">
        <f t="shared" si="7"/>
        <v>2.8000000000000028E-2</v>
      </c>
    </row>
    <row r="218" spans="1:7" hidden="1">
      <c r="A218" s="1">
        <v>30</v>
      </c>
      <c r="B218" s="1" t="s">
        <v>14</v>
      </c>
      <c r="C218" s="11">
        <v>50</v>
      </c>
      <c r="D218" s="11">
        <v>48.8</v>
      </c>
      <c r="E218" s="2">
        <f t="shared" si="6"/>
        <v>1.2000000000000028</v>
      </c>
      <c r="F218" s="11">
        <v>0.29099999999999682</v>
      </c>
      <c r="G218" s="3">
        <f t="shared" si="7"/>
        <v>2.9819999999999992E-2</v>
      </c>
    </row>
    <row r="219" spans="1:7" hidden="1">
      <c r="A219" s="1">
        <v>31</v>
      </c>
      <c r="B219" s="1" t="s">
        <v>14</v>
      </c>
      <c r="C219" s="11">
        <v>50</v>
      </c>
      <c r="D219" s="11">
        <v>49.6</v>
      </c>
      <c r="E219" s="2">
        <f t="shared" si="6"/>
        <v>0.39999999999999858</v>
      </c>
      <c r="F219" s="11">
        <v>0.65700000000000003</v>
      </c>
      <c r="G219" s="3">
        <f t="shared" si="7"/>
        <v>2.1139999999999971E-2</v>
      </c>
    </row>
    <row r="220" spans="1:7" hidden="1">
      <c r="A220" s="1">
        <v>1</v>
      </c>
      <c r="B220" s="1" t="s">
        <v>15</v>
      </c>
      <c r="C220" s="11">
        <v>0</v>
      </c>
      <c r="D220" s="11">
        <v>0</v>
      </c>
      <c r="E220" s="2">
        <f t="shared" si="6"/>
        <v>0</v>
      </c>
      <c r="F220" s="11">
        <v>0.10119000000000078</v>
      </c>
      <c r="G220" s="3" t="e">
        <f t="shared" si="7"/>
        <v>#DIV/0!</v>
      </c>
    </row>
    <row r="221" spans="1:7" hidden="1">
      <c r="A221" s="1">
        <v>2</v>
      </c>
      <c r="B221" s="1" t="s">
        <v>15</v>
      </c>
      <c r="C221" s="11">
        <v>40</v>
      </c>
      <c r="D221" s="11">
        <v>39.659999999999997</v>
      </c>
      <c r="E221" s="2">
        <f t="shared" si="6"/>
        <v>0.34000000000000341</v>
      </c>
      <c r="F221" s="11">
        <v>0.309</v>
      </c>
      <c r="G221" s="3">
        <f t="shared" si="7"/>
        <v>1.6225000000000083E-2</v>
      </c>
    </row>
    <row r="222" spans="1:7" hidden="1">
      <c r="A222" s="1">
        <v>3</v>
      </c>
      <c r="B222" s="1" t="s">
        <v>15</v>
      </c>
      <c r="C222" s="11">
        <v>0</v>
      </c>
      <c r="D222" s="11">
        <v>0</v>
      </c>
      <c r="E222" s="2">
        <f t="shared" si="6"/>
        <v>0</v>
      </c>
      <c r="F222" s="11">
        <v>0.11700000000000001</v>
      </c>
      <c r="G222" s="3" t="e">
        <f t="shared" si="7"/>
        <v>#DIV/0!</v>
      </c>
    </row>
    <row r="223" spans="1:7" hidden="1">
      <c r="A223" s="1">
        <v>4</v>
      </c>
      <c r="B223" s="1" t="s">
        <v>15</v>
      </c>
      <c r="C223" s="11">
        <v>0</v>
      </c>
      <c r="D223" s="11">
        <v>0</v>
      </c>
      <c r="E223" s="2">
        <f t="shared" si="6"/>
        <v>0</v>
      </c>
      <c r="F223" s="11">
        <v>8.8999999999999996E-2</v>
      </c>
      <c r="G223" s="3" t="e">
        <f t="shared" si="7"/>
        <v>#DIV/0!</v>
      </c>
    </row>
    <row r="224" spans="1:7" hidden="1">
      <c r="A224" s="1">
        <v>5</v>
      </c>
      <c r="B224" s="1" t="s">
        <v>15</v>
      </c>
      <c r="C224" s="11">
        <v>0</v>
      </c>
      <c r="D224" s="11">
        <v>0</v>
      </c>
      <c r="E224" s="2">
        <f t="shared" si="6"/>
        <v>0</v>
      </c>
      <c r="F224" s="11">
        <v>6.2E-2</v>
      </c>
      <c r="G224" s="3" t="e">
        <f t="shared" si="7"/>
        <v>#DIV/0!</v>
      </c>
    </row>
    <row r="225" spans="1:14" hidden="1">
      <c r="A225" s="1">
        <v>6</v>
      </c>
      <c r="B225" s="1" t="s">
        <v>15</v>
      </c>
      <c r="C225" s="11">
        <v>20</v>
      </c>
      <c r="D225" s="11">
        <v>19.82</v>
      </c>
      <c r="E225" s="2">
        <f t="shared" si="6"/>
        <v>0.17999999999999972</v>
      </c>
      <c r="F225" s="11">
        <v>6.9000000000000006E-2</v>
      </c>
      <c r="G225" s="3">
        <f t="shared" si="7"/>
        <v>1.2449999999999985E-2</v>
      </c>
    </row>
    <row r="226" spans="1:14" hidden="1">
      <c r="A226" s="1">
        <v>7</v>
      </c>
      <c r="B226" s="1" t="s">
        <v>15</v>
      </c>
      <c r="C226" s="11">
        <v>0</v>
      </c>
      <c r="D226" s="11">
        <v>0</v>
      </c>
      <c r="E226" s="2">
        <f t="shared" si="6"/>
        <v>0</v>
      </c>
      <c r="F226" s="11">
        <v>0.33800000000000002</v>
      </c>
      <c r="G226" s="3" t="e">
        <f t="shared" si="7"/>
        <v>#DIV/0!</v>
      </c>
    </row>
    <row r="227" spans="1:14" hidden="1">
      <c r="A227" s="1">
        <v>10</v>
      </c>
      <c r="B227" s="1" t="s">
        <v>15</v>
      </c>
      <c r="C227" s="11">
        <v>0</v>
      </c>
      <c r="D227" s="11">
        <v>0</v>
      </c>
      <c r="E227" s="2">
        <f t="shared" si="6"/>
        <v>0</v>
      </c>
      <c r="F227" s="11">
        <v>0.16700000000000001</v>
      </c>
      <c r="G227" s="3" t="e">
        <f t="shared" si="7"/>
        <v>#DIV/0!</v>
      </c>
    </row>
    <row r="228" spans="1:14" hidden="1">
      <c r="A228" s="1">
        <v>8</v>
      </c>
      <c r="B228" s="1" t="s">
        <v>15</v>
      </c>
      <c r="C228" s="11">
        <v>40</v>
      </c>
      <c r="D228" s="11">
        <v>39.729999999999997</v>
      </c>
      <c r="E228" s="2">
        <f t="shared" si="6"/>
        <v>0.27000000000000313</v>
      </c>
      <c r="F228" s="11">
        <v>0.18</v>
      </c>
      <c r="G228" s="3">
        <f t="shared" si="7"/>
        <v>1.1250000000000078E-2</v>
      </c>
      <c r="N228">
        <f>76*2</f>
        <v>152</v>
      </c>
    </row>
    <row r="229" spans="1:14" hidden="1">
      <c r="A229" s="1">
        <v>9</v>
      </c>
      <c r="B229" s="1" t="s">
        <v>15</v>
      </c>
      <c r="C229" s="11">
        <v>0</v>
      </c>
      <c r="D229" s="11">
        <v>0</v>
      </c>
      <c r="E229" s="2">
        <f t="shared" si="6"/>
        <v>0</v>
      </c>
      <c r="F229" s="11">
        <v>8.6999999999999994E-2</v>
      </c>
      <c r="G229" s="3" t="e">
        <f t="shared" si="7"/>
        <v>#DIV/0!</v>
      </c>
    </row>
    <row r="230" spans="1:14" hidden="1">
      <c r="A230" s="1">
        <v>11</v>
      </c>
      <c r="B230" s="1" t="s">
        <v>15</v>
      </c>
      <c r="C230" s="11">
        <v>0</v>
      </c>
      <c r="D230" s="11">
        <v>0</v>
      </c>
      <c r="E230" s="2">
        <f t="shared" si="6"/>
        <v>0</v>
      </c>
      <c r="F230" s="11">
        <v>5.8000000000000003E-2</v>
      </c>
      <c r="G230" s="3" t="e">
        <f t="shared" si="7"/>
        <v>#DIV/0!</v>
      </c>
    </row>
    <row r="231" spans="1:14" hidden="1">
      <c r="A231" s="1">
        <v>12</v>
      </c>
      <c r="B231" s="1" t="s">
        <v>15</v>
      </c>
      <c r="C231" s="11">
        <v>20</v>
      </c>
      <c r="D231" s="11">
        <v>19.91</v>
      </c>
      <c r="E231" s="2">
        <f t="shared" si="6"/>
        <v>8.9999999999999858E-2</v>
      </c>
      <c r="F231" s="11">
        <v>0.17</v>
      </c>
      <c r="G231" s="3">
        <f t="shared" si="7"/>
        <v>1.2999999999999994E-2</v>
      </c>
    </row>
    <row r="232" spans="1:14" hidden="1">
      <c r="A232" s="1">
        <v>13</v>
      </c>
      <c r="B232" s="1" t="s">
        <v>15</v>
      </c>
      <c r="C232" s="11">
        <v>0</v>
      </c>
      <c r="D232" s="11">
        <v>0</v>
      </c>
      <c r="E232" s="2">
        <f t="shared" si="6"/>
        <v>0</v>
      </c>
      <c r="F232" s="11">
        <v>0.14299999999999999</v>
      </c>
      <c r="G232" s="3" t="e">
        <f t="shared" si="7"/>
        <v>#DIV/0!</v>
      </c>
    </row>
    <row r="233" spans="1:14" hidden="1">
      <c r="A233" s="1">
        <v>14</v>
      </c>
      <c r="B233" s="1" t="s">
        <v>15</v>
      </c>
      <c r="C233" s="11">
        <v>20</v>
      </c>
      <c r="D233" s="11">
        <v>19.850000000000001</v>
      </c>
      <c r="E233" s="2">
        <f t="shared" si="6"/>
        <v>0.14999999999999858</v>
      </c>
      <c r="F233" s="11">
        <v>0.12</v>
      </c>
      <c r="G233" s="3">
        <f t="shared" si="7"/>
        <v>1.3499999999999929E-2</v>
      </c>
    </row>
    <row r="234" spans="1:14" hidden="1">
      <c r="A234" s="1">
        <v>15</v>
      </c>
      <c r="B234" s="1" t="s">
        <v>15</v>
      </c>
      <c r="C234" s="11">
        <v>0</v>
      </c>
      <c r="D234" s="11">
        <v>0</v>
      </c>
      <c r="E234" s="2">
        <f t="shared" si="6"/>
        <v>0</v>
      </c>
      <c r="F234" s="11">
        <v>0.16500000000000001</v>
      </c>
      <c r="G234" s="3" t="e">
        <f t="shared" si="7"/>
        <v>#DIV/0!</v>
      </c>
    </row>
    <row r="235" spans="1:14" hidden="1">
      <c r="A235" s="1">
        <v>16</v>
      </c>
      <c r="B235" s="1" t="s">
        <v>15</v>
      </c>
      <c r="C235" s="11">
        <v>25</v>
      </c>
      <c r="D235" s="11">
        <v>25</v>
      </c>
      <c r="E235" s="2">
        <f t="shared" si="6"/>
        <v>0</v>
      </c>
      <c r="F235" s="11">
        <v>8.3000000000000004E-2</v>
      </c>
      <c r="G235" s="3">
        <f t="shared" si="7"/>
        <v>3.32E-3</v>
      </c>
    </row>
    <row r="236" spans="1:14" hidden="1">
      <c r="A236" s="1">
        <v>17</v>
      </c>
      <c r="B236" s="1" t="s">
        <v>15</v>
      </c>
      <c r="C236" s="11">
        <v>0</v>
      </c>
      <c r="D236" s="11">
        <v>0</v>
      </c>
      <c r="E236" s="2">
        <f t="shared" si="6"/>
        <v>0</v>
      </c>
      <c r="F236" s="11">
        <v>6.3E-2</v>
      </c>
      <c r="G236" s="3" t="e">
        <f t="shared" si="7"/>
        <v>#DIV/0!</v>
      </c>
    </row>
    <row r="237" spans="1:14" hidden="1">
      <c r="A237" s="1">
        <v>18</v>
      </c>
      <c r="B237" s="1" t="s">
        <v>15</v>
      </c>
      <c r="C237" s="11">
        <v>0</v>
      </c>
      <c r="D237" s="11">
        <v>0</v>
      </c>
      <c r="E237" s="2">
        <f t="shared" si="6"/>
        <v>0</v>
      </c>
      <c r="F237" s="11">
        <v>6.0999999999999999E-2</v>
      </c>
      <c r="G237" s="3" t="e">
        <f t="shared" si="7"/>
        <v>#DIV/0!</v>
      </c>
    </row>
    <row r="238" spans="1:14" hidden="1">
      <c r="A238" s="1">
        <v>19</v>
      </c>
      <c r="B238" s="1" t="s">
        <v>15</v>
      </c>
      <c r="C238" s="11">
        <v>0</v>
      </c>
      <c r="D238" s="11">
        <v>0</v>
      </c>
      <c r="E238" s="2">
        <f t="shared" si="6"/>
        <v>0</v>
      </c>
      <c r="F238" s="11">
        <v>0.107</v>
      </c>
      <c r="G238" s="3" t="e">
        <f t="shared" si="7"/>
        <v>#DIV/0!</v>
      </c>
    </row>
    <row r="239" spans="1:14" hidden="1">
      <c r="A239" s="1">
        <v>20</v>
      </c>
      <c r="B239" s="1" t="s">
        <v>15</v>
      </c>
      <c r="C239" s="11">
        <v>0</v>
      </c>
      <c r="D239" s="11">
        <v>0</v>
      </c>
      <c r="E239" s="2">
        <f t="shared" si="6"/>
        <v>0</v>
      </c>
      <c r="F239" s="11">
        <v>4.2999999999999997E-2</v>
      </c>
      <c r="G239" s="3" t="e">
        <f t="shared" si="7"/>
        <v>#DIV/0!</v>
      </c>
    </row>
    <row r="240" spans="1:14" hidden="1">
      <c r="A240" s="1">
        <v>21</v>
      </c>
      <c r="B240" s="1" t="s">
        <v>15</v>
      </c>
      <c r="C240" s="11">
        <v>40</v>
      </c>
      <c r="D240" s="11">
        <v>39.61</v>
      </c>
      <c r="E240" s="2">
        <f t="shared" si="6"/>
        <v>0.39000000000000057</v>
      </c>
      <c r="F240" s="11">
        <v>0.379</v>
      </c>
      <c r="G240" s="3">
        <f t="shared" si="7"/>
        <v>1.9225000000000013E-2</v>
      </c>
    </row>
    <row r="241" spans="1:7" hidden="1">
      <c r="A241" s="1">
        <v>22</v>
      </c>
      <c r="B241" s="1" t="s">
        <v>15</v>
      </c>
      <c r="C241" s="11">
        <v>0</v>
      </c>
      <c r="D241" s="11">
        <v>0</v>
      </c>
      <c r="E241" s="2">
        <f t="shared" si="6"/>
        <v>0</v>
      </c>
      <c r="F241" s="11">
        <v>9.0239999999999695E-2</v>
      </c>
      <c r="G241" s="3" t="e">
        <f t="shared" si="7"/>
        <v>#DIV/0!</v>
      </c>
    </row>
    <row r="242" spans="1:7" hidden="1">
      <c r="A242" s="1">
        <v>23</v>
      </c>
      <c r="B242" s="1" t="s">
        <v>15</v>
      </c>
      <c r="C242" s="11">
        <v>0</v>
      </c>
      <c r="D242" s="11">
        <v>0</v>
      </c>
      <c r="E242" s="2">
        <f t="shared" si="6"/>
        <v>0</v>
      </c>
      <c r="F242" s="11">
        <v>0.16500000000000001</v>
      </c>
      <c r="G242" s="3" t="e">
        <f t="shared" si="7"/>
        <v>#DIV/0!</v>
      </c>
    </row>
    <row r="243" spans="1:7" hidden="1">
      <c r="A243" s="1">
        <v>24</v>
      </c>
      <c r="B243" s="1" t="s">
        <v>15</v>
      </c>
      <c r="C243" s="11">
        <v>0</v>
      </c>
      <c r="D243" s="11">
        <v>0</v>
      </c>
      <c r="E243" s="2">
        <f t="shared" si="6"/>
        <v>0</v>
      </c>
      <c r="F243" s="11">
        <v>4.8000000000000001E-2</v>
      </c>
      <c r="G243" s="3" t="e">
        <f t="shared" si="7"/>
        <v>#DIV/0!</v>
      </c>
    </row>
    <row r="244" spans="1:7" hidden="1">
      <c r="A244" s="1">
        <v>25</v>
      </c>
      <c r="B244" s="1" t="s">
        <v>15</v>
      </c>
      <c r="C244" s="11">
        <v>0</v>
      </c>
      <c r="D244" s="11">
        <v>0</v>
      </c>
      <c r="E244" s="2">
        <f t="shared" si="6"/>
        <v>0</v>
      </c>
      <c r="F244" s="11">
        <v>4.2999999999999997E-2</v>
      </c>
      <c r="G244" s="3" t="e">
        <f t="shared" si="7"/>
        <v>#DIV/0!</v>
      </c>
    </row>
    <row r="245" spans="1:7" hidden="1">
      <c r="A245" s="1">
        <v>26</v>
      </c>
      <c r="B245" s="1" t="s">
        <v>15</v>
      </c>
      <c r="C245" s="11">
        <v>70</v>
      </c>
      <c r="D245" s="11">
        <v>70</v>
      </c>
      <c r="E245" s="2">
        <f t="shared" si="6"/>
        <v>0</v>
      </c>
      <c r="F245" s="11">
        <v>0.106</v>
      </c>
      <c r="G245" s="3">
        <f t="shared" si="7"/>
        <v>1.5142857142857143E-3</v>
      </c>
    </row>
    <row r="246" spans="1:7" hidden="1">
      <c r="A246" s="1">
        <v>27</v>
      </c>
      <c r="B246" s="1" t="s">
        <v>15</v>
      </c>
      <c r="C246" s="11">
        <v>0</v>
      </c>
      <c r="D246" s="11">
        <v>0</v>
      </c>
      <c r="E246" s="2">
        <f t="shared" si="6"/>
        <v>0</v>
      </c>
      <c r="F246" s="11">
        <v>0.77300000000000002</v>
      </c>
      <c r="G246" s="3" t="e">
        <f t="shared" si="7"/>
        <v>#DIV/0!</v>
      </c>
    </row>
    <row r="247" spans="1:7" hidden="1">
      <c r="A247" s="1">
        <v>28</v>
      </c>
      <c r="B247" s="1" t="s">
        <v>15</v>
      </c>
      <c r="C247" s="11">
        <v>0</v>
      </c>
      <c r="D247" s="11">
        <v>0</v>
      </c>
      <c r="E247" s="2">
        <f t="shared" si="6"/>
        <v>0</v>
      </c>
      <c r="F247" s="11">
        <v>3.7999999999999999E-2</v>
      </c>
      <c r="G247" s="3" t="e">
        <f t="shared" si="7"/>
        <v>#DIV/0!</v>
      </c>
    </row>
    <row r="248" spans="1:7" hidden="1">
      <c r="A248" s="1">
        <v>29</v>
      </c>
      <c r="B248" s="1" t="s">
        <v>15</v>
      </c>
      <c r="C248" s="11">
        <v>0</v>
      </c>
      <c r="D248" s="11">
        <v>0</v>
      </c>
      <c r="E248" s="2">
        <f t="shared" si="6"/>
        <v>0</v>
      </c>
      <c r="F248" s="11">
        <v>6.8000000000000005E-2</v>
      </c>
      <c r="G248" s="3" t="e">
        <f t="shared" si="7"/>
        <v>#DIV/0!</v>
      </c>
    </row>
    <row r="249" spans="1:7" hidden="1">
      <c r="A249" s="1">
        <v>30</v>
      </c>
      <c r="B249" s="1" t="s">
        <v>15</v>
      </c>
      <c r="C249" s="11">
        <v>0</v>
      </c>
      <c r="D249" s="11">
        <v>0</v>
      </c>
      <c r="E249" s="2">
        <f t="shared" si="6"/>
        <v>0</v>
      </c>
      <c r="F249" s="11">
        <v>5.5E-2</v>
      </c>
      <c r="G249" s="3" t="e">
        <f t="shared" si="7"/>
        <v>#DIV/0!</v>
      </c>
    </row>
    <row r="250" spans="1:7" hidden="1">
      <c r="A250" s="1">
        <v>31</v>
      </c>
      <c r="B250" s="1" t="s">
        <v>15</v>
      </c>
      <c r="C250" s="11">
        <v>30</v>
      </c>
      <c r="D250" s="11">
        <v>30</v>
      </c>
      <c r="E250" s="2">
        <f t="shared" si="6"/>
        <v>0</v>
      </c>
      <c r="F250" s="11">
        <v>6.4000000000000001E-2</v>
      </c>
      <c r="G250" s="3">
        <f t="shared" si="7"/>
        <v>2.1333333333333334E-3</v>
      </c>
    </row>
    <row r="251" spans="1:7" hidden="1">
      <c r="A251" s="1">
        <v>1</v>
      </c>
      <c r="B251" s="1" t="s">
        <v>16</v>
      </c>
      <c r="C251" s="11">
        <v>0</v>
      </c>
      <c r="D251" s="11">
        <v>0</v>
      </c>
      <c r="E251" s="2">
        <f t="shared" si="6"/>
        <v>0</v>
      </c>
      <c r="F251" s="11">
        <v>0</v>
      </c>
      <c r="G251" s="3" t="e">
        <f t="shared" si="7"/>
        <v>#DIV/0!</v>
      </c>
    </row>
    <row r="252" spans="1:7" hidden="1">
      <c r="A252" s="1">
        <v>2</v>
      </c>
      <c r="B252" s="1" t="s">
        <v>16</v>
      </c>
      <c r="C252" s="11">
        <v>20</v>
      </c>
      <c r="D252" s="11">
        <v>19.88</v>
      </c>
      <c r="E252" s="2">
        <f t="shared" si="6"/>
        <v>0.12000000000000099</v>
      </c>
      <c r="F252" s="11">
        <v>0.24099999999999999</v>
      </c>
      <c r="G252" s="3">
        <f t="shared" si="7"/>
        <v>1.8050000000000049E-2</v>
      </c>
    </row>
    <row r="253" spans="1:7" hidden="1">
      <c r="A253" s="1">
        <v>3</v>
      </c>
      <c r="B253" s="1" t="s">
        <v>16</v>
      </c>
      <c r="C253" s="11">
        <v>20</v>
      </c>
      <c r="D253" s="11">
        <v>19.75</v>
      </c>
      <c r="E253" s="2">
        <f t="shared" si="6"/>
        <v>0.25</v>
      </c>
      <c r="F253" s="11">
        <v>0.124</v>
      </c>
      <c r="G253" s="3">
        <f t="shared" si="7"/>
        <v>1.8700000000000001E-2</v>
      </c>
    </row>
    <row r="254" spans="1:7" hidden="1">
      <c r="A254" s="1">
        <v>4</v>
      </c>
      <c r="B254" s="1" t="s">
        <v>16</v>
      </c>
      <c r="C254" s="11">
        <v>40</v>
      </c>
      <c r="D254" s="11">
        <v>39.58</v>
      </c>
      <c r="E254" s="2">
        <f t="shared" si="6"/>
        <v>0.42000000000000171</v>
      </c>
      <c r="F254" s="11">
        <v>0.21</v>
      </c>
      <c r="G254" s="3">
        <f t="shared" si="7"/>
        <v>1.5750000000000042E-2</v>
      </c>
    </row>
    <row r="255" spans="1:7" hidden="1">
      <c r="A255" s="1">
        <v>5</v>
      </c>
      <c r="B255" s="1" t="s">
        <v>16</v>
      </c>
      <c r="C255" s="11">
        <v>20</v>
      </c>
      <c r="D255" s="11">
        <v>19.87</v>
      </c>
      <c r="E255" s="2">
        <f t="shared" si="6"/>
        <v>0.12999999999999901</v>
      </c>
      <c r="F255" s="11">
        <v>0.25</v>
      </c>
      <c r="G255" s="3">
        <f t="shared" si="7"/>
        <v>1.8999999999999951E-2</v>
      </c>
    </row>
    <row r="256" spans="1:7" hidden="1">
      <c r="A256" s="1">
        <v>6</v>
      </c>
      <c r="B256" s="1" t="s">
        <v>16</v>
      </c>
      <c r="C256" s="11">
        <v>0</v>
      </c>
      <c r="D256" s="11">
        <v>0</v>
      </c>
      <c r="E256" s="2">
        <f t="shared" si="6"/>
        <v>0</v>
      </c>
      <c r="F256" s="11">
        <v>0.154</v>
      </c>
      <c r="G256" s="3" t="e">
        <f t="shared" si="7"/>
        <v>#DIV/0!</v>
      </c>
    </row>
    <row r="257" spans="1:7" hidden="1">
      <c r="A257" s="1">
        <v>7</v>
      </c>
      <c r="B257" s="1" t="s">
        <v>16</v>
      </c>
      <c r="C257" s="11">
        <v>20</v>
      </c>
      <c r="D257" s="11">
        <v>19.82</v>
      </c>
      <c r="E257" s="2">
        <f t="shared" si="6"/>
        <v>0.17999999999999972</v>
      </c>
      <c r="F257" s="11">
        <v>0.20819999999999972</v>
      </c>
      <c r="G257" s="3">
        <f t="shared" si="7"/>
        <v>1.9409999999999972E-2</v>
      </c>
    </row>
    <row r="258" spans="1:7" hidden="1">
      <c r="A258" s="1">
        <v>10</v>
      </c>
      <c r="B258" s="1" t="s">
        <v>16</v>
      </c>
      <c r="C258" s="11">
        <v>20</v>
      </c>
      <c r="D258" s="11">
        <v>19.78</v>
      </c>
      <c r="E258" s="2">
        <f t="shared" si="6"/>
        <v>0.21999999999999886</v>
      </c>
      <c r="F258" s="11">
        <v>0.224</v>
      </c>
      <c r="G258" s="3">
        <f t="shared" si="7"/>
        <v>2.2199999999999942E-2</v>
      </c>
    </row>
    <row r="259" spans="1:7" hidden="1">
      <c r="A259" s="1">
        <v>8</v>
      </c>
      <c r="B259" s="1" t="s">
        <v>16</v>
      </c>
      <c r="C259" s="11">
        <v>20</v>
      </c>
      <c r="D259" s="11">
        <v>19.72</v>
      </c>
      <c r="E259" s="2">
        <f t="shared" si="6"/>
        <v>0.28000000000000114</v>
      </c>
      <c r="F259" s="11">
        <v>0.224</v>
      </c>
      <c r="G259" s="3">
        <f t="shared" si="7"/>
        <v>2.5200000000000056E-2</v>
      </c>
    </row>
    <row r="260" spans="1:7" hidden="1">
      <c r="A260" s="1">
        <v>9</v>
      </c>
      <c r="B260" s="1" t="s">
        <v>16</v>
      </c>
      <c r="C260" s="11">
        <v>0</v>
      </c>
      <c r="D260" s="11">
        <v>0</v>
      </c>
      <c r="E260" s="2">
        <f t="shared" ref="E260:E323" si="8">C260-D260</f>
        <v>0</v>
      </c>
      <c r="F260" s="11">
        <v>0.109</v>
      </c>
      <c r="G260" s="3" t="e">
        <f t="shared" ref="G260:G312" si="9">(E260+F260)/C260</f>
        <v>#DIV/0!</v>
      </c>
    </row>
    <row r="261" spans="1:7" hidden="1">
      <c r="A261" s="1">
        <v>11</v>
      </c>
      <c r="B261" s="1" t="s">
        <v>16</v>
      </c>
      <c r="C261" s="11">
        <v>20</v>
      </c>
      <c r="D261" s="11">
        <v>19.899999999999999</v>
      </c>
      <c r="E261" s="2">
        <f t="shared" si="8"/>
        <v>0.10000000000000142</v>
      </c>
      <c r="F261" s="11">
        <v>0.22</v>
      </c>
      <c r="G261" s="3">
        <f t="shared" si="9"/>
        <v>1.600000000000007E-2</v>
      </c>
    </row>
    <row r="262" spans="1:7" hidden="1">
      <c r="A262" s="1">
        <v>12</v>
      </c>
      <c r="B262" s="1" t="s">
        <v>16</v>
      </c>
      <c r="C262" s="11">
        <v>20</v>
      </c>
      <c r="D262" s="11">
        <v>19.8</v>
      </c>
      <c r="E262" s="2">
        <f t="shared" si="8"/>
        <v>0.19999999999999929</v>
      </c>
      <c r="F262" s="11">
        <v>0.11</v>
      </c>
      <c r="G262" s="3">
        <f t="shared" si="9"/>
        <v>1.5499999999999963E-2</v>
      </c>
    </row>
    <row r="263" spans="1:7" hidden="1">
      <c r="A263" s="1">
        <v>13</v>
      </c>
      <c r="B263" s="1" t="s">
        <v>16</v>
      </c>
      <c r="C263" s="11">
        <v>0</v>
      </c>
      <c r="D263" s="11">
        <v>0</v>
      </c>
      <c r="E263" s="2">
        <f t="shared" si="8"/>
        <v>0</v>
      </c>
      <c r="F263" s="11">
        <v>0.192</v>
      </c>
      <c r="G263" s="3" t="e">
        <f t="shared" si="9"/>
        <v>#DIV/0!</v>
      </c>
    </row>
    <row r="264" spans="1:7" hidden="1">
      <c r="A264" s="1">
        <v>14</v>
      </c>
      <c r="B264" s="1" t="s">
        <v>16</v>
      </c>
      <c r="C264" s="11">
        <v>0</v>
      </c>
      <c r="D264" s="11">
        <v>0</v>
      </c>
      <c r="E264" s="2">
        <f t="shared" si="8"/>
        <v>0</v>
      </c>
      <c r="F264" s="11">
        <v>0.20599999999999999</v>
      </c>
      <c r="G264" s="3" t="e">
        <f t="shared" si="9"/>
        <v>#DIV/0!</v>
      </c>
    </row>
    <row r="265" spans="1:7" hidden="1">
      <c r="A265" s="1">
        <v>15</v>
      </c>
      <c r="B265" s="1" t="s">
        <v>16</v>
      </c>
      <c r="C265" s="11">
        <v>20</v>
      </c>
      <c r="D265" s="11">
        <v>19.88</v>
      </c>
      <c r="E265" s="2">
        <f t="shared" si="8"/>
        <v>0.12000000000000099</v>
      </c>
      <c r="F265" s="11">
        <v>0.23200000000000001</v>
      </c>
      <c r="G265" s="3">
        <f t="shared" si="9"/>
        <v>1.760000000000005E-2</v>
      </c>
    </row>
    <row r="266" spans="1:7" hidden="1">
      <c r="A266" s="1">
        <v>16</v>
      </c>
      <c r="B266" s="1" t="s">
        <v>16</v>
      </c>
      <c r="C266" s="11">
        <v>0</v>
      </c>
      <c r="D266" s="11">
        <v>0</v>
      </c>
      <c r="E266" s="2">
        <f t="shared" si="8"/>
        <v>0</v>
      </c>
      <c r="F266" s="11">
        <v>0.17799999999999999</v>
      </c>
      <c r="G266" s="3" t="e">
        <f t="shared" si="9"/>
        <v>#DIV/0!</v>
      </c>
    </row>
    <row r="267" spans="1:7" hidden="1">
      <c r="A267" s="1">
        <v>17</v>
      </c>
      <c r="B267" s="1" t="s">
        <v>16</v>
      </c>
      <c r="C267" s="11">
        <v>20</v>
      </c>
      <c r="D267" s="11">
        <v>19.690000000000001</v>
      </c>
      <c r="E267" s="2">
        <f t="shared" si="8"/>
        <v>0.30999999999999872</v>
      </c>
      <c r="F267" s="11">
        <v>0.214</v>
      </c>
      <c r="G267" s="3">
        <f t="shared" si="9"/>
        <v>2.6199999999999935E-2</v>
      </c>
    </row>
    <row r="268" spans="1:7" hidden="1">
      <c r="A268" s="1">
        <v>18</v>
      </c>
      <c r="B268" s="1" t="s">
        <v>16</v>
      </c>
      <c r="C268" s="11">
        <v>20</v>
      </c>
      <c r="D268" s="11">
        <v>19.8</v>
      </c>
      <c r="E268" s="2">
        <f t="shared" si="8"/>
        <v>0.19999999999999929</v>
      </c>
      <c r="F268" s="11">
        <v>0.16</v>
      </c>
      <c r="G268" s="3">
        <f t="shared" si="9"/>
        <v>1.7999999999999967E-2</v>
      </c>
    </row>
    <row r="269" spans="1:7" hidden="1">
      <c r="A269" s="1">
        <v>19</v>
      </c>
      <c r="B269" s="1" t="s">
        <v>16</v>
      </c>
      <c r="C269" s="11">
        <v>20</v>
      </c>
      <c r="D269" s="11">
        <v>19.84</v>
      </c>
      <c r="E269" s="2">
        <f t="shared" si="8"/>
        <v>0.16000000000000014</v>
      </c>
      <c r="F269" s="11">
        <v>0.21</v>
      </c>
      <c r="G269" s="3">
        <f t="shared" si="9"/>
        <v>1.8500000000000006E-2</v>
      </c>
    </row>
    <row r="270" spans="1:7" hidden="1">
      <c r="A270" s="1">
        <v>20</v>
      </c>
      <c r="B270" s="1" t="s">
        <v>16</v>
      </c>
      <c r="C270" s="11">
        <v>0</v>
      </c>
      <c r="D270" s="11">
        <v>0</v>
      </c>
      <c r="E270" s="2">
        <f t="shared" si="8"/>
        <v>0</v>
      </c>
      <c r="F270" s="11">
        <v>0.2</v>
      </c>
      <c r="G270" s="3" t="e">
        <f t="shared" si="9"/>
        <v>#DIV/0!</v>
      </c>
    </row>
    <row r="271" spans="1:7" hidden="1">
      <c r="A271" s="1">
        <v>21</v>
      </c>
      <c r="B271" s="1" t="s">
        <v>16</v>
      </c>
      <c r="C271" s="11">
        <v>0</v>
      </c>
      <c r="D271" s="11">
        <v>0</v>
      </c>
      <c r="E271" s="2">
        <f t="shared" si="8"/>
        <v>0</v>
      </c>
      <c r="F271" s="11">
        <v>8.8999999999999996E-2</v>
      </c>
      <c r="G271" s="3" t="e">
        <f t="shared" si="9"/>
        <v>#DIV/0!</v>
      </c>
    </row>
    <row r="272" spans="1:7" hidden="1">
      <c r="A272" s="1">
        <v>22</v>
      </c>
      <c r="B272" s="1" t="s">
        <v>16</v>
      </c>
      <c r="C272" s="11">
        <v>20</v>
      </c>
      <c r="D272" s="11">
        <v>19.829999999999998</v>
      </c>
      <c r="E272" s="2">
        <f t="shared" si="8"/>
        <v>0.17000000000000171</v>
      </c>
      <c r="F272" s="11">
        <v>0.20799999999999699</v>
      </c>
      <c r="G272" s="3">
        <f t="shared" si="9"/>
        <v>1.8899999999999934E-2</v>
      </c>
    </row>
    <row r="273" spans="1:7" hidden="1">
      <c r="A273" s="1">
        <v>23</v>
      </c>
      <c r="B273" s="1" t="s">
        <v>16</v>
      </c>
      <c r="C273" s="11">
        <v>0</v>
      </c>
      <c r="D273" s="11">
        <v>0</v>
      </c>
      <c r="E273" s="2">
        <f t="shared" si="8"/>
        <v>0</v>
      </c>
      <c r="F273" s="11">
        <v>0</v>
      </c>
      <c r="G273" s="3" t="e">
        <f t="shared" si="9"/>
        <v>#DIV/0!</v>
      </c>
    </row>
    <row r="274" spans="1:7" hidden="1">
      <c r="A274" s="1">
        <v>24</v>
      </c>
      <c r="B274" s="1" t="s">
        <v>16</v>
      </c>
      <c r="C274" s="11">
        <v>20</v>
      </c>
      <c r="D274" s="11">
        <v>19.79</v>
      </c>
      <c r="E274" s="2">
        <f t="shared" si="8"/>
        <v>0.21000000000000085</v>
      </c>
      <c r="F274" s="11">
        <v>0.22500000000000001</v>
      </c>
      <c r="G274" s="3">
        <f t="shared" si="9"/>
        <v>2.175000000000004E-2</v>
      </c>
    </row>
    <row r="275" spans="1:7" hidden="1">
      <c r="A275" s="1">
        <v>25</v>
      </c>
      <c r="B275" s="1" t="s">
        <v>16</v>
      </c>
      <c r="C275" s="11">
        <v>20</v>
      </c>
      <c r="D275" s="11">
        <v>19.809999999999999</v>
      </c>
      <c r="E275" s="2">
        <f t="shared" si="8"/>
        <v>0.19000000000000128</v>
      </c>
      <c r="F275" s="11">
        <v>0.27700000000000002</v>
      </c>
      <c r="G275" s="3">
        <f t="shared" si="9"/>
        <v>2.3350000000000065E-2</v>
      </c>
    </row>
    <row r="276" spans="1:7" hidden="1">
      <c r="A276" s="1">
        <v>26</v>
      </c>
      <c r="B276" s="1" t="s">
        <v>16</v>
      </c>
      <c r="C276" s="11">
        <v>25</v>
      </c>
      <c r="D276" s="11">
        <v>24.67</v>
      </c>
      <c r="E276" s="2">
        <f t="shared" si="8"/>
        <v>0.32999999999999829</v>
      </c>
      <c r="F276" s="11">
        <v>0.253</v>
      </c>
      <c r="G276" s="3">
        <f t="shared" si="9"/>
        <v>2.3319999999999931E-2</v>
      </c>
    </row>
    <row r="277" spans="1:7" hidden="1">
      <c r="A277" s="1">
        <v>27</v>
      </c>
      <c r="B277" s="1" t="s">
        <v>16</v>
      </c>
      <c r="C277" s="11">
        <v>0</v>
      </c>
      <c r="D277" s="11">
        <v>0</v>
      </c>
      <c r="E277" s="2">
        <f t="shared" si="8"/>
        <v>0</v>
      </c>
      <c r="F277" s="11">
        <v>0.247</v>
      </c>
      <c r="G277" s="3" t="e">
        <f t="shared" si="9"/>
        <v>#DIV/0!</v>
      </c>
    </row>
    <row r="278" spans="1:7" hidden="1">
      <c r="A278" s="1">
        <v>28</v>
      </c>
      <c r="B278" s="1" t="s">
        <v>16</v>
      </c>
      <c r="C278" s="11">
        <v>25</v>
      </c>
      <c r="D278" s="11">
        <v>24.76</v>
      </c>
      <c r="E278" s="2">
        <f t="shared" si="8"/>
        <v>0.23999999999999844</v>
      </c>
      <c r="F278" s="11">
        <v>0.26200000000000001</v>
      </c>
      <c r="G278" s="3">
        <f t="shared" si="9"/>
        <v>2.0079999999999938E-2</v>
      </c>
    </row>
    <row r="279" spans="1:7" hidden="1">
      <c r="A279" s="1">
        <v>29</v>
      </c>
      <c r="B279" s="1" t="s">
        <v>16</v>
      </c>
      <c r="C279" s="11">
        <v>25</v>
      </c>
      <c r="D279" s="11">
        <v>24.72</v>
      </c>
      <c r="E279" s="2">
        <f t="shared" si="8"/>
        <v>0.28000000000000114</v>
      </c>
      <c r="F279" s="11">
        <v>0.26</v>
      </c>
      <c r="G279" s="3">
        <f t="shared" si="9"/>
        <v>2.1600000000000046E-2</v>
      </c>
    </row>
    <row r="280" spans="1:7" hidden="1">
      <c r="A280" s="1">
        <v>30</v>
      </c>
      <c r="B280" s="1" t="s">
        <v>16</v>
      </c>
      <c r="C280" s="11">
        <v>25</v>
      </c>
      <c r="D280" s="11">
        <v>24.72</v>
      </c>
      <c r="E280" s="2">
        <f t="shared" si="8"/>
        <v>0.28000000000000114</v>
      </c>
      <c r="F280" s="11">
        <v>0.21299999999999999</v>
      </c>
      <c r="G280" s="3">
        <f t="shared" si="9"/>
        <v>1.9720000000000043E-2</v>
      </c>
    </row>
    <row r="281" spans="1:7" hidden="1">
      <c r="A281" s="1">
        <v>31</v>
      </c>
      <c r="B281" s="1" t="s">
        <v>16</v>
      </c>
      <c r="C281" s="11">
        <v>25</v>
      </c>
      <c r="D281" s="11">
        <v>24.71</v>
      </c>
      <c r="E281" s="2">
        <f t="shared" si="8"/>
        <v>0.28999999999999915</v>
      </c>
      <c r="F281" s="11">
        <v>0.219</v>
      </c>
      <c r="G281" s="3">
        <f t="shared" si="9"/>
        <v>2.0359999999999965E-2</v>
      </c>
    </row>
    <row r="282" spans="1:7" hidden="1">
      <c r="A282" s="1">
        <v>1</v>
      </c>
      <c r="B282" s="1" t="s">
        <v>17</v>
      </c>
      <c r="C282" s="11">
        <v>20</v>
      </c>
      <c r="D282" s="11">
        <v>19.88</v>
      </c>
      <c r="E282" s="2">
        <f t="shared" si="8"/>
        <v>0.12000000000000099</v>
      </c>
      <c r="F282" s="11">
        <v>0.16600000000000001</v>
      </c>
      <c r="G282" s="3">
        <f t="shared" si="9"/>
        <v>1.4300000000000052E-2</v>
      </c>
    </row>
    <row r="283" spans="1:7" hidden="1">
      <c r="A283" s="1">
        <v>2</v>
      </c>
      <c r="B283" s="1" t="s">
        <v>17</v>
      </c>
      <c r="C283" s="11">
        <v>40</v>
      </c>
      <c r="D283" s="11">
        <v>39.659999999999997</v>
      </c>
      <c r="E283" s="2">
        <f t="shared" si="8"/>
        <v>0.34000000000000341</v>
      </c>
      <c r="F283" s="11">
        <v>0.17299999999999999</v>
      </c>
      <c r="G283" s="3">
        <f t="shared" si="9"/>
        <v>1.2825000000000086E-2</v>
      </c>
    </row>
    <row r="284" spans="1:7" hidden="1">
      <c r="A284" s="1">
        <v>3</v>
      </c>
      <c r="B284" s="1" t="s">
        <v>17</v>
      </c>
      <c r="C284" s="11">
        <v>40</v>
      </c>
      <c r="D284" s="11">
        <v>39.770000000000003</v>
      </c>
      <c r="E284" s="2">
        <f t="shared" si="8"/>
        <v>0.22999999999999687</v>
      </c>
      <c r="F284" s="11">
        <v>0.14199999999999999</v>
      </c>
      <c r="G284" s="3">
        <f t="shared" si="9"/>
        <v>9.2999999999999229E-3</v>
      </c>
    </row>
    <row r="285" spans="1:7" hidden="1">
      <c r="A285" s="1">
        <v>4</v>
      </c>
      <c r="B285" s="1" t="s">
        <v>17</v>
      </c>
      <c r="C285" s="11">
        <v>0</v>
      </c>
      <c r="D285" s="11">
        <v>0</v>
      </c>
      <c r="E285" s="2">
        <f t="shared" si="8"/>
        <v>0</v>
      </c>
      <c r="F285" s="11">
        <v>0.14199999999999999</v>
      </c>
      <c r="G285" s="3" t="e">
        <f t="shared" si="9"/>
        <v>#DIV/0!</v>
      </c>
    </row>
    <row r="286" spans="1:7" hidden="1">
      <c r="A286" s="1">
        <v>5</v>
      </c>
      <c r="B286" s="1" t="s">
        <v>17</v>
      </c>
      <c r="C286" s="11">
        <v>20</v>
      </c>
      <c r="D286" s="11">
        <v>19.84</v>
      </c>
      <c r="E286" s="2">
        <f t="shared" si="8"/>
        <v>0.16000000000000014</v>
      </c>
      <c r="F286" s="11">
        <v>0.14599999999999999</v>
      </c>
      <c r="G286" s="3">
        <f t="shared" si="9"/>
        <v>1.5300000000000008E-2</v>
      </c>
    </row>
    <row r="287" spans="1:7" hidden="1">
      <c r="A287" s="1">
        <v>6</v>
      </c>
      <c r="B287" s="1" t="s">
        <v>17</v>
      </c>
      <c r="C287" s="11">
        <v>20</v>
      </c>
      <c r="D287" s="11">
        <v>19.829999999999998</v>
      </c>
      <c r="E287" s="2">
        <f t="shared" si="8"/>
        <v>0.17000000000000171</v>
      </c>
      <c r="F287" s="11">
        <v>0.13200000000000001</v>
      </c>
      <c r="G287" s="3">
        <f t="shared" si="9"/>
        <v>1.5100000000000086E-2</v>
      </c>
    </row>
    <row r="288" spans="1:7" hidden="1">
      <c r="A288" s="1">
        <v>7</v>
      </c>
      <c r="B288" s="1" t="s">
        <v>17</v>
      </c>
      <c r="C288" s="11">
        <v>40</v>
      </c>
      <c r="D288" s="11">
        <v>39.700000000000003</v>
      </c>
      <c r="E288" s="2">
        <f t="shared" si="8"/>
        <v>0.29999999999999716</v>
      </c>
      <c r="F288" s="11">
        <v>0.14199999999999999</v>
      </c>
      <c r="G288" s="3">
        <f t="shared" si="9"/>
        <v>1.104999999999993E-2</v>
      </c>
    </row>
    <row r="289" spans="1:7" hidden="1">
      <c r="A289" s="1">
        <v>10</v>
      </c>
      <c r="B289" s="1" t="s">
        <v>17</v>
      </c>
      <c r="C289" s="11">
        <v>20</v>
      </c>
      <c r="D289" s="11">
        <v>19.78</v>
      </c>
      <c r="E289" s="2">
        <f t="shared" si="8"/>
        <v>0.21999999999999886</v>
      </c>
      <c r="F289" s="11">
        <v>0.1</v>
      </c>
      <c r="G289" s="3">
        <f t="shared" si="9"/>
        <v>1.5999999999999941E-2</v>
      </c>
    </row>
    <row r="290" spans="1:7" hidden="1">
      <c r="A290" s="1">
        <v>8</v>
      </c>
      <c r="B290" s="1" t="s">
        <v>17</v>
      </c>
      <c r="C290" s="11">
        <v>40</v>
      </c>
      <c r="D290" s="11">
        <v>39.75</v>
      </c>
      <c r="E290" s="2">
        <f t="shared" si="8"/>
        <v>0.25</v>
      </c>
      <c r="F290" s="11">
        <v>0.114</v>
      </c>
      <c r="G290" s="3">
        <f t="shared" si="9"/>
        <v>9.1000000000000004E-3</v>
      </c>
    </row>
    <row r="291" spans="1:7" hidden="1">
      <c r="A291" s="1">
        <v>9</v>
      </c>
      <c r="B291" s="1" t="s">
        <v>17</v>
      </c>
      <c r="C291" s="11">
        <v>0</v>
      </c>
      <c r="D291" s="11">
        <v>0</v>
      </c>
      <c r="E291" s="2">
        <f t="shared" si="8"/>
        <v>0</v>
      </c>
      <c r="F291" s="11">
        <v>8.2000000000000003E-2</v>
      </c>
      <c r="G291" s="3" t="e">
        <f t="shared" si="9"/>
        <v>#DIV/0!</v>
      </c>
    </row>
    <row r="292" spans="1:7" hidden="1">
      <c r="A292" s="1">
        <v>11</v>
      </c>
      <c r="B292" s="1" t="s">
        <v>17</v>
      </c>
      <c r="C292" s="11">
        <v>20</v>
      </c>
      <c r="D292" s="11">
        <v>19.87</v>
      </c>
      <c r="E292" s="2">
        <f t="shared" si="8"/>
        <v>0.12999999999999901</v>
      </c>
      <c r="F292" s="11">
        <v>0.14199999999999999</v>
      </c>
      <c r="G292" s="3">
        <f t="shared" si="9"/>
        <v>1.3599999999999951E-2</v>
      </c>
    </row>
    <row r="293" spans="1:7" hidden="1">
      <c r="A293" s="1">
        <v>12</v>
      </c>
      <c r="B293" s="1" t="s">
        <v>17</v>
      </c>
      <c r="C293" s="11">
        <v>20</v>
      </c>
      <c r="D293" s="11">
        <v>19.78</v>
      </c>
      <c r="E293" s="2">
        <f t="shared" si="8"/>
        <v>0.21999999999999886</v>
      </c>
      <c r="F293" s="11">
        <v>0.14199999999999999</v>
      </c>
      <c r="G293" s="3">
        <f t="shared" si="9"/>
        <v>1.8099999999999943E-2</v>
      </c>
    </row>
    <row r="294" spans="1:7" hidden="1">
      <c r="A294" s="1">
        <v>13</v>
      </c>
      <c r="B294" s="1" t="s">
        <v>17</v>
      </c>
      <c r="C294" s="11">
        <v>20</v>
      </c>
      <c r="D294" s="11">
        <v>19.86</v>
      </c>
      <c r="E294" s="2">
        <f t="shared" si="8"/>
        <v>0.14000000000000057</v>
      </c>
      <c r="F294" s="11">
        <v>0.14899999999999999</v>
      </c>
      <c r="G294" s="3">
        <f t="shared" si="9"/>
        <v>1.4450000000000029E-2</v>
      </c>
    </row>
    <row r="295" spans="1:7" hidden="1">
      <c r="A295" s="1">
        <v>14</v>
      </c>
      <c r="B295" s="1" t="s">
        <v>17</v>
      </c>
      <c r="C295" s="11">
        <v>20</v>
      </c>
      <c r="D295" s="11">
        <v>19.88</v>
      </c>
      <c r="E295" s="2">
        <f t="shared" si="8"/>
        <v>0.12000000000000099</v>
      </c>
      <c r="F295" s="11">
        <v>0.13600000000000001</v>
      </c>
      <c r="G295" s="3">
        <f t="shared" si="9"/>
        <v>1.2800000000000051E-2</v>
      </c>
    </row>
    <row r="296" spans="1:7" hidden="1">
      <c r="A296" s="1">
        <v>15</v>
      </c>
      <c r="B296" s="1" t="s">
        <v>17</v>
      </c>
      <c r="C296" s="11">
        <v>20</v>
      </c>
      <c r="D296" s="11">
        <v>19.760000000000002</v>
      </c>
      <c r="E296" s="2">
        <f t="shared" si="8"/>
        <v>0.23999999999999844</v>
      </c>
      <c r="F296" s="11">
        <v>0.152</v>
      </c>
      <c r="G296" s="3">
        <f t="shared" si="9"/>
        <v>1.9599999999999923E-2</v>
      </c>
    </row>
    <row r="297" spans="1:7" hidden="1">
      <c r="A297" s="1">
        <v>16</v>
      </c>
      <c r="B297" s="1" t="s">
        <v>17</v>
      </c>
      <c r="C297" s="11">
        <v>40</v>
      </c>
      <c r="D297" s="11">
        <v>39.729999999999997</v>
      </c>
      <c r="E297" s="2">
        <f t="shared" si="8"/>
        <v>0.27000000000000313</v>
      </c>
      <c r="F297" s="11">
        <v>0.14399999999999999</v>
      </c>
      <c r="G297" s="3">
        <f t="shared" si="9"/>
        <v>1.0350000000000078E-2</v>
      </c>
    </row>
    <row r="298" spans="1:7" hidden="1">
      <c r="A298" s="1">
        <v>17</v>
      </c>
      <c r="B298" s="1" t="s">
        <v>17</v>
      </c>
      <c r="C298" s="11">
        <v>20</v>
      </c>
      <c r="D298" s="11">
        <v>19.87</v>
      </c>
      <c r="E298" s="2">
        <f t="shared" si="8"/>
        <v>0.12999999999999901</v>
      </c>
      <c r="F298" s="11">
        <v>0.128</v>
      </c>
      <c r="G298" s="3">
        <f t="shared" si="9"/>
        <v>1.289999999999995E-2</v>
      </c>
    </row>
    <row r="299" spans="1:7" hidden="1">
      <c r="A299" s="1">
        <v>18</v>
      </c>
      <c r="B299" s="1" t="s">
        <v>17</v>
      </c>
      <c r="C299" s="11">
        <v>20</v>
      </c>
      <c r="D299" s="11">
        <v>19.87</v>
      </c>
      <c r="E299" s="2">
        <f t="shared" si="8"/>
        <v>0.12999999999999901</v>
      </c>
      <c r="F299" s="11">
        <v>0.128</v>
      </c>
      <c r="G299" s="3">
        <f t="shared" si="9"/>
        <v>1.289999999999995E-2</v>
      </c>
    </row>
    <row r="300" spans="1:7" hidden="1">
      <c r="A300" s="1">
        <v>19</v>
      </c>
      <c r="B300" s="1" t="s">
        <v>17</v>
      </c>
      <c r="C300" s="11">
        <v>20</v>
      </c>
      <c r="D300" s="11">
        <v>19.86</v>
      </c>
      <c r="E300" s="2">
        <f t="shared" si="8"/>
        <v>0.14000000000000057</v>
      </c>
      <c r="F300" s="11">
        <v>0.13600000000000001</v>
      </c>
      <c r="G300" s="3">
        <f t="shared" si="9"/>
        <v>1.3800000000000029E-2</v>
      </c>
    </row>
    <row r="301" spans="1:7" hidden="1">
      <c r="A301" s="1">
        <v>20</v>
      </c>
      <c r="B301" s="1" t="s">
        <v>17</v>
      </c>
      <c r="C301" s="11">
        <v>40</v>
      </c>
      <c r="D301" s="11">
        <v>39.69</v>
      </c>
      <c r="E301" s="2">
        <f t="shared" si="8"/>
        <v>0.31000000000000227</v>
      </c>
      <c r="F301" s="11">
        <v>0.13200000000000001</v>
      </c>
      <c r="G301" s="3">
        <f t="shared" si="9"/>
        <v>1.1050000000000056E-2</v>
      </c>
    </row>
    <row r="302" spans="1:7" hidden="1">
      <c r="A302" s="1">
        <v>21</v>
      </c>
      <c r="B302" s="1" t="s">
        <v>17</v>
      </c>
      <c r="C302" s="11">
        <v>25</v>
      </c>
      <c r="D302" s="11">
        <v>24.87</v>
      </c>
      <c r="E302" s="2">
        <f t="shared" si="8"/>
        <v>0.12999999999999901</v>
      </c>
      <c r="F302" s="11">
        <v>0.10100000000000001</v>
      </c>
      <c r="G302" s="3">
        <f t="shared" si="9"/>
        <v>9.2399999999999601E-3</v>
      </c>
    </row>
    <row r="303" spans="1:7" hidden="1">
      <c r="A303" s="1">
        <v>22</v>
      </c>
      <c r="B303" s="1" t="s">
        <v>17</v>
      </c>
      <c r="C303" s="11">
        <v>20</v>
      </c>
      <c r="D303" s="11">
        <v>19.850000000000001</v>
      </c>
      <c r="E303" s="2">
        <f t="shared" si="8"/>
        <v>0.14999999999999858</v>
      </c>
      <c r="F303" s="11">
        <v>7.5000000000001094E-2</v>
      </c>
      <c r="G303" s="3">
        <f t="shared" si="9"/>
        <v>1.1249999999999984E-2</v>
      </c>
    </row>
    <row r="304" spans="1:7" hidden="1">
      <c r="A304" s="1">
        <v>23</v>
      </c>
      <c r="B304" s="1" t="s">
        <v>17</v>
      </c>
      <c r="C304" s="11">
        <v>25</v>
      </c>
      <c r="D304" s="11">
        <v>24.87</v>
      </c>
      <c r="E304" s="2">
        <f t="shared" si="8"/>
        <v>0.12999999999999901</v>
      </c>
      <c r="F304" s="11">
        <v>0.1</v>
      </c>
      <c r="G304" s="3">
        <f t="shared" si="9"/>
        <v>9.1999999999999599E-3</v>
      </c>
    </row>
    <row r="305" spans="1:7" hidden="1">
      <c r="A305" s="1">
        <v>24</v>
      </c>
      <c r="B305" s="1" t="s">
        <v>17</v>
      </c>
      <c r="C305" s="11">
        <v>25</v>
      </c>
      <c r="D305" s="11">
        <v>24.9</v>
      </c>
      <c r="E305" s="2">
        <f t="shared" si="8"/>
        <v>0.10000000000000142</v>
      </c>
      <c r="F305" s="11">
        <v>9.5000000000000001E-2</v>
      </c>
      <c r="G305" s="3">
        <f t="shared" si="9"/>
        <v>7.8000000000000569E-3</v>
      </c>
    </row>
    <row r="306" spans="1:7" hidden="1">
      <c r="A306" s="1">
        <v>25</v>
      </c>
      <c r="B306" s="1" t="s">
        <v>17</v>
      </c>
      <c r="C306" s="11">
        <v>0</v>
      </c>
      <c r="D306" s="11">
        <v>0</v>
      </c>
      <c r="E306" s="2">
        <f t="shared" si="8"/>
        <v>0</v>
      </c>
      <c r="F306" s="11">
        <v>0.13200000000000001</v>
      </c>
      <c r="G306" s="3" t="e">
        <f t="shared" si="9"/>
        <v>#DIV/0!</v>
      </c>
    </row>
    <row r="307" spans="1:7" hidden="1">
      <c r="A307" s="1">
        <v>26</v>
      </c>
      <c r="B307" s="1" t="s">
        <v>17</v>
      </c>
      <c r="C307" s="11">
        <v>25</v>
      </c>
      <c r="D307" s="11">
        <v>24.9</v>
      </c>
      <c r="E307" s="2">
        <f t="shared" si="8"/>
        <v>0.10000000000000142</v>
      </c>
      <c r="F307" s="11">
        <v>0.09</v>
      </c>
      <c r="G307" s="3">
        <f t="shared" si="9"/>
        <v>7.6000000000000564E-3</v>
      </c>
    </row>
    <row r="308" spans="1:7" hidden="1">
      <c r="A308" s="1">
        <v>27</v>
      </c>
      <c r="B308" s="1" t="s">
        <v>17</v>
      </c>
      <c r="C308" s="11">
        <v>0</v>
      </c>
      <c r="D308" s="11">
        <v>0</v>
      </c>
      <c r="E308" s="2">
        <f t="shared" si="8"/>
        <v>0</v>
      </c>
      <c r="F308" s="11">
        <v>7.0000000000000007E-2</v>
      </c>
      <c r="G308" s="3" t="e">
        <f t="shared" si="9"/>
        <v>#DIV/0!</v>
      </c>
    </row>
    <row r="309" spans="1:7" hidden="1">
      <c r="A309" s="1">
        <v>28</v>
      </c>
      <c r="B309" s="1" t="s">
        <v>17</v>
      </c>
      <c r="C309" s="11">
        <v>0</v>
      </c>
      <c r="D309" s="11">
        <v>0</v>
      </c>
      <c r="E309" s="2">
        <f t="shared" si="8"/>
        <v>0</v>
      </c>
      <c r="F309" s="11">
        <v>9.8000000000000004E-2</v>
      </c>
      <c r="G309" s="3" t="e">
        <f t="shared" si="9"/>
        <v>#DIV/0!</v>
      </c>
    </row>
    <row r="310" spans="1:7" hidden="1">
      <c r="A310" s="1">
        <v>29</v>
      </c>
      <c r="B310" s="1" t="s">
        <v>17</v>
      </c>
      <c r="C310" s="11">
        <v>0</v>
      </c>
      <c r="D310" s="11">
        <v>0</v>
      </c>
      <c r="E310" s="2">
        <f t="shared" si="8"/>
        <v>0</v>
      </c>
      <c r="F310" s="11">
        <v>8.7999999999999995E-2</v>
      </c>
      <c r="G310" s="3" t="e">
        <f t="shared" si="9"/>
        <v>#DIV/0!</v>
      </c>
    </row>
    <row r="311" spans="1:7" hidden="1">
      <c r="A311" s="1">
        <v>30</v>
      </c>
      <c r="B311" s="1" t="s">
        <v>17</v>
      </c>
      <c r="C311" s="11">
        <v>50</v>
      </c>
      <c r="D311" s="11">
        <v>49.74</v>
      </c>
      <c r="E311" s="2">
        <f t="shared" si="8"/>
        <v>0.25999999999999801</v>
      </c>
      <c r="F311" s="11">
        <v>0.157</v>
      </c>
      <c r="G311" s="3">
        <f t="shared" si="9"/>
        <v>8.3399999999999603E-3</v>
      </c>
    </row>
    <row r="312" spans="1:7" hidden="1">
      <c r="A312" s="1">
        <v>31</v>
      </c>
      <c r="B312" s="1" t="s">
        <v>17</v>
      </c>
      <c r="C312" s="11">
        <v>0</v>
      </c>
      <c r="D312" s="11">
        <v>0</v>
      </c>
      <c r="E312" s="2">
        <f t="shared" si="8"/>
        <v>0</v>
      </c>
      <c r="F312" s="11">
        <v>0.09</v>
      </c>
      <c r="G312" s="3" t="e">
        <f t="shared" si="9"/>
        <v>#DIV/0!</v>
      </c>
    </row>
    <row r="313" spans="1:7" hidden="1">
      <c r="A313" s="1">
        <v>1</v>
      </c>
      <c r="B313" s="1" t="s">
        <v>18</v>
      </c>
      <c r="C313" s="11">
        <v>40</v>
      </c>
      <c r="D313" s="11">
        <v>39.72</v>
      </c>
      <c r="E313" s="2">
        <f t="shared" si="8"/>
        <v>0.28000000000000114</v>
      </c>
      <c r="F313" s="11">
        <v>0.27200000000000002</v>
      </c>
      <c r="G313" s="3">
        <f t="shared" ref="G313:G356" si="10">(E313+F313)/C313</f>
        <v>1.3800000000000029E-2</v>
      </c>
    </row>
    <row r="314" spans="1:7" hidden="1">
      <c r="A314" s="1">
        <v>2</v>
      </c>
      <c r="B314" s="1" t="s">
        <v>18</v>
      </c>
      <c r="C314" s="11">
        <v>20</v>
      </c>
      <c r="D314" s="11">
        <v>19.88</v>
      </c>
      <c r="E314" s="2">
        <f t="shared" si="8"/>
        <v>0.12000000000000099</v>
      </c>
      <c r="F314" s="11">
        <v>0.20799999999999999</v>
      </c>
      <c r="G314" s="3">
        <f t="shared" si="10"/>
        <v>1.6400000000000046E-2</v>
      </c>
    </row>
    <row r="315" spans="1:7" hidden="1">
      <c r="A315" s="1">
        <v>3</v>
      </c>
      <c r="B315" s="1" t="s">
        <v>18</v>
      </c>
      <c r="C315" s="11">
        <v>20</v>
      </c>
      <c r="D315" s="11">
        <v>19.93</v>
      </c>
      <c r="E315" s="2">
        <f t="shared" si="8"/>
        <v>7.0000000000000284E-2</v>
      </c>
      <c r="F315" s="11">
        <v>0.251</v>
      </c>
      <c r="G315" s="3">
        <f t="shared" si="10"/>
        <v>1.6050000000000016E-2</v>
      </c>
    </row>
    <row r="316" spans="1:7" hidden="1">
      <c r="A316" s="1">
        <v>4</v>
      </c>
      <c r="B316" s="1" t="s">
        <v>18</v>
      </c>
      <c r="C316" s="11">
        <v>40</v>
      </c>
      <c r="D316" s="11">
        <v>39.68</v>
      </c>
      <c r="E316" s="2">
        <f t="shared" si="8"/>
        <v>0.32000000000000028</v>
      </c>
      <c r="F316" s="11">
        <v>5.2999999999999999E-2</v>
      </c>
      <c r="G316" s="3">
        <f t="shared" si="10"/>
        <v>9.3250000000000069E-3</v>
      </c>
    </row>
    <row r="317" spans="1:7" hidden="1">
      <c r="A317" s="1">
        <v>5</v>
      </c>
      <c r="B317" s="1" t="s">
        <v>18</v>
      </c>
      <c r="C317" s="11">
        <v>60</v>
      </c>
      <c r="D317" s="11">
        <v>59.77</v>
      </c>
      <c r="E317" s="2">
        <f t="shared" si="8"/>
        <v>0.22999999999999687</v>
      </c>
      <c r="F317" s="11">
        <v>0.32800000000000001</v>
      </c>
      <c r="G317" s="3">
        <f t="shared" si="10"/>
        <v>9.2999999999999489E-3</v>
      </c>
    </row>
    <row r="318" spans="1:7" hidden="1">
      <c r="A318" s="1">
        <v>6</v>
      </c>
      <c r="B318" s="1" t="s">
        <v>18</v>
      </c>
      <c r="C318" s="11">
        <v>0</v>
      </c>
      <c r="D318" s="11">
        <v>0</v>
      </c>
      <c r="E318" s="2">
        <f t="shared" si="8"/>
        <v>0</v>
      </c>
      <c r="F318" s="11">
        <v>0.152</v>
      </c>
      <c r="G318" s="3" t="e">
        <f t="shared" si="10"/>
        <v>#DIV/0!</v>
      </c>
    </row>
    <row r="319" spans="1:7" hidden="1">
      <c r="A319" s="1">
        <v>7</v>
      </c>
      <c r="B319" s="1" t="s">
        <v>18</v>
      </c>
      <c r="C319" s="11">
        <v>20</v>
      </c>
      <c r="D319" s="11">
        <v>19.86</v>
      </c>
      <c r="E319" s="2">
        <f t="shared" si="8"/>
        <v>0.14000000000000057</v>
      </c>
      <c r="F319" s="11">
        <v>2.2000000000002018E-2</v>
      </c>
      <c r="G319" s="3">
        <f t="shared" si="10"/>
        <v>8.1000000000001297E-3</v>
      </c>
    </row>
    <row r="320" spans="1:7" hidden="1">
      <c r="A320" s="1">
        <v>10</v>
      </c>
      <c r="B320" s="1" t="s">
        <v>18</v>
      </c>
      <c r="C320" s="11">
        <v>0</v>
      </c>
      <c r="D320" s="11">
        <v>0</v>
      </c>
      <c r="E320" s="2">
        <f t="shared" si="8"/>
        <v>0</v>
      </c>
      <c r="F320" s="11">
        <v>0.11100000000000065</v>
      </c>
      <c r="G320" s="3" t="e">
        <f t="shared" si="10"/>
        <v>#DIV/0!</v>
      </c>
    </row>
    <row r="321" spans="1:7" hidden="1">
      <c r="A321" s="1">
        <v>8</v>
      </c>
      <c r="B321" s="1" t="s">
        <v>18</v>
      </c>
      <c r="C321" s="11">
        <v>40</v>
      </c>
      <c r="D321" s="11">
        <v>39.74</v>
      </c>
      <c r="E321" s="2">
        <f t="shared" si="8"/>
        <v>0.25999999999999801</v>
      </c>
      <c r="F321" s="11">
        <v>0.13800000000000001</v>
      </c>
      <c r="G321" s="3">
        <f t="shared" si="10"/>
        <v>9.9499999999999502E-3</v>
      </c>
    </row>
    <row r="322" spans="1:7" hidden="1">
      <c r="A322" s="1">
        <v>9</v>
      </c>
      <c r="B322" s="1" t="s">
        <v>18</v>
      </c>
      <c r="C322" s="11">
        <v>40</v>
      </c>
      <c r="D322" s="11">
        <v>39.9</v>
      </c>
      <c r="E322" s="2">
        <f t="shared" si="8"/>
        <v>0.10000000000000142</v>
      </c>
      <c r="F322" s="11">
        <v>0.28000000000000003</v>
      </c>
      <c r="G322" s="3">
        <f t="shared" si="10"/>
        <v>9.5000000000000362E-3</v>
      </c>
    </row>
    <row r="323" spans="1:7" hidden="1">
      <c r="A323" s="1">
        <v>11</v>
      </c>
      <c r="B323" s="1" t="s">
        <v>18</v>
      </c>
      <c r="C323" s="11">
        <v>40</v>
      </c>
      <c r="D323" s="11">
        <v>39.97</v>
      </c>
      <c r="E323" s="2">
        <f t="shared" si="8"/>
        <v>3.0000000000001137E-2</v>
      </c>
      <c r="F323" s="11">
        <v>0.21199999999999974</v>
      </c>
      <c r="G323" s="3">
        <f t="shared" si="10"/>
        <v>6.0500000000000224E-3</v>
      </c>
    </row>
    <row r="324" spans="1:7" hidden="1">
      <c r="A324" s="1">
        <v>12</v>
      </c>
      <c r="B324" s="1" t="s">
        <v>18</v>
      </c>
      <c r="C324" s="11">
        <v>40</v>
      </c>
      <c r="D324" s="11">
        <v>39.99</v>
      </c>
      <c r="E324" s="2">
        <f t="shared" ref="E324:E387" si="11">C324-D324</f>
        <v>9.9999999999980105E-3</v>
      </c>
      <c r="F324" s="11">
        <v>0.42999999999999972</v>
      </c>
      <c r="G324" s="3">
        <f t="shared" si="10"/>
        <v>1.0999999999999944E-2</v>
      </c>
    </row>
    <row r="325" spans="1:7" hidden="1">
      <c r="A325" s="1">
        <v>13</v>
      </c>
      <c r="B325" s="1" t="s">
        <v>18</v>
      </c>
      <c r="C325" s="11">
        <v>20</v>
      </c>
      <c r="D325" s="11">
        <v>19.98</v>
      </c>
      <c r="E325" s="2">
        <f t="shared" si="11"/>
        <v>1.9999999999999574E-2</v>
      </c>
      <c r="F325" s="11">
        <v>0.14800000000000324</v>
      </c>
      <c r="G325" s="3">
        <f t="shared" si="10"/>
        <v>8.40000000000014E-3</v>
      </c>
    </row>
    <row r="326" spans="1:7" hidden="1">
      <c r="A326" s="1">
        <v>14</v>
      </c>
      <c r="B326" s="1" t="s">
        <v>18</v>
      </c>
      <c r="C326" s="11">
        <v>20</v>
      </c>
      <c r="D326" s="11">
        <v>19.89</v>
      </c>
      <c r="E326" s="2">
        <f t="shared" si="11"/>
        <v>0.10999999999999943</v>
      </c>
      <c r="F326" s="11">
        <v>6.1999999999997613E-2</v>
      </c>
      <c r="G326" s="3">
        <f t="shared" si="10"/>
        <v>8.5999999999998526E-3</v>
      </c>
    </row>
    <row r="327" spans="1:7" hidden="1">
      <c r="A327" s="1">
        <v>15</v>
      </c>
      <c r="B327" s="1" t="s">
        <v>18</v>
      </c>
      <c r="C327" s="11">
        <v>40</v>
      </c>
      <c r="D327" s="11">
        <v>39.68</v>
      </c>
      <c r="E327" s="2">
        <f t="shared" si="11"/>
        <v>0.32000000000000028</v>
      </c>
      <c r="F327" s="11">
        <v>7.2000000000000952E-2</v>
      </c>
      <c r="G327" s="3">
        <f t="shared" si="10"/>
        <v>9.8000000000000309E-3</v>
      </c>
    </row>
    <row r="328" spans="1:7" hidden="1">
      <c r="A328" s="1">
        <v>16</v>
      </c>
      <c r="B328" s="1" t="s">
        <v>18</v>
      </c>
      <c r="C328" s="11">
        <v>40</v>
      </c>
      <c r="D328" s="11">
        <v>39.909999999999997</v>
      </c>
      <c r="E328" s="2">
        <f t="shared" si="11"/>
        <v>9.0000000000003411E-2</v>
      </c>
      <c r="F328" s="11">
        <v>0.32300000000000001</v>
      </c>
      <c r="G328" s="3">
        <f t="shared" si="10"/>
        <v>1.0325000000000086E-2</v>
      </c>
    </row>
    <row r="329" spans="1:7" hidden="1">
      <c r="A329" s="1">
        <v>17</v>
      </c>
      <c r="B329" s="1" t="s">
        <v>18</v>
      </c>
      <c r="C329" s="11">
        <v>0</v>
      </c>
      <c r="D329" s="11">
        <v>0</v>
      </c>
      <c r="E329" s="2">
        <f t="shared" si="11"/>
        <v>0</v>
      </c>
      <c r="F329" s="11">
        <v>0.14099999999999999</v>
      </c>
      <c r="G329" s="3" t="e">
        <f t="shared" si="10"/>
        <v>#DIV/0!</v>
      </c>
    </row>
    <row r="330" spans="1:7" hidden="1">
      <c r="A330" s="1">
        <v>18</v>
      </c>
      <c r="B330" s="1" t="s">
        <v>18</v>
      </c>
      <c r="C330" s="11">
        <v>40</v>
      </c>
      <c r="D330" s="11">
        <v>39.93</v>
      </c>
      <c r="E330" s="2">
        <f t="shared" si="11"/>
        <v>7.0000000000000284E-2</v>
      </c>
      <c r="F330" s="11">
        <v>0.28700000000000259</v>
      </c>
      <c r="G330" s="3">
        <f t="shared" si="10"/>
        <v>8.9250000000000718E-3</v>
      </c>
    </row>
    <row r="331" spans="1:7" hidden="1">
      <c r="A331" s="1">
        <v>19</v>
      </c>
      <c r="B331" s="1" t="s">
        <v>18</v>
      </c>
      <c r="C331" s="11">
        <v>20</v>
      </c>
      <c r="D331" s="11">
        <v>19.98</v>
      </c>
      <c r="E331" s="2">
        <f t="shared" si="11"/>
        <v>1.9999999999999574E-2</v>
      </c>
      <c r="F331" s="11">
        <v>0.17400000000000304</v>
      </c>
      <c r="G331" s="3">
        <f t="shared" si="10"/>
        <v>9.7000000000001304E-3</v>
      </c>
    </row>
    <row r="332" spans="1:7" hidden="1">
      <c r="A332" s="1">
        <v>20</v>
      </c>
      <c r="B332" s="1" t="s">
        <v>18</v>
      </c>
      <c r="C332" s="11">
        <v>40</v>
      </c>
      <c r="D332" s="11">
        <v>39.96</v>
      </c>
      <c r="E332" s="2">
        <f t="shared" si="11"/>
        <v>3.9999999999999147E-2</v>
      </c>
      <c r="F332" s="11">
        <v>0.32200000000000001</v>
      </c>
      <c r="G332" s="3">
        <f t="shared" si="10"/>
        <v>9.0499999999999782E-3</v>
      </c>
    </row>
    <row r="333" spans="1:7" hidden="1">
      <c r="A333" s="1">
        <v>21</v>
      </c>
      <c r="B333" s="1" t="s">
        <v>18</v>
      </c>
      <c r="C333" s="11">
        <v>20</v>
      </c>
      <c r="D333" s="11">
        <v>19.850000000000001</v>
      </c>
      <c r="E333" s="2">
        <f t="shared" si="11"/>
        <v>0.14999999999999858</v>
      </c>
      <c r="F333" s="11">
        <v>4.2999999999999997E-2</v>
      </c>
      <c r="G333" s="3">
        <f t="shared" si="10"/>
        <v>9.6499999999999277E-3</v>
      </c>
    </row>
    <row r="334" spans="1:7" hidden="1">
      <c r="A334" s="1">
        <v>22</v>
      </c>
      <c r="B334" s="1" t="s">
        <v>18</v>
      </c>
      <c r="C334" s="11">
        <v>20</v>
      </c>
      <c r="D334" s="11">
        <v>19.96</v>
      </c>
      <c r="E334" s="2">
        <f t="shared" si="11"/>
        <v>3.9999999999999147E-2</v>
      </c>
      <c r="F334" s="11">
        <v>0.152</v>
      </c>
      <c r="G334" s="3">
        <f t="shared" si="10"/>
        <v>9.5999999999999575E-3</v>
      </c>
    </row>
    <row r="335" spans="1:7" hidden="1">
      <c r="A335" s="1">
        <v>23</v>
      </c>
      <c r="B335" s="1" t="s">
        <v>18</v>
      </c>
      <c r="C335" s="11">
        <v>20</v>
      </c>
      <c r="D335" s="11">
        <v>19.93</v>
      </c>
      <c r="E335" s="2">
        <f t="shared" si="11"/>
        <v>7.0000000000000284E-2</v>
      </c>
      <c r="F335" s="11">
        <v>0.125</v>
      </c>
      <c r="G335" s="3">
        <f t="shared" si="10"/>
        <v>9.7500000000000139E-3</v>
      </c>
    </row>
    <row r="336" spans="1:7" hidden="1">
      <c r="A336" s="1">
        <v>24</v>
      </c>
      <c r="B336" s="1" t="s">
        <v>18</v>
      </c>
      <c r="C336" s="11">
        <v>40</v>
      </c>
      <c r="D336" s="11">
        <v>39.880000000000003</v>
      </c>
      <c r="E336" s="2">
        <f t="shared" si="11"/>
        <v>0.11999999999999744</v>
      </c>
      <c r="F336" s="11">
        <v>0.27400000000000002</v>
      </c>
      <c r="G336" s="3">
        <f t="shared" si="10"/>
        <v>9.8499999999999369E-3</v>
      </c>
    </row>
    <row r="337" spans="1:7" hidden="1">
      <c r="A337" s="1">
        <v>25</v>
      </c>
      <c r="B337" s="1" t="s">
        <v>18</v>
      </c>
      <c r="C337" s="11">
        <v>95</v>
      </c>
      <c r="D337" s="11">
        <v>94.77</v>
      </c>
      <c r="E337" s="2">
        <f t="shared" si="11"/>
        <v>0.23000000000000398</v>
      </c>
      <c r="F337" s="11">
        <v>0.70699999999999996</v>
      </c>
      <c r="G337" s="3">
        <f t="shared" si="10"/>
        <v>9.8631578947368844E-3</v>
      </c>
    </row>
    <row r="338" spans="1:7" hidden="1">
      <c r="A338" s="1">
        <v>26</v>
      </c>
      <c r="B338" s="1" t="s">
        <v>18</v>
      </c>
      <c r="C338" s="11">
        <v>0</v>
      </c>
      <c r="D338" s="11">
        <v>0</v>
      </c>
      <c r="E338" s="2">
        <f t="shared" si="11"/>
        <v>0</v>
      </c>
      <c r="F338" s="11">
        <v>0.16</v>
      </c>
      <c r="G338" s="3" t="e">
        <f t="shared" si="10"/>
        <v>#DIV/0!</v>
      </c>
    </row>
    <row r="339" spans="1:7" hidden="1">
      <c r="A339" s="1">
        <v>27</v>
      </c>
      <c r="B339" s="1" t="s">
        <v>18</v>
      </c>
      <c r="C339" s="11">
        <v>0</v>
      </c>
      <c r="D339" s="11">
        <v>0</v>
      </c>
      <c r="E339" s="2">
        <f t="shared" si="11"/>
        <v>0</v>
      </c>
      <c r="F339" s="11">
        <v>0.20599999999999999</v>
      </c>
      <c r="G339" s="3" t="e">
        <f t="shared" si="10"/>
        <v>#DIV/0!</v>
      </c>
    </row>
    <row r="340" spans="1:7" hidden="1">
      <c r="A340" s="1">
        <v>28</v>
      </c>
      <c r="B340" s="1" t="s">
        <v>18</v>
      </c>
      <c r="C340" s="11">
        <v>25</v>
      </c>
      <c r="D340" s="11">
        <v>24.86</v>
      </c>
      <c r="E340" s="2">
        <f t="shared" si="11"/>
        <v>0.14000000000000057</v>
      </c>
      <c r="F340" s="11">
        <v>0.04</v>
      </c>
      <c r="G340" s="3">
        <f t="shared" si="10"/>
        <v>7.2000000000000232E-3</v>
      </c>
    </row>
    <row r="341" spans="1:7" hidden="1">
      <c r="A341" s="1">
        <v>29</v>
      </c>
      <c r="B341" s="1" t="s">
        <v>18</v>
      </c>
      <c r="C341" s="11">
        <v>0</v>
      </c>
      <c r="D341" s="11">
        <v>0</v>
      </c>
      <c r="E341" s="2">
        <f t="shared" si="11"/>
        <v>0</v>
      </c>
      <c r="F341" s="11">
        <v>0.04</v>
      </c>
      <c r="G341" s="3" t="e">
        <f t="shared" si="10"/>
        <v>#DIV/0!</v>
      </c>
    </row>
    <row r="342" spans="1:7" hidden="1">
      <c r="A342" s="1">
        <v>30</v>
      </c>
      <c r="B342" s="1" t="s">
        <v>18</v>
      </c>
      <c r="C342" s="11">
        <v>25</v>
      </c>
      <c r="D342" s="11">
        <v>24.9</v>
      </c>
      <c r="E342" s="2">
        <f t="shared" si="11"/>
        <v>0.10000000000000142</v>
      </c>
      <c r="F342" s="11">
        <v>0.14599999999999999</v>
      </c>
      <c r="G342" s="3">
        <f t="shared" si="10"/>
        <v>9.840000000000057E-3</v>
      </c>
    </row>
    <row r="343" spans="1:7" hidden="1">
      <c r="A343" s="1">
        <v>31</v>
      </c>
      <c r="B343" s="1" t="s">
        <v>18</v>
      </c>
      <c r="C343" s="11">
        <v>25</v>
      </c>
      <c r="D343" s="11">
        <v>24.93</v>
      </c>
      <c r="E343" s="2">
        <f t="shared" si="11"/>
        <v>7.0000000000000284E-2</v>
      </c>
      <c r="F343" s="11">
        <v>0.21</v>
      </c>
      <c r="G343" s="3">
        <f t="shared" si="10"/>
        <v>1.120000000000001E-2</v>
      </c>
    </row>
    <row r="344" spans="1:7" hidden="1">
      <c r="A344" s="1">
        <v>1</v>
      </c>
      <c r="B344" s="1" t="s">
        <v>19</v>
      </c>
      <c r="C344" s="11">
        <v>20</v>
      </c>
      <c r="D344" s="11">
        <v>19.63</v>
      </c>
      <c r="E344" s="2">
        <f t="shared" si="11"/>
        <v>0.37000000000000099</v>
      </c>
      <c r="F344" s="11">
        <v>0.182</v>
      </c>
      <c r="G344" s="3">
        <f t="shared" si="10"/>
        <v>2.7600000000000048E-2</v>
      </c>
    </row>
    <row r="345" spans="1:7" hidden="1">
      <c r="A345" s="1">
        <v>2</v>
      </c>
      <c r="B345" s="1" t="s">
        <v>19</v>
      </c>
      <c r="C345" s="11">
        <v>20</v>
      </c>
      <c r="D345" s="11">
        <v>19.84</v>
      </c>
      <c r="E345" s="2">
        <f t="shared" si="11"/>
        <v>0.16000000000000014</v>
      </c>
      <c r="F345" s="11">
        <v>0.105</v>
      </c>
      <c r="G345" s="3">
        <f t="shared" si="10"/>
        <v>1.3250000000000007E-2</v>
      </c>
    </row>
    <row r="346" spans="1:7" hidden="1">
      <c r="A346" s="1">
        <v>3</v>
      </c>
      <c r="B346" s="1" t="s">
        <v>19</v>
      </c>
      <c r="C346" s="11">
        <v>40</v>
      </c>
      <c r="D346" s="11">
        <v>39.54</v>
      </c>
      <c r="E346" s="2">
        <f t="shared" si="11"/>
        <v>0.46000000000000085</v>
      </c>
      <c r="F346" s="11">
        <v>0.10199999999999999</v>
      </c>
      <c r="G346" s="3">
        <f t="shared" si="10"/>
        <v>1.4050000000000021E-2</v>
      </c>
    </row>
    <row r="347" spans="1:7" hidden="1">
      <c r="A347" s="1">
        <v>4</v>
      </c>
      <c r="B347" s="1" t="s">
        <v>19</v>
      </c>
      <c r="C347" s="11">
        <v>20</v>
      </c>
      <c r="D347" s="11">
        <v>19.899999999999999</v>
      </c>
      <c r="E347" s="2">
        <f t="shared" si="11"/>
        <v>0.10000000000000142</v>
      </c>
      <c r="F347" s="11">
        <v>0.122</v>
      </c>
      <c r="G347" s="3">
        <f t="shared" si="10"/>
        <v>1.1100000000000072E-2</v>
      </c>
    </row>
    <row r="348" spans="1:7" hidden="1">
      <c r="A348" s="1">
        <v>5</v>
      </c>
      <c r="B348" s="1" t="s">
        <v>19</v>
      </c>
      <c r="C348" s="11">
        <v>0</v>
      </c>
      <c r="D348" s="11">
        <v>0</v>
      </c>
      <c r="E348" s="2">
        <f t="shared" si="11"/>
        <v>0</v>
      </c>
      <c r="F348" s="11">
        <v>0.21</v>
      </c>
      <c r="G348" s="3" t="e">
        <f t="shared" si="10"/>
        <v>#DIV/0!</v>
      </c>
    </row>
    <row r="349" spans="1:7" hidden="1">
      <c r="A349" s="1">
        <v>6</v>
      </c>
      <c r="B349" s="1" t="s">
        <v>19</v>
      </c>
      <c r="C349" s="11">
        <v>20</v>
      </c>
      <c r="D349" s="11">
        <v>19.78</v>
      </c>
      <c r="E349" s="2">
        <f t="shared" si="11"/>
        <v>0.21999999999999886</v>
      </c>
      <c r="F349" s="11">
        <v>0.10199999999999999</v>
      </c>
      <c r="G349" s="3">
        <f t="shared" si="10"/>
        <v>1.6099999999999941E-2</v>
      </c>
    </row>
    <row r="350" spans="1:7" hidden="1">
      <c r="A350" s="1">
        <v>7</v>
      </c>
      <c r="B350" s="1" t="s">
        <v>19</v>
      </c>
      <c r="C350" s="11">
        <v>0</v>
      </c>
      <c r="D350" s="11">
        <v>0</v>
      </c>
      <c r="E350" s="2">
        <f t="shared" si="11"/>
        <v>0</v>
      </c>
      <c r="F350" s="11">
        <v>0.106</v>
      </c>
      <c r="G350" s="3" t="e">
        <f t="shared" si="10"/>
        <v>#DIV/0!</v>
      </c>
    </row>
    <row r="351" spans="1:7" hidden="1">
      <c r="A351" s="1">
        <v>10</v>
      </c>
      <c r="B351" s="1" t="s">
        <v>19</v>
      </c>
      <c r="C351" s="11">
        <v>0</v>
      </c>
      <c r="D351" s="11">
        <v>0</v>
      </c>
      <c r="E351" s="2">
        <f t="shared" si="11"/>
        <v>0</v>
      </c>
      <c r="F351" s="11">
        <v>0.105</v>
      </c>
      <c r="G351" s="3" t="e">
        <f t="shared" si="10"/>
        <v>#DIV/0!</v>
      </c>
    </row>
    <row r="352" spans="1:7" hidden="1">
      <c r="A352" s="1">
        <v>8</v>
      </c>
      <c r="B352" s="1" t="s">
        <v>19</v>
      </c>
      <c r="C352" s="11">
        <v>20</v>
      </c>
      <c r="D352" s="11">
        <v>19.72</v>
      </c>
      <c r="E352" s="2">
        <f t="shared" si="11"/>
        <v>0.28000000000000114</v>
      </c>
      <c r="F352" s="11">
        <v>0.188</v>
      </c>
      <c r="G352" s="3">
        <f t="shared" si="10"/>
        <v>2.3400000000000056E-2</v>
      </c>
    </row>
    <row r="353" spans="1:7" hidden="1">
      <c r="A353" s="1">
        <v>9</v>
      </c>
      <c r="B353" s="1" t="s">
        <v>19</v>
      </c>
      <c r="C353" s="11">
        <v>20</v>
      </c>
      <c r="D353" s="11">
        <v>19.72</v>
      </c>
      <c r="E353" s="2">
        <f t="shared" si="11"/>
        <v>0.28000000000000114</v>
      </c>
      <c r="F353" s="11">
        <v>0.10199999999999999</v>
      </c>
      <c r="G353" s="3">
        <f t="shared" si="10"/>
        <v>1.9100000000000054E-2</v>
      </c>
    </row>
    <row r="354" spans="1:7" hidden="1">
      <c r="A354" s="1">
        <v>11</v>
      </c>
      <c r="B354" s="1" t="s">
        <v>19</v>
      </c>
      <c r="C354" s="11">
        <v>20</v>
      </c>
      <c r="D354" s="11">
        <v>19.61</v>
      </c>
      <c r="E354" s="2">
        <f t="shared" si="11"/>
        <v>0.39000000000000057</v>
      </c>
      <c r="F354" s="11">
        <v>0.105</v>
      </c>
      <c r="G354" s="3">
        <f t="shared" si="10"/>
        <v>2.4750000000000029E-2</v>
      </c>
    </row>
    <row r="355" spans="1:7" hidden="1">
      <c r="A355" s="1">
        <v>12</v>
      </c>
      <c r="B355" s="1" t="s">
        <v>19</v>
      </c>
      <c r="C355" s="11">
        <v>40</v>
      </c>
      <c r="D355" s="11">
        <v>39.64</v>
      </c>
      <c r="E355" s="2">
        <f t="shared" si="11"/>
        <v>0.35999999999999943</v>
      </c>
      <c r="F355" s="11">
        <v>0.10199999999999999</v>
      </c>
      <c r="G355" s="3">
        <f t="shared" si="10"/>
        <v>1.1549999999999986E-2</v>
      </c>
    </row>
    <row r="356" spans="1:7" hidden="1">
      <c r="A356" s="1">
        <v>13</v>
      </c>
      <c r="B356" s="1" t="s">
        <v>19</v>
      </c>
      <c r="C356" s="11">
        <v>0</v>
      </c>
      <c r="D356" s="11">
        <v>0</v>
      </c>
      <c r="E356" s="2">
        <f t="shared" si="11"/>
        <v>0</v>
      </c>
      <c r="F356" s="11">
        <v>0.10199999999999999</v>
      </c>
      <c r="G356" s="3" t="e">
        <f t="shared" si="10"/>
        <v>#DIV/0!</v>
      </c>
    </row>
    <row r="357" spans="1:7" hidden="1">
      <c r="A357" s="1">
        <v>14</v>
      </c>
      <c r="B357" s="1" t="s">
        <v>19</v>
      </c>
      <c r="C357" s="11">
        <v>0</v>
      </c>
      <c r="D357" s="11">
        <v>0</v>
      </c>
      <c r="E357" s="2">
        <f t="shared" si="11"/>
        <v>0</v>
      </c>
      <c r="F357" s="11">
        <v>0</v>
      </c>
      <c r="G357" s="3" t="e">
        <f t="shared" ref="G357:G420" si="12">(E357+F357)/C357</f>
        <v>#DIV/0!</v>
      </c>
    </row>
    <row r="358" spans="1:7" hidden="1">
      <c r="A358" s="1">
        <v>15</v>
      </c>
      <c r="B358" s="1" t="s">
        <v>19</v>
      </c>
      <c r="C358" s="11">
        <v>0</v>
      </c>
      <c r="D358" s="11">
        <v>0</v>
      </c>
      <c r="E358" s="2">
        <f t="shared" si="11"/>
        <v>0</v>
      </c>
      <c r="F358" s="11">
        <v>0.125</v>
      </c>
      <c r="G358" s="3" t="e">
        <f t="shared" si="12"/>
        <v>#DIV/0!</v>
      </c>
    </row>
    <row r="359" spans="1:7" hidden="1">
      <c r="A359" s="1">
        <v>16</v>
      </c>
      <c r="B359" s="1" t="s">
        <v>19</v>
      </c>
      <c r="C359" s="11">
        <v>0</v>
      </c>
      <c r="D359" s="11">
        <v>0</v>
      </c>
      <c r="E359" s="2">
        <f t="shared" si="11"/>
        <v>0</v>
      </c>
      <c r="F359" s="11">
        <v>0.108</v>
      </c>
      <c r="G359" s="3" t="e">
        <f t="shared" si="12"/>
        <v>#DIV/0!</v>
      </c>
    </row>
    <row r="360" spans="1:7" hidden="1">
      <c r="A360" s="1">
        <v>17</v>
      </c>
      <c r="B360" s="1" t="s">
        <v>19</v>
      </c>
      <c r="C360" s="11">
        <v>0</v>
      </c>
      <c r="D360" s="11">
        <v>0</v>
      </c>
      <c r="E360" s="2">
        <f t="shared" si="11"/>
        <v>0</v>
      </c>
      <c r="F360" s="11">
        <v>0.125</v>
      </c>
      <c r="G360" s="3" t="e">
        <f t="shared" si="12"/>
        <v>#DIV/0!</v>
      </c>
    </row>
    <row r="361" spans="1:7" hidden="1">
      <c r="A361" s="1">
        <v>18</v>
      </c>
      <c r="B361" s="1" t="s">
        <v>19</v>
      </c>
      <c r="C361" s="11">
        <v>25</v>
      </c>
      <c r="D361" s="11">
        <v>24.74</v>
      </c>
      <c r="E361" s="2">
        <f t="shared" si="11"/>
        <v>0.26000000000000156</v>
      </c>
      <c r="F361" s="11">
        <v>0.2</v>
      </c>
      <c r="G361" s="3">
        <f t="shared" si="12"/>
        <v>1.8400000000000062E-2</v>
      </c>
    </row>
    <row r="362" spans="1:7" hidden="1">
      <c r="A362" s="1">
        <v>19</v>
      </c>
      <c r="B362" s="1" t="s">
        <v>19</v>
      </c>
      <c r="C362" s="11">
        <v>25</v>
      </c>
      <c r="D362" s="11">
        <v>24.66</v>
      </c>
      <c r="E362" s="2">
        <f t="shared" si="11"/>
        <v>0.33999999999999986</v>
      </c>
      <c r="F362" s="11">
        <v>0.156</v>
      </c>
      <c r="G362" s="3">
        <f t="shared" si="12"/>
        <v>1.9839999999999997E-2</v>
      </c>
    </row>
    <row r="363" spans="1:7" hidden="1">
      <c r="A363" s="1">
        <v>20</v>
      </c>
      <c r="B363" s="1" t="s">
        <v>19</v>
      </c>
      <c r="C363" s="11">
        <v>25</v>
      </c>
      <c r="D363" s="11">
        <v>24.58</v>
      </c>
      <c r="E363" s="2">
        <f t="shared" si="11"/>
        <v>0.42000000000000171</v>
      </c>
      <c r="F363" s="11">
        <v>0.21199999999999999</v>
      </c>
      <c r="G363" s="3">
        <f t="shared" si="12"/>
        <v>2.5280000000000066E-2</v>
      </c>
    </row>
    <row r="364" spans="1:7" hidden="1">
      <c r="A364" s="1">
        <v>21</v>
      </c>
      <c r="B364" s="1" t="s">
        <v>19</v>
      </c>
      <c r="C364" s="11">
        <v>25</v>
      </c>
      <c r="D364" s="11">
        <v>24.62</v>
      </c>
      <c r="E364" s="2">
        <f t="shared" si="11"/>
        <v>0.37999999999999901</v>
      </c>
      <c r="F364" s="11">
        <v>0.115</v>
      </c>
      <c r="G364" s="3">
        <f t="shared" si="12"/>
        <v>1.979999999999996E-2</v>
      </c>
    </row>
    <row r="365" spans="1:7" hidden="1">
      <c r="A365" s="1">
        <v>22</v>
      </c>
      <c r="B365" s="1" t="s">
        <v>19</v>
      </c>
      <c r="C365" s="11">
        <v>25</v>
      </c>
      <c r="D365" s="11">
        <v>24.89</v>
      </c>
      <c r="E365" s="2">
        <f t="shared" si="11"/>
        <v>0.10999999999999943</v>
      </c>
      <c r="F365" s="11">
        <v>0.122</v>
      </c>
      <c r="G365" s="3">
        <f t="shared" si="12"/>
        <v>9.2799999999999775E-3</v>
      </c>
    </row>
    <row r="366" spans="1:7" hidden="1">
      <c r="A366" s="1">
        <v>23</v>
      </c>
      <c r="B366" s="1" t="s">
        <v>19</v>
      </c>
      <c r="C366" s="11">
        <v>0</v>
      </c>
      <c r="D366" s="11">
        <v>0</v>
      </c>
      <c r="E366" s="2">
        <f t="shared" si="11"/>
        <v>0</v>
      </c>
      <c r="F366" s="11">
        <v>0.21199999999999999</v>
      </c>
      <c r="G366" s="3" t="e">
        <f t="shared" si="12"/>
        <v>#DIV/0!</v>
      </c>
    </row>
    <row r="367" spans="1:7" hidden="1">
      <c r="A367" s="1">
        <v>24</v>
      </c>
      <c r="B367" s="1" t="s">
        <v>19</v>
      </c>
      <c r="C367" s="11">
        <v>25</v>
      </c>
      <c r="D367" s="11">
        <v>24.86</v>
      </c>
      <c r="E367" s="2">
        <f t="shared" si="11"/>
        <v>0.14000000000000057</v>
      </c>
      <c r="F367" s="11">
        <v>0.105</v>
      </c>
      <c r="G367" s="3">
        <f t="shared" si="12"/>
        <v>9.8000000000000222E-3</v>
      </c>
    </row>
    <row r="368" spans="1:7" hidden="1">
      <c r="A368" s="1">
        <v>25</v>
      </c>
      <c r="B368" s="1" t="s">
        <v>19</v>
      </c>
      <c r="C368" s="11">
        <v>0</v>
      </c>
      <c r="D368" s="11">
        <v>0</v>
      </c>
      <c r="E368" s="2">
        <f t="shared" si="11"/>
        <v>0</v>
      </c>
      <c r="F368" s="11">
        <v>0</v>
      </c>
      <c r="G368" s="3" t="e">
        <f t="shared" si="12"/>
        <v>#DIV/0!</v>
      </c>
    </row>
    <row r="369" spans="1:7" hidden="1">
      <c r="A369" s="1">
        <v>26</v>
      </c>
      <c r="B369" s="1" t="s">
        <v>19</v>
      </c>
      <c r="C369" s="11">
        <v>0</v>
      </c>
      <c r="D369" s="11">
        <v>0</v>
      </c>
      <c r="E369" s="2">
        <f t="shared" si="11"/>
        <v>0</v>
      </c>
      <c r="F369" s="11">
        <v>0</v>
      </c>
      <c r="G369" s="3" t="e">
        <f t="shared" si="12"/>
        <v>#DIV/0!</v>
      </c>
    </row>
    <row r="370" spans="1:7" hidden="1">
      <c r="A370" s="1">
        <v>27</v>
      </c>
      <c r="B370" s="1" t="s">
        <v>19</v>
      </c>
      <c r="C370" s="11">
        <v>0</v>
      </c>
      <c r="D370" s="11">
        <v>0</v>
      </c>
      <c r="E370" s="2">
        <f t="shared" si="11"/>
        <v>0</v>
      </c>
      <c r="F370" s="11">
        <v>0</v>
      </c>
      <c r="G370" s="3" t="e">
        <f t="shared" si="12"/>
        <v>#DIV/0!</v>
      </c>
    </row>
    <row r="371" spans="1:7" hidden="1">
      <c r="A371" s="1">
        <v>28</v>
      </c>
      <c r="B371" s="1" t="s">
        <v>19</v>
      </c>
      <c r="C371" s="11">
        <v>0</v>
      </c>
      <c r="D371" s="11">
        <v>0</v>
      </c>
      <c r="E371" s="2">
        <f t="shared" si="11"/>
        <v>0</v>
      </c>
      <c r="F371" s="11">
        <v>0</v>
      </c>
      <c r="G371" s="3" t="e">
        <f t="shared" si="12"/>
        <v>#DIV/0!</v>
      </c>
    </row>
    <row r="372" spans="1:7" hidden="1">
      <c r="A372" s="1">
        <v>29</v>
      </c>
      <c r="B372" s="1" t="s">
        <v>19</v>
      </c>
      <c r="C372" s="11">
        <v>25</v>
      </c>
      <c r="D372" s="11">
        <v>24.87</v>
      </c>
      <c r="E372" s="2">
        <f t="shared" si="11"/>
        <v>0.12999999999999901</v>
      </c>
      <c r="F372" s="11">
        <v>0.113</v>
      </c>
      <c r="G372" s="3">
        <f t="shared" si="12"/>
        <v>9.7199999999999596E-3</v>
      </c>
    </row>
    <row r="373" spans="1:7" hidden="1">
      <c r="A373" s="1">
        <v>30</v>
      </c>
      <c r="B373" s="1" t="s">
        <v>19</v>
      </c>
      <c r="C373" s="11">
        <v>0</v>
      </c>
      <c r="D373" s="11">
        <v>0</v>
      </c>
      <c r="E373" s="2">
        <f t="shared" si="11"/>
        <v>0</v>
      </c>
      <c r="F373" s="11">
        <v>0</v>
      </c>
      <c r="G373" s="3" t="e">
        <f t="shared" si="12"/>
        <v>#DIV/0!</v>
      </c>
    </row>
    <row r="374" spans="1:7" hidden="1">
      <c r="A374" s="1">
        <v>31</v>
      </c>
      <c r="B374" s="1" t="s">
        <v>19</v>
      </c>
      <c r="C374" s="11">
        <v>0</v>
      </c>
      <c r="D374" s="11">
        <v>0</v>
      </c>
      <c r="E374" s="2">
        <f t="shared" si="11"/>
        <v>0</v>
      </c>
      <c r="F374" s="11">
        <v>0</v>
      </c>
      <c r="G374" s="3" t="e">
        <f t="shared" si="12"/>
        <v>#DIV/0!</v>
      </c>
    </row>
    <row r="375" spans="1:7" hidden="1">
      <c r="A375" s="1">
        <v>1</v>
      </c>
      <c r="B375" s="1" t="s">
        <v>20</v>
      </c>
      <c r="C375" s="11">
        <v>0</v>
      </c>
      <c r="D375" s="11">
        <v>0</v>
      </c>
      <c r="E375" s="2">
        <f t="shared" si="11"/>
        <v>0</v>
      </c>
      <c r="F375" s="11">
        <v>0.12</v>
      </c>
      <c r="G375" s="3" t="e">
        <f t="shared" si="12"/>
        <v>#DIV/0!</v>
      </c>
    </row>
    <row r="376" spans="1:7" hidden="1">
      <c r="A376" s="1">
        <v>2</v>
      </c>
      <c r="B376" s="1" t="s">
        <v>20</v>
      </c>
      <c r="C376" s="11">
        <v>20</v>
      </c>
      <c r="D376" s="11">
        <v>19.899999999999999</v>
      </c>
      <c r="E376" s="2">
        <f t="shared" si="11"/>
        <v>0.10000000000000142</v>
      </c>
      <c r="F376" s="11">
        <v>0.15</v>
      </c>
      <c r="G376" s="3">
        <f t="shared" si="12"/>
        <v>1.2500000000000072E-2</v>
      </c>
    </row>
    <row r="377" spans="1:7" hidden="1">
      <c r="A377" s="1">
        <v>3</v>
      </c>
      <c r="B377" s="1" t="s">
        <v>20</v>
      </c>
      <c r="C377" s="11">
        <v>0</v>
      </c>
      <c r="D377" s="11">
        <v>0</v>
      </c>
      <c r="E377" s="2">
        <f t="shared" si="11"/>
        <v>0</v>
      </c>
      <c r="F377" s="11">
        <v>0</v>
      </c>
      <c r="G377" s="3" t="e">
        <f t="shared" si="12"/>
        <v>#DIV/0!</v>
      </c>
    </row>
    <row r="378" spans="1:7" hidden="1">
      <c r="A378" s="1">
        <v>4</v>
      </c>
      <c r="B378" s="1" t="s">
        <v>20</v>
      </c>
      <c r="C378" s="11">
        <v>20</v>
      </c>
      <c r="D378" s="11">
        <v>19.940000000000001</v>
      </c>
      <c r="E378" s="2">
        <f t="shared" si="11"/>
        <v>5.9999999999998721E-2</v>
      </c>
      <c r="F378" s="11">
        <v>0</v>
      </c>
      <c r="G378" s="3">
        <f t="shared" si="12"/>
        <v>2.9999999999999359E-3</v>
      </c>
    </row>
    <row r="379" spans="1:7" hidden="1">
      <c r="A379" s="1">
        <v>5</v>
      </c>
      <c r="B379" s="1" t="s">
        <v>20</v>
      </c>
      <c r="C379" s="11">
        <v>0</v>
      </c>
      <c r="D379" s="11">
        <v>0</v>
      </c>
      <c r="E379" s="2">
        <f t="shared" si="11"/>
        <v>0</v>
      </c>
      <c r="F379" s="11">
        <v>0.23599999999999999</v>
      </c>
      <c r="G379" s="3" t="e">
        <f t="shared" si="12"/>
        <v>#DIV/0!</v>
      </c>
    </row>
    <row r="380" spans="1:7" hidden="1">
      <c r="A380" s="1">
        <v>6</v>
      </c>
      <c r="B380" s="1" t="s">
        <v>20</v>
      </c>
      <c r="C380" s="11">
        <v>20</v>
      </c>
      <c r="D380" s="11">
        <v>19.96</v>
      </c>
      <c r="E380" s="2">
        <f t="shared" si="11"/>
        <v>3.9999999999999147E-2</v>
      </c>
      <c r="F380" s="11">
        <v>0.14399999999999999</v>
      </c>
      <c r="G380" s="3">
        <f t="shared" si="12"/>
        <v>9.1999999999999565E-3</v>
      </c>
    </row>
    <row r="381" spans="1:7" hidden="1">
      <c r="A381" s="1">
        <v>7</v>
      </c>
      <c r="B381" s="1" t="s">
        <v>20</v>
      </c>
      <c r="C381" s="11">
        <v>0</v>
      </c>
      <c r="D381" s="11">
        <v>0</v>
      </c>
      <c r="E381" s="2">
        <f t="shared" si="11"/>
        <v>0</v>
      </c>
      <c r="F381" s="11">
        <v>7.0000000000000007E-2</v>
      </c>
      <c r="G381" s="3" t="e">
        <f t="shared" si="12"/>
        <v>#DIV/0!</v>
      </c>
    </row>
    <row r="382" spans="1:7" hidden="1">
      <c r="A382" s="1">
        <v>10</v>
      </c>
      <c r="B382" s="1" t="s">
        <v>20</v>
      </c>
      <c r="C382" s="11">
        <v>0</v>
      </c>
      <c r="D382" s="11">
        <v>0</v>
      </c>
      <c r="E382" s="2">
        <f t="shared" si="11"/>
        <v>0</v>
      </c>
      <c r="F382" s="11">
        <v>8.4000000000000005E-2</v>
      </c>
      <c r="G382" s="3" t="e">
        <f t="shared" si="12"/>
        <v>#DIV/0!</v>
      </c>
    </row>
    <row r="383" spans="1:7" hidden="1">
      <c r="A383" s="1">
        <v>8</v>
      </c>
      <c r="B383" s="1" t="s">
        <v>20</v>
      </c>
      <c r="C383" s="11">
        <v>20</v>
      </c>
      <c r="D383" s="11">
        <v>19.920000000000002</v>
      </c>
      <c r="E383" s="2">
        <f t="shared" si="11"/>
        <v>7.9999999999998295E-2</v>
      </c>
      <c r="F383" s="11">
        <v>0.122</v>
      </c>
      <c r="G383" s="3">
        <f t="shared" si="12"/>
        <v>1.0099999999999915E-2</v>
      </c>
    </row>
    <row r="384" spans="1:7" hidden="1">
      <c r="A384" s="1">
        <v>9</v>
      </c>
      <c r="B384" s="1" t="s">
        <v>20</v>
      </c>
      <c r="C384" s="11">
        <v>0</v>
      </c>
      <c r="D384" s="11">
        <v>0</v>
      </c>
      <c r="E384" s="2">
        <f t="shared" si="11"/>
        <v>0</v>
      </c>
      <c r="F384" s="11">
        <v>0.112</v>
      </c>
      <c r="G384" s="3" t="e">
        <f t="shared" si="12"/>
        <v>#DIV/0!</v>
      </c>
    </row>
    <row r="385" spans="1:7" hidden="1">
      <c r="A385" s="1">
        <v>11</v>
      </c>
      <c r="B385" s="1" t="s">
        <v>20</v>
      </c>
      <c r="C385" s="11">
        <v>0</v>
      </c>
      <c r="D385" s="11">
        <v>0</v>
      </c>
      <c r="E385" s="2">
        <f t="shared" si="11"/>
        <v>0</v>
      </c>
      <c r="F385" s="11">
        <v>0</v>
      </c>
      <c r="G385" s="3" t="e">
        <f t="shared" si="12"/>
        <v>#DIV/0!</v>
      </c>
    </row>
    <row r="386" spans="1:7" hidden="1">
      <c r="A386" s="1">
        <v>12</v>
      </c>
      <c r="B386" s="1" t="s">
        <v>20</v>
      </c>
      <c r="C386" s="11">
        <v>20</v>
      </c>
      <c r="D386" s="11">
        <v>19.98</v>
      </c>
      <c r="E386" s="2">
        <f t="shared" si="11"/>
        <v>1.9999999999999574E-2</v>
      </c>
      <c r="F386" s="11">
        <v>0.02</v>
      </c>
      <c r="G386" s="3">
        <f t="shared" si="12"/>
        <v>1.9999999999999788E-3</v>
      </c>
    </row>
    <row r="387" spans="1:7" hidden="1">
      <c r="A387" s="1">
        <v>13</v>
      </c>
      <c r="B387" s="1" t="s">
        <v>20</v>
      </c>
      <c r="C387" s="11">
        <v>0</v>
      </c>
      <c r="D387" s="11">
        <v>0</v>
      </c>
      <c r="E387" s="2">
        <f t="shared" si="11"/>
        <v>0</v>
      </c>
      <c r="F387" s="11">
        <v>4.2000000000000003E-2</v>
      </c>
      <c r="G387" s="3" t="e">
        <f t="shared" si="12"/>
        <v>#DIV/0!</v>
      </c>
    </row>
    <row r="388" spans="1:7" hidden="1">
      <c r="A388" s="1">
        <v>14</v>
      </c>
      <c r="B388" s="1" t="s">
        <v>20</v>
      </c>
      <c r="C388" s="11">
        <v>20</v>
      </c>
      <c r="D388" s="11">
        <v>19.920000000000002</v>
      </c>
      <c r="E388" s="2">
        <f t="shared" ref="E388:E451" si="13">C388-D388</f>
        <v>7.9999999999998295E-2</v>
      </c>
      <c r="F388" s="11">
        <v>3.1E-2</v>
      </c>
      <c r="G388" s="3">
        <f t="shared" si="12"/>
        <v>5.5499999999999144E-3</v>
      </c>
    </row>
    <row r="389" spans="1:7" hidden="1">
      <c r="A389" s="1">
        <v>15</v>
      </c>
      <c r="B389" s="1" t="s">
        <v>20</v>
      </c>
      <c r="C389" s="11">
        <v>0</v>
      </c>
      <c r="D389" s="11">
        <v>0</v>
      </c>
      <c r="E389" s="2">
        <f t="shared" si="13"/>
        <v>0</v>
      </c>
      <c r="F389" s="11">
        <v>7.0000000000000007E-2</v>
      </c>
      <c r="G389" s="3" t="e">
        <f t="shared" si="12"/>
        <v>#DIV/0!</v>
      </c>
    </row>
    <row r="390" spans="1:7" hidden="1">
      <c r="A390" s="1">
        <v>16</v>
      </c>
      <c r="B390" s="1" t="s">
        <v>20</v>
      </c>
      <c r="C390" s="11">
        <v>0</v>
      </c>
      <c r="D390" s="11">
        <v>0</v>
      </c>
      <c r="E390" s="2">
        <f t="shared" si="13"/>
        <v>0</v>
      </c>
      <c r="F390" s="11">
        <v>2.1999999999999999E-2</v>
      </c>
      <c r="G390" s="3" t="e">
        <f t="shared" si="12"/>
        <v>#DIV/0!</v>
      </c>
    </row>
    <row r="391" spans="1:7" hidden="1">
      <c r="A391" s="1">
        <v>17</v>
      </c>
      <c r="B391" s="1" t="s">
        <v>20</v>
      </c>
      <c r="C391" s="11">
        <v>0</v>
      </c>
      <c r="D391" s="11">
        <v>0</v>
      </c>
      <c r="E391" s="2">
        <f t="shared" si="13"/>
        <v>0</v>
      </c>
      <c r="F391" s="11">
        <v>0.122</v>
      </c>
      <c r="G391" s="3" t="e">
        <f t="shared" si="12"/>
        <v>#DIV/0!</v>
      </c>
    </row>
    <row r="392" spans="1:7" hidden="1">
      <c r="A392" s="1">
        <v>18</v>
      </c>
      <c r="B392" s="1" t="s">
        <v>20</v>
      </c>
      <c r="C392" s="11">
        <v>20</v>
      </c>
      <c r="D392" s="11">
        <v>19.899999999999999</v>
      </c>
      <c r="E392" s="2">
        <f t="shared" si="13"/>
        <v>0.10000000000000142</v>
      </c>
      <c r="F392" s="11">
        <v>0.122</v>
      </c>
      <c r="G392" s="3">
        <f t="shared" si="12"/>
        <v>1.1100000000000072E-2</v>
      </c>
    </row>
    <row r="393" spans="1:7" hidden="1">
      <c r="A393" s="1">
        <v>19</v>
      </c>
      <c r="B393" s="1" t="s">
        <v>20</v>
      </c>
      <c r="C393" s="11">
        <v>40</v>
      </c>
      <c r="D393" s="11">
        <v>39.82</v>
      </c>
      <c r="E393" s="2">
        <f t="shared" si="13"/>
        <v>0.17999999999999972</v>
      </c>
      <c r="F393" s="11">
        <v>2.0999999999999908E-2</v>
      </c>
      <c r="G393" s="3">
        <f t="shared" si="12"/>
        <v>5.0249999999999904E-3</v>
      </c>
    </row>
    <row r="394" spans="1:7" hidden="1">
      <c r="A394" s="1">
        <v>20</v>
      </c>
      <c r="B394" s="1" t="s">
        <v>20</v>
      </c>
      <c r="C394" s="11">
        <v>20</v>
      </c>
      <c r="D394" s="11">
        <v>19.96</v>
      </c>
      <c r="E394" s="2">
        <f t="shared" si="13"/>
        <v>3.9999999999999147E-2</v>
      </c>
      <c r="F394" s="11">
        <v>3.6999999999999034E-2</v>
      </c>
      <c r="G394" s="3">
        <f t="shared" si="12"/>
        <v>3.8499999999999091E-3</v>
      </c>
    </row>
    <row r="395" spans="1:7" hidden="1">
      <c r="A395" s="1">
        <v>21</v>
      </c>
      <c r="B395" s="1" t="s">
        <v>20</v>
      </c>
      <c r="C395" s="11">
        <v>0</v>
      </c>
      <c r="D395" s="11">
        <v>0</v>
      </c>
      <c r="E395" s="2">
        <f t="shared" si="13"/>
        <v>0</v>
      </c>
      <c r="F395" s="11">
        <v>1.2E-2</v>
      </c>
      <c r="G395" s="3" t="e">
        <f t="shared" si="12"/>
        <v>#DIV/0!</v>
      </c>
    </row>
    <row r="396" spans="1:7" hidden="1">
      <c r="A396" s="1">
        <v>22</v>
      </c>
      <c r="B396" s="1" t="s">
        <v>20</v>
      </c>
      <c r="C396" s="11">
        <v>0</v>
      </c>
      <c r="D396" s="11">
        <v>0</v>
      </c>
      <c r="E396" s="2">
        <f t="shared" si="13"/>
        <v>0</v>
      </c>
      <c r="F396" s="11">
        <v>2.1000000000000001E-2</v>
      </c>
      <c r="G396" s="3" t="e">
        <f t="shared" si="12"/>
        <v>#DIV/0!</v>
      </c>
    </row>
    <row r="397" spans="1:7" hidden="1">
      <c r="A397" s="1">
        <v>23</v>
      </c>
      <c r="B397" s="1" t="s">
        <v>20</v>
      </c>
      <c r="C397" s="11">
        <v>0</v>
      </c>
      <c r="D397" s="11">
        <v>0</v>
      </c>
      <c r="E397" s="2">
        <f t="shared" si="13"/>
        <v>0</v>
      </c>
      <c r="F397" s="11">
        <v>1.0999999999999999E-2</v>
      </c>
      <c r="G397" s="3" t="e">
        <f t="shared" si="12"/>
        <v>#DIV/0!</v>
      </c>
    </row>
    <row r="398" spans="1:7" hidden="1">
      <c r="A398" s="1">
        <v>24</v>
      </c>
      <c r="B398" s="1" t="s">
        <v>20</v>
      </c>
      <c r="C398" s="11">
        <v>0</v>
      </c>
      <c r="D398" s="11">
        <v>0</v>
      </c>
      <c r="E398" s="2">
        <f t="shared" si="13"/>
        <v>0</v>
      </c>
      <c r="F398" s="11">
        <v>0</v>
      </c>
      <c r="G398" s="3" t="e">
        <f t="shared" si="12"/>
        <v>#DIV/0!</v>
      </c>
    </row>
    <row r="399" spans="1:7" hidden="1">
      <c r="A399" s="1">
        <v>25</v>
      </c>
      <c r="B399" s="1" t="s">
        <v>20</v>
      </c>
      <c r="C399" s="11">
        <v>0</v>
      </c>
      <c r="D399" s="11">
        <v>0</v>
      </c>
      <c r="E399" s="2">
        <f t="shared" si="13"/>
        <v>0</v>
      </c>
      <c r="F399" s="11">
        <v>4.1000000000000002E-2</v>
      </c>
      <c r="G399" s="3" t="e">
        <f t="shared" si="12"/>
        <v>#DIV/0!</v>
      </c>
    </row>
    <row r="400" spans="1:7" hidden="1">
      <c r="A400" s="1">
        <v>26</v>
      </c>
      <c r="B400" s="1" t="s">
        <v>20</v>
      </c>
      <c r="C400" s="11">
        <v>0</v>
      </c>
      <c r="D400" s="11">
        <v>0</v>
      </c>
      <c r="E400" s="2">
        <f t="shared" si="13"/>
        <v>0</v>
      </c>
      <c r="F400" s="11">
        <v>0.112</v>
      </c>
      <c r="G400" s="3" t="e">
        <f t="shared" si="12"/>
        <v>#DIV/0!</v>
      </c>
    </row>
    <row r="401" spans="1:7" hidden="1">
      <c r="A401" s="1">
        <v>27</v>
      </c>
      <c r="B401" s="1" t="s">
        <v>20</v>
      </c>
      <c r="C401" s="11">
        <v>20</v>
      </c>
      <c r="D401" s="11">
        <v>19.920000000000002</v>
      </c>
      <c r="E401" s="2">
        <f t="shared" si="13"/>
        <v>7.9999999999998295E-2</v>
      </c>
      <c r="F401" s="11">
        <v>9.7000000000000003E-2</v>
      </c>
      <c r="G401" s="3">
        <f t="shared" si="12"/>
        <v>8.8499999999999152E-3</v>
      </c>
    </row>
    <row r="402" spans="1:7" hidden="1">
      <c r="A402" s="1">
        <v>28</v>
      </c>
      <c r="B402" s="1" t="s">
        <v>20</v>
      </c>
      <c r="C402" s="11">
        <v>0</v>
      </c>
      <c r="D402" s="11">
        <v>0</v>
      </c>
      <c r="E402" s="2">
        <f t="shared" si="13"/>
        <v>0</v>
      </c>
      <c r="F402" s="11">
        <v>3.1E-2</v>
      </c>
      <c r="G402" s="3" t="e">
        <f t="shared" si="12"/>
        <v>#DIV/0!</v>
      </c>
    </row>
    <row r="403" spans="1:7" hidden="1">
      <c r="A403" s="1">
        <v>29</v>
      </c>
      <c r="B403" s="1" t="s">
        <v>20</v>
      </c>
      <c r="C403" s="11">
        <v>0</v>
      </c>
      <c r="D403" s="11">
        <v>0</v>
      </c>
      <c r="E403" s="2">
        <f t="shared" si="13"/>
        <v>0</v>
      </c>
      <c r="F403" s="11">
        <v>3.1E-2</v>
      </c>
      <c r="G403" s="3" t="e">
        <f t="shared" si="12"/>
        <v>#DIV/0!</v>
      </c>
    </row>
    <row r="404" spans="1:7" hidden="1">
      <c r="A404" s="1">
        <v>30</v>
      </c>
      <c r="B404" s="1" t="s">
        <v>20</v>
      </c>
      <c r="C404" s="11">
        <v>0</v>
      </c>
      <c r="D404" s="11">
        <v>0</v>
      </c>
      <c r="E404" s="2">
        <f t="shared" si="13"/>
        <v>0</v>
      </c>
      <c r="F404" s="11">
        <v>3.3000000000000002E-2</v>
      </c>
      <c r="G404" s="3" t="e">
        <f t="shared" si="12"/>
        <v>#DIV/0!</v>
      </c>
    </row>
    <row r="405" spans="1:7" hidden="1">
      <c r="A405" s="1">
        <v>31</v>
      </c>
      <c r="B405" s="1" t="s">
        <v>20</v>
      </c>
      <c r="C405" s="11">
        <v>0</v>
      </c>
      <c r="D405" s="11">
        <v>0</v>
      </c>
      <c r="E405" s="2">
        <f t="shared" si="13"/>
        <v>0</v>
      </c>
      <c r="F405" s="11">
        <v>3.3000000000000002E-2</v>
      </c>
      <c r="G405" s="3" t="e">
        <f t="shared" si="12"/>
        <v>#DIV/0!</v>
      </c>
    </row>
    <row r="406" spans="1:7" hidden="1">
      <c r="A406" s="1">
        <v>1</v>
      </c>
      <c r="B406" s="1" t="s">
        <v>21</v>
      </c>
      <c r="C406" s="11">
        <v>40</v>
      </c>
      <c r="D406" s="11">
        <v>39.799999999999997</v>
      </c>
      <c r="E406" s="2">
        <f t="shared" si="13"/>
        <v>0.20000000000000284</v>
      </c>
      <c r="F406" s="11">
        <v>0.24</v>
      </c>
      <c r="G406" s="3">
        <f t="shared" si="12"/>
        <v>1.100000000000007E-2</v>
      </c>
    </row>
    <row r="407" spans="1:7" hidden="1">
      <c r="A407" s="1">
        <v>2</v>
      </c>
      <c r="B407" s="1" t="s">
        <v>21</v>
      </c>
      <c r="C407" s="11">
        <v>20</v>
      </c>
      <c r="D407" s="11">
        <v>19.84</v>
      </c>
      <c r="E407" s="2">
        <f t="shared" si="13"/>
        <v>0.16000000000000014</v>
      </c>
      <c r="F407" s="11">
        <v>0.97199999999999998</v>
      </c>
      <c r="G407" s="3">
        <f t="shared" si="12"/>
        <v>5.6600000000000004E-2</v>
      </c>
    </row>
    <row r="408" spans="1:7" hidden="1">
      <c r="A408" s="1">
        <v>3</v>
      </c>
      <c r="B408" s="1" t="s">
        <v>21</v>
      </c>
      <c r="C408" s="11">
        <v>20</v>
      </c>
      <c r="D408" s="11">
        <v>19.78</v>
      </c>
      <c r="E408" s="2">
        <f t="shared" si="13"/>
        <v>0.21999999999999886</v>
      </c>
      <c r="F408" s="11">
        <v>0.16</v>
      </c>
      <c r="G408" s="3">
        <f t="shared" si="12"/>
        <v>1.8999999999999944E-2</v>
      </c>
    </row>
    <row r="409" spans="1:7" hidden="1">
      <c r="A409" s="1">
        <v>4</v>
      </c>
      <c r="B409" s="1" t="s">
        <v>21</v>
      </c>
      <c r="C409" s="11">
        <v>40</v>
      </c>
      <c r="D409" s="11">
        <v>39.72</v>
      </c>
      <c r="E409" s="2">
        <f t="shared" si="13"/>
        <v>0.28000000000000114</v>
      </c>
      <c r="F409" s="11">
        <v>0.28999999999999998</v>
      </c>
      <c r="G409" s="3">
        <f t="shared" si="12"/>
        <v>1.425000000000003E-2</v>
      </c>
    </row>
    <row r="410" spans="1:7" hidden="1">
      <c r="A410" s="1">
        <v>5</v>
      </c>
      <c r="B410" s="1" t="s">
        <v>21</v>
      </c>
      <c r="C410" s="11">
        <v>40</v>
      </c>
      <c r="D410" s="11">
        <v>39.630000000000003</v>
      </c>
      <c r="E410" s="2">
        <f t="shared" si="13"/>
        <v>0.36999999999999744</v>
      </c>
      <c r="F410" s="11">
        <v>0.2</v>
      </c>
      <c r="G410" s="3">
        <f t="shared" si="12"/>
        <v>1.4249999999999935E-2</v>
      </c>
    </row>
    <row r="411" spans="1:7" hidden="1">
      <c r="A411" s="1">
        <v>6</v>
      </c>
      <c r="B411" s="1" t="s">
        <v>21</v>
      </c>
      <c r="C411" s="11">
        <v>20</v>
      </c>
      <c r="D411" s="11">
        <v>19.59</v>
      </c>
      <c r="E411" s="2">
        <f t="shared" si="13"/>
        <v>0.41000000000000014</v>
      </c>
      <c r="F411" s="11">
        <v>0.28000000000000003</v>
      </c>
      <c r="G411" s="3">
        <f t="shared" si="12"/>
        <v>3.450000000000001E-2</v>
      </c>
    </row>
    <row r="412" spans="1:7" hidden="1">
      <c r="A412" s="1">
        <v>7</v>
      </c>
      <c r="B412" s="1" t="s">
        <v>21</v>
      </c>
      <c r="C412" s="11">
        <v>40</v>
      </c>
      <c r="D412" s="11">
        <v>39.93</v>
      </c>
      <c r="E412" s="2">
        <f t="shared" si="13"/>
        <v>7.0000000000000284E-2</v>
      </c>
      <c r="F412" s="11">
        <v>0.19</v>
      </c>
      <c r="G412" s="3">
        <f t="shared" si="12"/>
        <v>6.5000000000000075E-3</v>
      </c>
    </row>
    <row r="413" spans="1:7" hidden="1">
      <c r="A413" s="1">
        <v>10</v>
      </c>
      <c r="B413" s="1" t="s">
        <v>21</v>
      </c>
      <c r="C413" s="11">
        <v>60</v>
      </c>
      <c r="D413" s="11">
        <v>59.31</v>
      </c>
      <c r="E413" s="2">
        <f t="shared" si="13"/>
        <v>0.68999999999999773</v>
      </c>
      <c r="F413" s="11">
        <v>0</v>
      </c>
      <c r="G413" s="3">
        <f t="shared" si="12"/>
        <v>1.1499999999999962E-2</v>
      </c>
    </row>
    <row r="414" spans="1:7" hidden="1">
      <c r="A414" s="1">
        <v>8</v>
      </c>
      <c r="B414" s="1" t="s">
        <v>21</v>
      </c>
      <c r="C414" s="11">
        <v>40</v>
      </c>
      <c r="D414" s="11">
        <v>39.74</v>
      </c>
      <c r="E414" s="2">
        <f t="shared" si="13"/>
        <v>0.25999999999999801</v>
      </c>
      <c r="F414" s="11">
        <v>0.97199999999999998</v>
      </c>
      <c r="G414" s="3">
        <f t="shared" si="12"/>
        <v>3.0799999999999949E-2</v>
      </c>
    </row>
    <row r="415" spans="1:7" hidden="1">
      <c r="A415" s="1">
        <v>9</v>
      </c>
      <c r="B415" s="1" t="s">
        <v>21</v>
      </c>
      <c r="C415" s="11">
        <v>40</v>
      </c>
      <c r="D415" s="11">
        <v>39.82</v>
      </c>
      <c r="E415" s="2">
        <f t="shared" si="13"/>
        <v>0.17999999999999972</v>
      </c>
      <c r="F415" s="11">
        <v>0</v>
      </c>
      <c r="G415" s="3">
        <f t="shared" si="12"/>
        <v>4.4999999999999927E-3</v>
      </c>
    </row>
    <row r="416" spans="1:7" hidden="1">
      <c r="A416" s="1">
        <v>11</v>
      </c>
      <c r="B416" s="1" t="s">
        <v>21</v>
      </c>
      <c r="C416" s="11">
        <v>40</v>
      </c>
      <c r="D416" s="11">
        <v>39.479999999999997</v>
      </c>
      <c r="E416" s="2">
        <f t="shared" si="13"/>
        <v>0.52000000000000313</v>
      </c>
      <c r="F416" s="11">
        <v>0.11</v>
      </c>
      <c r="G416" s="3">
        <f t="shared" si="12"/>
        <v>1.5750000000000076E-2</v>
      </c>
    </row>
    <row r="417" spans="1:7" hidden="1">
      <c r="A417" s="1">
        <v>12</v>
      </c>
      <c r="B417" s="1" t="s">
        <v>21</v>
      </c>
      <c r="C417" s="11">
        <v>20</v>
      </c>
      <c r="D417" s="11">
        <v>19.73</v>
      </c>
      <c r="E417" s="2">
        <f t="shared" si="13"/>
        <v>0.26999999999999957</v>
      </c>
      <c r="F417" s="11">
        <v>0</v>
      </c>
      <c r="G417" s="3">
        <f t="shared" si="12"/>
        <v>1.3499999999999979E-2</v>
      </c>
    </row>
    <row r="418" spans="1:7" hidden="1">
      <c r="A418" s="1">
        <v>13</v>
      </c>
      <c r="B418" s="1" t="s">
        <v>21</v>
      </c>
      <c r="C418" s="11">
        <v>40</v>
      </c>
      <c r="D418" s="11">
        <v>39.49</v>
      </c>
      <c r="E418" s="2">
        <f t="shared" si="13"/>
        <v>0.50999999999999801</v>
      </c>
      <c r="F418" s="11">
        <v>0.8230000000000004</v>
      </c>
      <c r="G418" s="3">
        <f t="shared" si="12"/>
        <v>3.3324999999999959E-2</v>
      </c>
    </row>
    <row r="419" spans="1:7" hidden="1">
      <c r="A419" s="1">
        <v>14</v>
      </c>
      <c r="B419" s="1" t="s">
        <v>21</v>
      </c>
      <c r="C419" s="11">
        <v>40</v>
      </c>
      <c r="D419" s="11">
        <v>39.51</v>
      </c>
      <c r="E419" s="2">
        <f t="shared" si="13"/>
        <v>0.49000000000000199</v>
      </c>
      <c r="F419" s="11">
        <v>0</v>
      </c>
      <c r="G419" s="3">
        <f t="shared" si="12"/>
        <v>1.2250000000000049E-2</v>
      </c>
    </row>
    <row r="420" spans="1:7" hidden="1">
      <c r="A420" s="1">
        <v>15</v>
      </c>
      <c r="B420" s="1" t="s">
        <v>21</v>
      </c>
      <c r="C420" s="11">
        <v>40</v>
      </c>
      <c r="D420" s="11">
        <v>39.659999999999997</v>
      </c>
      <c r="E420" s="2">
        <f t="shared" si="13"/>
        <v>0.34000000000000341</v>
      </c>
      <c r="F420" s="11">
        <v>2.25</v>
      </c>
      <c r="G420" s="3">
        <f t="shared" si="12"/>
        <v>6.4750000000000085E-2</v>
      </c>
    </row>
    <row r="421" spans="1:7" hidden="1">
      <c r="A421" s="1">
        <v>16</v>
      </c>
      <c r="B421" s="1" t="s">
        <v>21</v>
      </c>
      <c r="C421" s="11">
        <v>40</v>
      </c>
      <c r="D421" s="11">
        <v>39.799999999999997</v>
      </c>
      <c r="E421" s="2">
        <f t="shared" si="13"/>
        <v>0.20000000000000284</v>
      </c>
      <c r="F421" s="11">
        <v>0</v>
      </c>
      <c r="G421" s="3">
        <f t="shared" ref="G421:G484" si="14">(E421+F421)/C421</f>
        <v>5.0000000000000712E-3</v>
      </c>
    </row>
    <row r="422" spans="1:7" hidden="1">
      <c r="A422" s="1">
        <v>17</v>
      </c>
      <c r="B422" s="1" t="s">
        <v>21</v>
      </c>
      <c r="C422" s="11">
        <v>40</v>
      </c>
      <c r="D422" s="11">
        <v>39.54</v>
      </c>
      <c r="E422" s="2">
        <f t="shared" si="13"/>
        <v>0.46000000000000085</v>
      </c>
      <c r="F422" s="11">
        <v>0</v>
      </c>
      <c r="G422" s="3">
        <f t="shared" si="14"/>
        <v>1.1500000000000021E-2</v>
      </c>
    </row>
    <row r="423" spans="1:7" hidden="1">
      <c r="A423" s="1">
        <v>18</v>
      </c>
      <c r="B423" s="1" t="s">
        <v>21</v>
      </c>
      <c r="C423" s="11">
        <v>20</v>
      </c>
      <c r="D423" s="11">
        <v>19.64</v>
      </c>
      <c r="E423" s="2">
        <f t="shared" si="13"/>
        <v>0.35999999999999943</v>
      </c>
      <c r="F423" s="11">
        <v>0</v>
      </c>
      <c r="G423" s="3">
        <f t="shared" si="14"/>
        <v>1.7999999999999971E-2</v>
      </c>
    </row>
    <row r="424" spans="1:7" hidden="1">
      <c r="A424" s="1">
        <v>19</v>
      </c>
      <c r="B424" s="1" t="s">
        <v>21</v>
      </c>
      <c r="C424" s="11">
        <v>0</v>
      </c>
      <c r="D424" s="11">
        <v>0</v>
      </c>
      <c r="E424" s="2">
        <f t="shared" si="13"/>
        <v>0</v>
      </c>
      <c r="F424" s="11">
        <v>0.69199999999999995</v>
      </c>
      <c r="G424" s="3" t="e">
        <f t="shared" si="14"/>
        <v>#DIV/0!</v>
      </c>
    </row>
    <row r="425" spans="1:7" hidden="1">
      <c r="A425" s="1">
        <v>20</v>
      </c>
      <c r="B425" s="1" t="s">
        <v>21</v>
      </c>
      <c r="C425" s="11">
        <v>0</v>
      </c>
      <c r="D425" s="11">
        <v>0</v>
      </c>
      <c r="E425" s="2">
        <f t="shared" si="13"/>
        <v>0</v>
      </c>
      <c r="F425" s="11">
        <v>0.25</v>
      </c>
      <c r="G425" s="3" t="e">
        <f t="shared" si="14"/>
        <v>#DIV/0!</v>
      </c>
    </row>
    <row r="426" spans="1:7" hidden="1">
      <c r="A426" s="1">
        <v>21</v>
      </c>
      <c r="B426" s="1" t="s">
        <v>21</v>
      </c>
      <c r="C426" s="11">
        <v>0</v>
      </c>
      <c r="D426" s="11">
        <v>0</v>
      </c>
      <c r="E426" s="2">
        <f t="shared" si="13"/>
        <v>0</v>
      </c>
      <c r="F426" s="11">
        <v>0</v>
      </c>
      <c r="G426" s="3" t="e">
        <f t="shared" si="14"/>
        <v>#DIV/0!</v>
      </c>
    </row>
    <row r="427" spans="1:7" hidden="1">
      <c r="A427" s="1">
        <v>22</v>
      </c>
      <c r="B427" s="1" t="s">
        <v>21</v>
      </c>
      <c r="C427" s="11">
        <v>0</v>
      </c>
      <c r="D427" s="11">
        <v>0</v>
      </c>
      <c r="E427" s="2">
        <f t="shared" si="13"/>
        <v>0</v>
      </c>
      <c r="F427" s="11">
        <v>0</v>
      </c>
      <c r="G427" s="3" t="e">
        <f t="shared" si="14"/>
        <v>#DIV/0!</v>
      </c>
    </row>
    <row r="428" spans="1:7" hidden="1">
      <c r="A428" s="1">
        <v>23</v>
      </c>
      <c r="B428" s="1" t="s">
        <v>21</v>
      </c>
      <c r="C428" s="11">
        <v>0</v>
      </c>
      <c r="D428" s="11">
        <v>0</v>
      </c>
      <c r="E428" s="2">
        <f t="shared" si="13"/>
        <v>0</v>
      </c>
      <c r="F428" s="11">
        <v>0</v>
      </c>
      <c r="G428" s="3" t="e">
        <f t="shared" si="14"/>
        <v>#DIV/0!</v>
      </c>
    </row>
    <row r="429" spans="1:7" hidden="1">
      <c r="A429" s="1">
        <v>24</v>
      </c>
      <c r="B429" s="1" t="s">
        <v>21</v>
      </c>
      <c r="C429" s="11">
        <v>0</v>
      </c>
      <c r="D429" s="11">
        <v>0</v>
      </c>
      <c r="E429" s="2">
        <f t="shared" si="13"/>
        <v>0</v>
      </c>
      <c r="F429" s="11">
        <v>0</v>
      </c>
      <c r="G429" s="3" t="e">
        <f t="shared" si="14"/>
        <v>#DIV/0!</v>
      </c>
    </row>
    <row r="430" spans="1:7" hidden="1">
      <c r="A430" s="1">
        <v>25</v>
      </c>
      <c r="B430" s="1" t="s">
        <v>21</v>
      </c>
      <c r="C430" s="11">
        <v>0</v>
      </c>
      <c r="D430" s="11">
        <v>0</v>
      </c>
      <c r="E430" s="2">
        <f t="shared" si="13"/>
        <v>0</v>
      </c>
      <c r="F430" s="11">
        <v>0.18</v>
      </c>
      <c r="G430" s="3" t="e">
        <f t="shared" si="14"/>
        <v>#DIV/0!</v>
      </c>
    </row>
    <row r="431" spans="1:7" hidden="1">
      <c r="A431" s="1">
        <v>26</v>
      </c>
      <c r="B431" s="1" t="s">
        <v>21</v>
      </c>
      <c r="C431" s="11">
        <v>0</v>
      </c>
      <c r="D431" s="11">
        <v>0</v>
      </c>
      <c r="E431" s="2">
        <f t="shared" si="13"/>
        <v>0</v>
      </c>
      <c r="F431" s="11">
        <v>0.158</v>
      </c>
      <c r="G431" s="3" t="e">
        <f t="shared" si="14"/>
        <v>#DIV/0!</v>
      </c>
    </row>
    <row r="432" spans="1:7" hidden="1">
      <c r="A432" s="1">
        <v>27</v>
      </c>
      <c r="B432" s="1" t="s">
        <v>21</v>
      </c>
      <c r="C432" s="11">
        <v>0</v>
      </c>
      <c r="D432" s="11">
        <v>0</v>
      </c>
      <c r="E432" s="2">
        <f t="shared" si="13"/>
        <v>0</v>
      </c>
      <c r="F432" s="11">
        <v>0</v>
      </c>
      <c r="G432" s="3" t="e">
        <f t="shared" si="14"/>
        <v>#DIV/0!</v>
      </c>
    </row>
    <row r="433" spans="1:7" hidden="1">
      <c r="A433" s="1">
        <v>28</v>
      </c>
      <c r="B433" s="1" t="s">
        <v>21</v>
      </c>
      <c r="C433" s="11">
        <v>0</v>
      </c>
      <c r="D433" s="11">
        <v>0</v>
      </c>
      <c r="E433" s="2">
        <f t="shared" si="13"/>
        <v>0</v>
      </c>
      <c r="F433" s="11">
        <v>0</v>
      </c>
      <c r="G433" s="3" t="e">
        <f t="shared" si="14"/>
        <v>#DIV/0!</v>
      </c>
    </row>
    <row r="434" spans="1:7" hidden="1">
      <c r="A434" s="1">
        <v>29</v>
      </c>
      <c r="B434" s="1" t="s">
        <v>21</v>
      </c>
      <c r="C434" s="11">
        <v>0</v>
      </c>
      <c r="D434" s="11">
        <v>0</v>
      </c>
      <c r="E434" s="2">
        <f t="shared" si="13"/>
        <v>0</v>
      </c>
      <c r="F434" s="11">
        <v>-1.591</v>
      </c>
      <c r="G434" s="3" t="e">
        <f t="shared" si="14"/>
        <v>#DIV/0!</v>
      </c>
    </row>
    <row r="435" spans="1:7" hidden="1">
      <c r="A435" s="1">
        <v>30</v>
      </c>
      <c r="B435" s="1" t="s">
        <v>21</v>
      </c>
      <c r="C435" s="11">
        <v>0</v>
      </c>
      <c r="D435" s="11">
        <v>0</v>
      </c>
      <c r="E435" s="2">
        <f t="shared" si="13"/>
        <v>0</v>
      </c>
      <c r="F435" s="11">
        <v>0</v>
      </c>
      <c r="G435" s="3" t="e">
        <f t="shared" si="14"/>
        <v>#DIV/0!</v>
      </c>
    </row>
    <row r="436" spans="1:7" hidden="1">
      <c r="A436" s="1">
        <v>31</v>
      </c>
      <c r="B436" s="1" t="s">
        <v>21</v>
      </c>
      <c r="C436" s="11">
        <v>0</v>
      </c>
      <c r="D436" s="11">
        <v>0</v>
      </c>
      <c r="E436" s="2">
        <f t="shared" si="13"/>
        <v>0</v>
      </c>
      <c r="F436" s="11">
        <v>0.49399999999999999</v>
      </c>
      <c r="G436" s="3" t="e">
        <f t="shared" si="14"/>
        <v>#DIV/0!</v>
      </c>
    </row>
    <row r="437" spans="1:7" hidden="1">
      <c r="A437" s="1">
        <v>1</v>
      </c>
      <c r="B437" s="1" t="s">
        <v>22</v>
      </c>
      <c r="C437" s="11">
        <v>0</v>
      </c>
      <c r="D437" s="11">
        <v>0</v>
      </c>
      <c r="E437" s="2">
        <f t="shared" si="13"/>
        <v>0</v>
      </c>
      <c r="F437" s="11">
        <v>0.14799999999999999</v>
      </c>
      <c r="G437" s="3" t="e">
        <f t="shared" si="14"/>
        <v>#DIV/0!</v>
      </c>
    </row>
    <row r="438" spans="1:7" hidden="1">
      <c r="A438" s="1">
        <v>2</v>
      </c>
      <c r="B438" s="1" t="s">
        <v>22</v>
      </c>
      <c r="C438" s="11">
        <v>20</v>
      </c>
      <c r="D438" s="11">
        <v>19.89</v>
      </c>
      <c r="E438" s="2">
        <f t="shared" si="13"/>
        <v>0.10999999999999943</v>
      </c>
      <c r="F438" s="11">
        <v>0.12</v>
      </c>
      <c r="G438" s="3">
        <f t="shared" si="14"/>
        <v>1.1499999999999972E-2</v>
      </c>
    </row>
    <row r="439" spans="1:7" hidden="1">
      <c r="A439" s="1">
        <v>3</v>
      </c>
      <c r="B439" s="1" t="s">
        <v>22</v>
      </c>
      <c r="C439" s="11">
        <v>40</v>
      </c>
      <c r="D439" s="11">
        <v>39.78</v>
      </c>
      <c r="E439" s="2">
        <f t="shared" si="13"/>
        <v>0.21999999999999886</v>
      </c>
      <c r="F439" s="11">
        <v>0.13600000000000001</v>
      </c>
      <c r="G439" s="3">
        <f t="shared" si="14"/>
        <v>8.8999999999999722E-3</v>
      </c>
    </row>
    <row r="440" spans="1:7" hidden="1">
      <c r="A440" s="1">
        <v>4</v>
      </c>
      <c r="B440" s="1" t="s">
        <v>22</v>
      </c>
      <c r="C440" s="11">
        <v>20</v>
      </c>
      <c r="D440" s="11">
        <v>19.87</v>
      </c>
      <c r="E440" s="2">
        <f t="shared" si="13"/>
        <v>0.12999999999999901</v>
      </c>
      <c r="F440" s="11">
        <v>9.4E-2</v>
      </c>
      <c r="G440" s="3">
        <f t="shared" si="14"/>
        <v>1.119999999999995E-2</v>
      </c>
    </row>
    <row r="441" spans="1:7" hidden="1">
      <c r="A441" s="1">
        <v>5</v>
      </c>
      <c r="B441" s="1" t="s">
        <v>22</v>
      </c>
      <c r="C441" s="11">
        <v>60</v>
      </c>
      <c r="D441" s="11">
        <v>59.57</v>
      </c>
      <c r="E441" s="2">
        <f t="shared" si="13"/>
        <v>0.42999999999999972</v>
      </c>
      <c r="F441" s="11">
        <v>0.125</v>
      </c>
      <c r="G441" s="3">
        <f t="shared" si="14"/>
        <v>9.2499999999999961E-3</v>
      </c>
    </row>
    <row r="442" spans="1:7" hidden="1">
      <c r="A442" s="1">
        <v>6</v>
      </c>
      <c r="B442" s="1" t="s">
        <v>22</v>
      </c>
      <c r="C442" s="11">
        <v>20</v>
      </c>
      <c r="D442" s="11">
        <v>19.8</v>
      </c>
      <c r="E442" s="2">
        <f t="shared" si="13"/>
        <v>0.19999999999999929</v>
      </c>
      <c r="F442" s="11">
        <v>0.125</v>
      </c>
      <c r="G442" s="3">
        <f t="shared" si="14"/>
        <v>1.6249999999999966E-2</v>
      </c>
    </row>
    <row r="443" spans="1:7" hidden="1">
      <c r="A443" s="1">
        <v>7</v>
      </c>
      <c r="B443" s="1" t="s">
        <v>22</v>
      </c>
      <c r="C443" s="11">
        <v>20</v>
      </c>
      <c r="D443" s="11">
        <v>19.93</v>
      </c>
      <c r="E443" s="2">
        <f t="shared" si="13"/>
        <v>7.0000000000000284E-2</v>
      </c>
      <c r="F443" s="11">
        <v>0.128</v>
      </c>
      <c r="G443" s="3">
        <f t="shared" si="14"/>
        <v>9.9000000000000147E-3</v>
      </c>
    </row>
    <row r="444" spans="1:7" hidden="1">
      <c r="A444" s="1">
        <v>10</v>
      </c>
      <c r="B444" s="1" t="s">
        <v>22</v>
      </c>
      <c r="C444" s="11">
        <v>20</v>
      </c>
      <c r="D444" s="11">
        <v>19.850000000000001</v>
      </c>
      <c r="E444" s="2">
        <f t="shared" si="13"/>
        <v>0.14999999999999858</v>
      </c>
      <c r="F444" s="11">
        <v>0.112</v>
      </c>
      <c r="G444" s="3">
        <f t="shared" si="14"/>
        <v>1.3099999999999928E-2</v>
      </c>
    </row>
    <row r="445" spans="1:7" hidden="1">
      <c r="A445" s="1">
        <v>8</v>
      </c>
      <c r="B445" s="1" t="s">
        <v>22</v>
      </c>
      <c r="C445" s="11">
        <v>20</v>
      </c>
      <c r="D445" s="11">
        <v>19.899999999999999</v>
      </c>
      <c r="E445" s="2">
        <f t="shared" si="13"/>
        <v>0.10000000000000142</v>
      </c>
      <c r="F445" s="11">
        <v>0.13</v>
      </c>
      <c r="G445" s="3">
        <f t="shared" si="14"/>
        <v>1.1500000000000071E-2</v>
      </c>
    </row>
    <row r="446" spans="1:7" hidden="1">
      <c r="A446" s="1">
        <v>9</v>
      </c>
      <c r="B446" s="1" t="s">
        <v>22</v>
      </c>
      <c r="C446" s="11">
        <v>20</v>
      </c>
      <c r="D446" s="11">
        <v>19.88</v>
      </c>
      <c r="E446" s="2">
        <f t="shared" si="13"/>
        <v>0.12000000000000099</v>
      </c>
      <c r="F446" s="11">
        <v>0.14299999999999999</v>
      </c>
      <c r="G446" s="3">
        <f t="shared" si="14"/>
        <v>1.3150000000000051E-2</v>
      </c>
    </row>
    <row r="447" spans="1:7" hidden="1">
      <c r="A447" s="1">
        <v>11</v>
      </c>
      <c r="B447" s="1" t="s">
        <v>22</v>
      </c>
      <c r="C447" s="11">
        <v>40</v>
      </c>
      <c r="D447" s="11">
        <v>39.79</v>
      </c>
      <c r="E447" s="2">
        <f t="shared" si="13"/>
        <v>0.21000000000000085</v>
      </c>
      <c r="F447" s="11">
        <v>0.14399999999999999</v>
      </c>
      <c r="G447" s="3">
        <f t="shared" si="14"/>
        <v>8.850000000000021E-3</v>
      </c>
    </row>
    <row r="448" spans="1:7" hidden="1">
      <c r="A448" s="1">
        <v>12</v>
      </c>
      <c r="B448" s="1" t="s">
        <v>22</v>
      </c>
      <c r="C448" s="11">
        <v>20</v>
      </c>
      <c r="D448" s="11">
        <v>19.88</v>
      </c>
      <c r="E448" s="2">
        <f t="shared" si="13"/>
        <v>0.12000000000000099</v>
      </c>
      <c r="F448" s="11">
        <v>0.114</v>
      </c>
      <c r="G448" s="3">
        <f t="shared" si="14"/>
        <v>1.1700000000000049E-2</v>
      </c>
    </row>
    <row r="449" spans="1:7" hidden="1">
      <c r="A449" s="1">
        <v>13</v>
      </c>
      <c r="B449" s="1" t="s">
        <v>22</v>
      </c>
      <c r="C449" s="11">
        <v>20</v>
      </c>
      <c r="D449" s="11">
        <v>19.809999999999999</v>
      </c>
      <c r="E449" s="2">
        <f t="shared" si="13"/>
        <v>0.19000000000000128</v>
      </c>
      <c r="F449" s="11">
        <v>0.128</v>
      </c>
      <c r="G449" s="3">
        <f t="shared" si="14"/>
        <v>1.5900000000000063E-2</v>
      </c>
    </row>
    <row r="450" spans="1:7" hidden="1">
      <c r="A450" s="1">
        <v>14</v>
      </c>
      <c r="B450" s="1" t="s">
        <v>22</v>
      </c>
      <c r="C450" s="11">
        <v>175</v>
      </c>
      <c r="D450" s="11">
        <v>173.68</v>
      </c>
      <c r="E450" s="2">
        <f t="shared" si="13"/>
        <v>1.3199999999999932</v>
      </c>
      <c r="F450" s="11">
        <v>0.188</v>
      </c>
      <c r="G450" s="3">
        <f t="shared" si="14"/>
        <v>8.617142857142818E-3</v>
      </c>
    </row>
    <row r="451" spans="1:7" hidden="1">
      <c r="A451" s="1">
        <v>15</v>
      </c>
      <c r="B451" s="1" t="s">
        <v>22</v>
      </c>
      <c r="C451" s="11">
        <v>50</v>
      </c>
      <c r="D451" s="11">
        <v>49.86</v>
      </c>
      <c r="E451" s="2">
        <f t="shared" si="13"/>
        <v>0.14000000000000057</v>
      </c>
      <c r="F451" s="11">
        <v>0.56999999999999995</v>
      </c>
      <c r="G451" s="3">
        <f t="shared" si="14"/>
        <v>1.4200000000000011E-2</v>
      </c>
    </row>
    <row r="452" spans="1:7" hidden="1">
      <c r="A452" s="1">
        <v>16</v>
      </c>
      <c r="B452" s="1" t="s">
        <v>22</v>
      </c>
      <c r="C452" s="11">
        <v>25</v>
      </c>
      <c r="D452" s="11">
        <v>24.77</v>
      </c>
      <c r="E452" s="2">
        <f t="shared" ref="E452:E515" si="15">C452-D452</f>
        <v>0.23000000000000043</v>
      </c>
      <c r="F452" s="11">
        <v>0.11</v>
      </c>
      <c r="G452" s="3">
        <f t="shared" si="14"/>
        <v>1.3600000000000017E-2</v>
      </c>
    </row>
    <row r="453" spans="1:7" hidden="1">
      <c r="A453" s="1">
        <v>17</v>
      </c>
      <c r="B453" s="1" t="s">
        <v>22</v>
      </c>
      <c r="C453" s="11">
        <v>45</v>
      </c>
      <c r="D453" s="11">
        <v>44.71</v>
      </c>
      <c r="E453" s="2">
        <f t="shared" si="15"/>
        <v>0.28999999999999915</v>
      </c>
      <c r="F453" s="11">
        <v>0.154</v>
      </c>
      <c r="G453" s="3">
        <f t="shared" si="14"/>
        <v>9.8666666666666486E-3</v>
      </c>
    </row>
    <row r="454" spans="1:7" hidden="1">
      <c r="A454" s="1">
        <v>18</v>
      </c>
      <c r="B454" s="1" t="s">
        <v>22</v>
      </c>
      <c r="C454" s="11">
        <v>50</v>
      </c>
      <c r="D454" s="11">
        <v>49.68</v>
      </c>
      <c r="E454" s="2">
        <f t="shared" si="15"/>
        <v>0.32000000000000028</v>
      </c>
      <c r="F454" s="11">
        <v>0.13600000000000001</v>
      </c>
      <c r="G454" s="3">
        <f t="shared" si="14"/>
        <v>9.1200000000000066E-3</v>
      </c>
    </row>
    <row r="455" spans="1:7" hidden="1">
      <c r="A455" s="1">
        <v>19</v>
      </c>
      <c r="B455" s="1" t="s">
        <v>22</v>
      </c>
      <c r="C455" s="11">
        <v>150</v>
      </c>
      <c r="D455" s="11">
        <v>148.97999999999999</v>
      </c>
      <c r="E455" s="2">
        <f t="shared" si="15"/>
        <v>1.0200000000000102</v>
      </c>
      <c r="F455" s="11">
        <v>0.128</v>
      </c>
      <c r="G455" s="3">
        <f t="shared" si="14"/>
        <v>7.6533333333334026E-3</v>
      </c>
    </row>
    <row r="456" spans="1:7" hidden="1">
      <c r="A456" s="1">
        <v>20</v>
      </c>
      <c r="B456" s="1" t="s">
        <v>22</v>
      </c>
      <c r="C456" s="11">
        <v>25</v>
      </c>
      <c r="D456" s="11">
        <v>24.85</v>
      </c>
      <c r="E456" s="2">
        <f t="shared" si="15"/>
        <v>0.14999999999999858</v>
      </c>
      <c r="F456" s="11">
        <v>0.14199999999999999</v>
      </c>
      <c r="G456" s="3">
        <f t="shared" si="14"/>
        <v>1.1679999999999944E-2</v>
      </c>
    </row>
    <row r="457" spans="1:7" hidden="1">
      <c r="A457" s="1">
        <v>21</v>
      </c>
      <c r="B457" s="1" t="s">
        <v>22</v>
      </c>
      <c r="C457" s="11">
        <v>50</v>
      </c>
      <c r="D457" s="11">
        <v>49.77</v>
      </c>
      <c r="E457" s="2">
        <f t="shared" si="15"/>
        <v>0.22999999999999687</v>
      </c>
      <c r="F457" s="11">
        <v>0.12</v>
      </c>
      <c r="G457" s="3">
        <f t="shared" si="14"/>
        <v>6.9999999999999377E-3</v>
      </c>
    </row>
    <row r="458" spans="1:7" hidden="1">
      <c r="A458" s="1">
        <v>22</v>
      </c>
      <c r="B458" s="1" t="s">
        <v>22</v>
      </c>
      <c r="C458" s="11">
        <v>20</v>
      </c>
      <c r="D458" s="11">
        <v>19.920000000000002</v>
      </c>
      <c r="E458" s="2">
        <f t="shared" si="15"/>
        <v>7.9999999999998295E-2</v>
      </c>
      <c r="F458" s="11">
        <v>0.14000000000000001</v>
      </c>
      <c r="G458" s="3">
        <f t="shared" si="14"/>
        <v>1.0999999999999916E-2</v>
      </c>
    </row>
    <row r="459" spans="1:7" hidden="1">
      <c r="A459" s="1">
        <v>23</v>
      </c>
      <c r="B459" s="1" t="s">
        <v>22</v>
      </c>
      <c r="C459" s="11">
        <v>20</v>
      </c>
      <c r="D459" s="11">
        <v>19.920000000000002</v>
      </c>
      <c r="E459" s="2">
        <f t="shared" si="15"/>
        <v>7.9999999999998295E-2</v>
      </c>
      <c r="F459" s="11">
        <v>0.14000000000000001</v>
      </c>
      <c r="G459" s="3">
        <f t="shared" si="14"/>
        <v>1.0999999999999916E-2</v>
      </c>
    </row>
    <row r="460" spans="1:7" hidden="1">
      <c r="A460" s="1">
        <v>24</v>
      </c>
      <c r="B460" s="1" t="s">
        <v>22</v>
      </c>
      <c r="C460" s="11">
        <v>25</v>
      </c>
      <c r="D460" s="11">
        <v>24.93</v>
      </c>
      <c r="E460" s="2">
        <f t="shared" si="15"/>
        <v>7.0000000000000284E-2</v>
      </c>
      <c r="F460" s="11">
        <v>0.11</v>
      </c>
      <c r="G460" s="3">
        <f t="shared" si="14"/>
        <v>7.2000000000000111E-3</v>
      </c>
    </row>
    <row r="461" spans="1:7" hidden="1">
      <c r="A461" s="1">
        <v>25</v>
      </c>
      <c r="B461" s="1" t="s">
        <v>22</v>
      </c>
      <c r="C461" s="11">
        <v>25</v>
      </c>
      <c r="D461" s="11">
        <v>24.9</v>
      </c>
      <c r="E461" s="2">
        <f t="shared" si="15"/>
        <v>0.10000000000000142</v>
      </c>
      <c r="F461" s="11">
        <v>0.11600000000000001</v>
      </c>
      <c r="G461" s="3">
        <f t="shared" si="14"/>
        <v>8.6400000000000574E-3</v>
      </c>
    </row>
    <row r="462" spans="1:7" hidden="1">
      <c r="A462" s="1">
        <v>26</v>
      </c>
      <c r="B462" s="1" t="s">
        <v>22</v>
      </c>
      <c r="C462" s="11">
        <v>50</v>
      </c>
      <c r="D462" s="11">
        <v>49.74</v>
      </c>
      <c r="E462" s="2">
        <f t="shared" si="15"/>
        <v>0.25999999999999801</v>
      </c>
      <c r="F462" s="11">
        <v>0.14199999999999999</v>
      </c>
      <c r="G462" s="3">
        <f t="shared" si="14"/>
        <v>8.0399999999999604E-3</v>
      </c>
    </row>
    <row r="463" spans="1:7" hidden="1">
      <c r="A463" s="1">
        <v>27</v>
      </c>
      <c r="B463" s="1" t="s">
        <v>22</v>
      </c>
      <c r="C463" s="11">
        <v>20</v>
      </c>
      <c r="D463" s="11">
        <v>19.920000000000002</v>
      </c>
      <c r="E463" s="2">
        <f t="shared" si="15"/>
        <v>7.9999999999998295E-2</v>
      </c>
      <c r="F463" s="11">
        <v>0.126</v>
      </c>
      <c r="G463" s="3">
        <f t="shared" si="14"/>
        <v>1.0299999999999915E-2</v>
      </c>
    </row>
    <row r="464" spans="1:7" hidden="1">
      <c r="A464" s="1">
        <v>28</v>
      </c>
      <c r="B464" s="1" t="s">
        <v>22</v>
      </c>
      <c r="C464" s="11">
        <v>20</v>
      </c>
      <c r="D464" s="11">
        <v>19.93</v>
      </c>
      <c r="E464" s="2">
        <f t="shared" si="15"/>
        <v>7.0000000000000284E-2</v>
      </c>
      <c r="F464" s="11">
        <v>0.128</v>
      </c>
      <c r="G464" s="3">
        <f t="shared" si="14"/>
        <v>9.9000000000000147E-3</v>
      </c>
    </row>
    <row r="465" spans="1:7" hidden="1">
      <c r="A465" s="1">
        <v>29</v>
      </c>
      <c r="B465" s="1" t="s">
        <v>22</v>
      </c>
      <c r="C465" s="11">
        <v>40</v>
      </c>
      <c r="D465" s="11">
        <v>39.81</v>
      </c>
      <c r="E465" s="2">
        <f t="shared" si="15"/>
        <v>0.18999999999999773</v>
      </c>
      <c r="F465" s="11">
        <v>0.13400000000000001</v>
      </c>
      <c r="G465" s="3">
        <f t="shared" si="14"/>
        <v>8.0999999999999441E-3</v>
      </c>
    </row>
    <row r="466" spans="1:7" hidden="1">
      <c r="A466" s="1">
        <v>30</v>
      </c>
      <c r="B466" s="1" t="s">
        <v>22</v>
      </c>
      <c r="C466" s="11">
        <v>25</v>
      </c>
      <c r="D466" s="11">
        <v>24.82</v>
      </c>
      <c r="E466" s="2">
        <f t="shared" si="15"/>
        <v>0.17999999999999972</v>
      </c>
      <c r="F466" s="11">
        <v>0.128</v>
      </c>
      <c r="G466" s="3">
        <f t="shared" si="14"/>
        <v>1.2319999999999989E-2</v>
      </c>
    </row>
    <row r="467" spans="1:7" hidden="1">
      <c r="A467" s="1">
        <v>31</v>
      </c>
      <c r="B467" s="1" t="s">
        <v>22</v>
      </c>
      <c r="C467" s="11">
        <v>25</v>
      </c>
      <c r="D467" s="11">
        <v>24.82</v>
      </c>
      <c r="E467" s="2">
        <f t="shared" si="15"/>
        <v>0.17999999999999972</v>
      </c>
      <c r="F467" s="11">
        <v>0.13200000000000001</v>
      </c>
      <c r="G467" s="3">
        <f t="shared" si="14"/>
        <v>1.2479999999999989E-2</v>
      </c>
    </row>
    <row r="468" spans="1:7" hidden="1">
      <c r="A468" s="1">
        <v>1</v>
      </c>
      <c r="B468" s="1" t="s">
        <v>23</v>
      </c>
      <c r="C468" s="11">
        <v>0</v>
      </c>
      <c r="D468" s="11">
        <v>0</v>
      </c>
      <c r="E468" s="2">
        <f t="shared" si="15"/>
        <v>0</v>
      </c>
      <c r="F468" s="11">
        <v>6.8000000000000005E-2</v>
      </c>
      <c r="G468" s="3" t="e">
        <f t="shared" si="14"/>
        <v>#DIV/0!</v>
      </c>
    </row>
    <row r="469" spans="1:7" hidden="1">
      <c r="A469" s="1">
        <v>2</v>
      </c>
      <c r="B469" s="1" t="s">
        <v>23</v>
      </c>
      <c r="C469" s="11">
        <v>0</v>
      </c>
      <c r="D469" s="11">
        <v>0</v>
      </c>
      <c r="E469" s="2">
        <f t="shared" si="15"/>
        <v>0</v>
      </c>
      <c r="F469" s="11">
        <v>7.3999999999999996E-2</v>
      </c>
      <c r="G469" s="3" t="e">
        <f t="shared" si="14"/>
        <v>#DIV/0!</v>
      </c>
    </row>
    <row r="470" spans="1:7" hidden="1">
      <c r="A470" s="1">
        <v>3</v>
      </c>
      <c r="B470" s="1" t="s">
        <v>23</v>
      </c>
      <c r="C470" s="11">
        <v>0</v>
      </c>
      <c r="D470" s="11">
        <v>0</v>
      </c>
      <c r="E470" s="2">
        <f t="shared" si="15"/>
        <v>0</v>
      </c>
      <c r="F470" s="11">
        <v>0.12</v>
      </c>
      <c r="G470" s="3" t="e">
        <f t="shared" si="14"/>
        <v>#DIV/0!</v>
      </c>
    </row>
    <row r="471" spans="1:7" hidden="1">
      <c r="A471" s="1">
        <v>4</v>
      </c>
      <c r="B471" s="1" t="s">
        <v>23</v>
      </c>
      <c r="C471" s="11">
        <v>0</v>
      </c>
      <c r="D471" s="11">
        <v>0</v>
      </c>
      <c r="E471" s="2">
        <f t="shared" si="15"/>
        <v>0</v>
      </c>
      <c r="F471" s="11">
        <v>3.4000000000000002E-2</v>
      </c>
      <c r="G471" s="3" t="e">
        <f t="shared" si="14"/>
        <v>#DIV/0!</v>
      </c>
    </row>
    <row r="472" spans="1:7" hidden="1">
      <c r="A472" s="1">
        <v>5</v>
      </c>
      <c r="B472" s="1" t="s">
        <v>23</v>
      </c>
      <c r="C472" s="11">
        <v>0</v>
      </c>
      <c r="D472" s="11">
        <v>0</v>
      </c>
      <c r="E472" s="2">
        <f t="shared" si="15"/>
        <v>0</v>
      </c>
      <c r="F472" s="11">
        <v>0.08</v>
      </c>
      <c r="G472" s="3" t="e">
        <f t="shared" si="14"/>
        <v>#DIV/0!</v>
      </c>
    </row>
    <row r="473" spans="1:7" hidden="1">
      <c r="A473" s="1">
        <v>6</v>
      </c>
      <c r="B473" s="1" t="s">
        <v>23</v>
      </c>
      <c r="C473" s="11">
        <v>0</v>
      </c>
      <c r="D473" s="11">
        <v>0</v>
      </c>
      <c r="E473" s="2">
        <f t="shared" si="15"/>
        <v>0</v>
      </c>
      <c r="F473" s="11">
        <v>6.6000000000000003E-2</v>
      </c>
      <c r="G473" s="3" t="e">
        <f t="shared" si="14"/>
        <v>#DIV/0!</v>
      </c>
    </row>
    <row r="474" spans="1:7" hidden="1">
      <c r="A474" s="1">
        <v>7</v>
      </c>
      <c r="B474" s="1" t="s">
        <v>23</v>
      </c>
      <c r="C474" s="11">
        <v>0</v>
      </c>
      <c r="D474" s="11">
        <v>0</v>
      </c>
      <c r="E474" s="2">
        <f t="shared" si="15"/>
        <v>0</v>
      </c>
      <c r="F474" s="11">
        <v>7.0000000000000007E-2</v>
      </c>
      <c r="G474" s="3" t="e">
        <f t="shared" si="14"/>
        <v>#DIV/0!</v>
      </c>
    </row>
    <row r="475" spans="1:7" hidden="1">
      <c r="A475" s="1">
        <v>10</v>
      </c>
      <c r="B475" s="1" t="s">
        <v>23</v>
      </c>
      <c r="C475" s="11">
        <v>0</v>
      </c>
      <c r="D475" s="11">
        <v>0</v>
      </c>
      <c r="E475" s="2">
        <f t="shared" si="15"/>
        <v>0</v>
      </c>
      <c r="F475" s="11">
        <v>7.5999999999999998E-2</v>
      </c>
      <c r="G475" s="3" t="e">
        <f t="shared" si="14"/>
        <v>#DIV/0!</v>
      </c>
    </row>
    <row r="476" spans="1:7" hidden="1">
      <c r="A476" s="1">
        <v>8</v>
      </c>
      <c r="B476" s="1" t="s">
        <v>23</v>
      </c>
      <c r="C476" s="11">
        <v>0</v>
      </c>
      <c r="D476" s="11">
        <v>0</v>
      </c>
      <c r="E476" s="2">
        <f t="shared" si="15"/>
        <v>0</v>
      </c>
      <c r="F476" s="11">
        <v>0.26200000000000001</v>
      </c>
      <c r="G476" s="3" t="e">
        <f t="shared" si="14"/>
        <v>#DIV/0!</v>
      </c>
    </row>
    <row r="477" spans="1:7" hidden="1">
      <c r="A477" s="1">
        <v>9</v>
      </c>
      <c r="B477" s="1" t="s">
        <v>23</v>
      </c>
      <c r="C477" s="11">
        <v>0</v>
      </c>
      <c r="D477" s="11">
        <v>0</v>
      </c>
      <c r="E477" s="2">
        <f t="shared" si="15"/>
        <v>0</v>
      </c>
      <c r="F477" s="11">
        <v>7.0000000000000007E-2</v>
      </c>
      <c r="G477" s="3" t="e">
        <f t="shared" si="14"/>
        <v>#DIV/0!</v>
      </c>
    </row>
    <row r="478" spans="1:7" hidden="1">
      <c r="A478" s="1">
        <v>11</v>
      </c>
      <c r="B478" s="1" t="s">
        <v>23</v>
      </c>
      <c r="C478" s="11">
        <v>0</v>
      </c>
      <c r="D478" s="11">
        <v>0</v>
      </c>
      <c r="E478" s="2">
        <f t="shared" si="15"/>
        <v>0</v>
      </c>
      <c r="F478" s="11">
        <v>7.3999999999999996E-2</v>
      </c>
      <c r="G478" s="3" t="e">
        <f t="shared" si="14"/>
        <v>#DIV/0!</v>
      </c>
    </row>
    <row r="479" spans="1:7" hidden="1">
      <c r="A479" s="1">
        <v>12</v>
      </c>
      <c r="B479" s="1" t="s">
        <v>23</v>
      </c>
      <c r="C479" s="11">
        <v>0</v>
      </c>
      <c r="D479" s="11">
        <v>0</v>
      </c>
      <c r="E479" s="2">
        <f t="shared" si="15"/>
        <v>0</v>
      </c>
      <c r="F479" s="11">
        <v>7.5999999999999998E-2</v>
      </c>
      <c r="G479" s="3" t="e">
        <f t="shared" si="14"/>
        <v>#DIV/0!</v>
      </c>
    </row>
    <row r="480" spans="1:7" hidden="1">
      <c r="A480" s="1">
        <v>13</v>
      </c>
      <c r="B480" s="1" t="s">
        <v>23</v>
      </c>
      <c r="C480" s="11">
        <v>0</v>
      </c>
      <c r="D480" s="11">
        <v>0</v>
      </c>
      <c r="E480" s="2">
        <f t="shared" si="15"/>
        <v>0</v>
      </c>
      <c r="F480" s="11">
        <v>0.08</v>
      </c>
      <c r="G480" s="3" t="e">
        <f t="shared" si="14"/>
        <v>#DIV/0!</v>
      </c>
    </row>
    <row r="481" spans="1:7" hidden="1">
      <c r="A481" s="1">
        <v>14</v>
      </c>
      <c r="B481" s="1" t="s">
        <v>23</v>
      </c>
      <c r="C481" s="11">
        <v>0</v>
      </c>
      <c r="D481" s="11">
        <v>0</v>
      </c>
      <c r="E481" s="2">
        <f t="shared" si="15"/>
        <v>0</v>
      </c>
      <c r="F481" s="11">
        <v>3.4000000000000002E-2</v>
      </c>
      <c r="G481" s="3" t="e">
        <f t="shared" si="14"/>
        <v>#DIV/0!</v>
      </c>
    </row>
    <row r="482" spans="1:7" hidden="1">
      <c r="A482" s="1">
        <v>15</v>
      </c>
      <c r="B482" s="1" t="s">
        <v>23</v>
      </c>
      <c r="C482" s="11">
        <v>0</v>
      </c>
      <c r="D482" s="11">
        <v>0</v>
      </c>
      <c r="E482" s="2">
        <f t="shared" si="15"/>
        <v>0</v>
      </c>
      <c r="F482" s="11">
        <v>7.0000000000000007E-2</v>
      </c>
      <c r="G482" s="3" t="e">
        <f t="shared" si="14"/>
        <v>#DIV/0!</v>
      </c>
    </row>
    <row r="483" spans="1:7" hidden="1">
      <c r="A483" s="1">
        <v>16</v>
      </c>
      <c r="B483" s="1" t="s">
        <v>23</v>
      </c>
      <c r="C483" s="11">
        <v>0</v>
      </c>
      <c r="D483" s="11">
        <v>0</v>
      </c>
      <c r="E483" s="2">
        <f t="shared" si="15"/>
        <v>0</v>
      </c>
      <c r="F483" s="11">
        <v>8.7999999999999995E-2</v>
      </c>
      <c r="G483" s="3" t="e">
        <f t="shared" si="14"/>
        <v>#DIV/0!</v>
      </c>
    </row>
    <row r="484" spans="1:7" hidden="1">
      <c r="A484" s="1">
        <v>17</v>
      </c>
      <c r="B484" s="1" t="s">
        <v>23</v>
      </c>
      <c r="C484" s="11">
        <v>0</v>
      </c>
      <c r="D484" s="11">
        <v>0</v>
      </c>
      <c r="E484" s="2">
        <f t="shared" si="15"/>
        <v>0</v>
      </c>
      <c r="F484" s="11">
        <v>7.0000000000000007E-2</v>
      </c>
      <c r="G484" s="3" t="e">
        <f t="shared" si="14"/>
        <v>#DIV/0!</v>
      </c>
    </row>
    <row r="485" spans="1:7" hidden="1">
      <c r="A485" s="1">
        <v>18</v>
      </c>
      <c r="B485" s="1" t="s">
        <v>23</v>
      </c>
      <c r="C485" s="11">
        <v>0</v>
      </c>
      <c r="D485" s="11">
        <v>0</v>
      </c>
      <c r="E485" s="2">
        <f t="shared" si="15"/>
        <v>0</v>
      </c>
      <c r="F485" s="11">
        <v>0.15</v>
      </c>
      <c r="G485" s="3" t="e">
        <f t="shared" ref="G485:G548" si="16">(E485+F485)/C485</f>
        <v>#DIV/0!</v>
      </c>
    </row>
    <row r="486" spans="1:7" hidden="1">
      <c r="A486" s="1">
        <v>19</v>
      </c>
      <c r="B486" s="1" t="s">
        <v>23</v>
      </c>
      <c r="C486" s="11">
        <v>0</v>
      </c>
      <c r="D486" s="11">
        <v>0</v>
      </c>
      <c r="E486" s="2">
        <f t="shared" si="15"/>
        <v>0</v>
      </c>
      <c r="F486" s="11">
        <v>3.4000000000000002E-2</v>
      </c>
      <c r="G486" s="3" t="e">
        <f t="shared" si="16"/>
        <v>#DIV/0!</v>
      </c>
    </row>
    <row r="487" spans="1:7" hidden="1">
      <c r="A487" s="1">
        <v>20</v>
      </c>
      <c r="B487" s="1" t="s">
        <v>23</v>
      </c>
      <c r="C487" s="11">
        <v>0</v>
      </c>
      <c r="D487" s="11">
        <v>0</v>
      </c>
      <c r="E487" s="2">
        <f t="shared" si="15"/>
        <v>0</v>
      </c>
      <c r="F487" s="11">
        <v>7.8E-2</v>
      </c>
      <c r="G487" s="3" t="e">
        <f t="shared" si="16"/>
        <v>#DIV/0!</v>
      </c>
    </row>
    <row r="488" spans="1:7" hidden="1">
      <c r="A488" s="1">
        <v>21</v>
      </c>
      <c r="B488" s="1" t="s">
        <v>23</v>
      </c>
      <c r="C488" s="11">
        <v>0</v>
      </c>
      <c r="D488" s="11">
        <v>0</v>
      </c>
      <c r="E488" s="2">
        <f t="shared" si="15"/>
        <v>0</v>
      </c>
      <c r="F488" s="11">
        <v>0.1</v>
      </c>
      <c r="G488" s="3" t="e">
        <f t="shared" si="16"/>
        <v>#DIV/0!</v>
      </c>
    </row>
    <row r="489" spans="1:7" hidden="1">
      <c r="A489" s="1">
        <v>22</v>
      </c>
      <c r="B489" s="1" t="s">
        <v>23</v>
      </c>
      <c r="C489" s="11">
        <v>0</v>
      </c>
      <c r="D489" s="11">
        <v>0</v>
      </c>
      <c r="E489" s="2">
        <f t="shared" si="15"/>
        <v>0</v>
      </c>
      <c r="F489" s="11">
        <v>0.08</v>
      </c>
      <c r="G489" s="3" t="e">
        <f t="shared" si="16"/>
        <v>#DIV/0!</v>
      </c>
    </row>
    <row r="490" spans="1:7" hidden="1">
      <c r="A490" s="1">
        <v>23</v>
      </c>
      <c r="B490" s="1" t="s">
        <v>23</v>
      </c>
      <c r="C490" s="11">
        <v>0</v>
      </c>
      <c r="D490" s="11">
        <v>0</v>
      </c>
      <c r="E490" s="2">
        <f t="shared" si="15"/>
        <v>0</v>
      </c>
      <c r="F490" s="11">
        <v>0.08</v>
      </c>
      <c r="G490" s="3" t="e">
        <f t="shared" si="16"/>
        <v>#DIV/0!</v>
      </c>
    </row>
    <row r="491" spans="1:7" hidden="1">
      <c r="A491" s="1">
        <v>24</v>
      </c>
      <c r="B491" s="1" t="s">
        <v>23</v>
      </c>
      <c r="C491" s="11">
        <v>0</v>
      </c>
      <c r="D491" s="11">
        <v>0</v>
      </c>
      <c r="E491" s="2">
        <f t="shared" si="15"/>
        <v>0</v>
      </c>
      <c r="F491" s="11">
        <v>0.91200000000000003</v>
      </c>
      <c r="G491" s="3" t="e">
        <f t="shared" si="16"/>
        <v>#DIV/0!</v>
      </c>
    </row>
    <row r="492" spans="1:7" hidden="1">
      <c r="A492" s="1">
        <v>25</v>
      </c>
      <c r="B492" s="1" t="s">
        <v>23</v>
      </c>
      <c r="C492" s="11">
        <v>0</v>
      </c>
      <c r="D492" s="11">
        <v>0</v>
      </c>
      <c r="E492" s="2">
        <f t="shared" si="15"/>
        <v>0</v>
      </c>
      <c r="F492" s="11">
        <v>8.4000000000000005E-2</v>
      </c>
      <c r="G492" s="3" t="e">
        <f t="shared" si="16"/>
        <v>#DIV/0!</v>
      </c>
    </row>
    <row r="493" spans="1:7" hidden="1">
      <c r="A493" s="1">
        <v>26</v>
      </c>
      <c r="B493" s="1" t="s">
        <v>23</v>
      </c>
      <c r="C493" s="11">
        <v>0</v>
      </c>
      <c r="D493" s="11">
        <v>0</v>
      </c>
      <c r="E493" s="2">
        <f t="shared" si="15"/>
        <v>0</v>
      </c>
      <c r="F493" s="11">
        <v>8.4000000000000005E-2</v>
      </c>
      <c r="G493" s="3" t="e">
        <f t="shared" si="16"/>
        <v>#DIV/0!</v>
      </c>
    </row>
    <row r="494" spans="1:7" hidden="1">
      <c r="A494" s="1">
        <v>27</v>
      </c>
      <c r="B494" s="1" t="s">
        <v>23</v>
      </c>
      <c r="C494" s="11">
        <v>0</v>
      </c>
      <c r="D494" s="11">
        <v>0</v>
      </c>
      <c r="E494" s="2">
        <f t="shared" si="15"/>
        <v>0</v>
      </c>
      <c r="F494" s="11">
        <v>0.09</v>
      </c>
      <c r="G494" s="3" t="e">
        <f t="shared" si="16"/>
        <v>#DIV/0!</v>
      </c>
    </row>
    <row r="495" spans="1:7" hidden="1">
      <c r="A495" s="1">
        <v>28</v>
      </c>
      <c r="B495" s="1" t="s">
        <v>23</v>
      </c>
      <c r="C495" s="11">
        <v>0</v>
      </c>
      <c r="D495" s="11">
        <v>0</v>
      </c>
      <c r="E495" s="2">
        <f t="shared" si="15"/>
        <v>0</v>
      </c>
      <c r="F495" s="11">
        <v>7.3999999999999996E-2</v>
      </c>
      <c r="G495" s="3" t="e">
        <f t="shared" si="16"/>
        <v>#DIV/0!</v>
      </c>
    </row>
    <row r="496" spans="1:7" hidden="1">
      <c r="A496" s="1">
        <v>29</v>
      </c>
      <c r="B496" s="1" t="s">
        <v>23</v>
      </c>
      <c r="C496" s="11">
        <v>0</v>
      </c>
      <c r="D496" s="11">
        <v>0</v>
      </c>
      <c r="E496" s="2">
        <f t="shared" si="15"/>
        <v>0</v>
      </c>
      <c r="F496" s="11">
        <v>0.24399999999999999</v>
      </c>
      <c r="G496" s="3" t="e">
        <f t="shared" si="16"/>
        <v>#DIV/0!</v>
      </c>
    </row>
    <row r="497" spans="1:7" hidden="1">
      <c r="A497" s="1">
        <v>30</v>
      </c>
      <c r="B497" s="1" t="s">
        <v>23</v>
      </c>
      <c r="C497" s="11">
        <v>0</v>
      </c>
      <c r="D497" s="11">
        <v>0</v>
      </c>
      <c r="E497" s="2">
        <f t="shared" si="15"/>
        <v>0</v>
      </c>
      <c r="F497" s="11">
        <v>6.8000000000000005E-2</v>
      </c>
      <c r="G497" s="3" t="e">
        <f t="shared" si="16"/>
        <v>#DIV/0!</v>
      </c>
    </row>
    <row r="498" spans="1:7" hidden="1">
      <c r="A498" s="1">
        <v>31</v>
      </c>
      <c r="B498" s="1" t="s">
        <v>23</v>
      </c>
      <c r="C498" s="11">
        <v>0</v>
      </c>
      <c r="D498" s="11">
        <v>0</v>
      </c>
      <c r="E498" s="2">
        <f t="shared" si="15"/>
        <v>0</v>
      </c>
      <c r="F498" s="11">
        <v>3.4000000000000002E-2</v>
      </c>
      <c r="G498" s="3" t="e">
        <f t="shared" si="16"/>
        <v>#DIV/0!</v>
      </c>
    </row>
    <row r="499" spans="1:7" hidden="1">
      <c r="A499" s="1">
        <v>1</v>
      </c>
      <c r="B499" s="1" t="s">
        <v>24</v>
      </c>
      <c r="C499" s="11">
        <v>20</v>
      </c>
      <c r="D499" s="11">
        <v>19.809999999999999</v>
      </c>
      <c r="E499" s="2">
        <f t="shared" si="15"/>
        <v>0.19000000000000128</v>
      </c>
      <c r="F499" s="11">
        <v>0.20499999999999999</v>
      </c>
      <c r="G499" s="3">
        <f t="shared" ref="G499:G529" si="17">(E499+F499)/C499</f>
        <v>1.9750000000000063E-2</v>
      </c>
    </row>
    <row r="500" spans="1:7" hidden="1">
      <c r="A500" s="1">
        <v>2</v>
      </c>
      <c r="B500" s="1" t="s">
        <v>24</v>
      </c>
      <c r="C500" s="11">
        <v>0</v>
      </c>
      <c r="D500" s="11">
        <v>0</v>
      </c>
      <c r="E500" s="2">
        <f t="shared" si="15"/>
        <v>0</v>
      </c>
      <c r="F500" s="11">
        <v>0</v>
      </c>
      <c r="G500" s="3" t="e">
        <f t="shared" si="17"/>
        <v>#DIV/0!</v>
      </c>
    </row>
    <row r="501" spans="1:7" hidden="1">
      <c r="A501" s="1">
        <v>3</v>
      </c>
      <c r="B501" s="1" t="s">
        <v>24</v>
      </c>
      <c r="C501" s="11">
        <v>0</v>
      </c>
      <c r="D501" s="11">
        <v>0</v>
      </c>
      <c r="E501" s="2">
        <f t="shared" si="15"/>
        <v>0</v>
      </c>
      <c r="F501" s="11">
        <v>0</v>
      </c>
      <c r="G501" s="3" t="e">
        <f t="shared" si="17"/>
        <v>#DIV/0!</v>
      </c>
    </row>
    <row r="502" spans="1:7" hidden="1">
      <c r="A502" s="1">
        <v>4</v>
      </c>
      <c r="B502" s="1" t="s">
        <v>24</v>
      </c>
      <c r="C502" s="11">
        <v>0</v>
      </c>
      <c r="D502" s="11">
        <v>0</v>
      </c>
      <c r="E502" s="2">
        <f t="shared" si="15"/>
        <v>0</v>
      </c>
      <c r="F502" s="11">
        <v>0.104</v>
      </c>
      <c r="G502" s="3" t="e">
        <f t="shared" si="17"/>
        <v>#DIV/0!</v>
      </c>
    </row>
    <row r="503" spans="1:7" hidden="1">
      <c r="A503" s="1">
        <v>5</v>
      </c>
      <c r="B503" s="1" t="s">
        <v>24</v>
      </c>
      <c r="C503" s="11">
        <v>20</v>
      </c>
      <c r="D503" s="11">
        <v>19.88</v>
      </c>
      <c r="E503" s="2">
        <f t="shared" si="15"/>
        <v>0.12000000000000099</v>
      </c>
      <c r="F503" s="11">
        <v>0.27</v>
      </c>
      <c r="G503" s="3">
        <f t="shared" si="17"/>
        <v>1.9500000000000052E-2</v>
      </c>
    </row>
    <row r="504" spans="1:7" hidden="1">
      <c r="A504" s="1">
        <v>6</v>
      </c>
      <c r="B504" s="1" t="s">
        <v>24</v>
      </c>
      <c r="C504" s="11">
        <v>0</v>
      </c>
      <c r="D504" s="11">
        <v>0</v>
      </c>
      <c r="E504" s="2">
        <f t="shared" si="15"/>
        <v>0</v>
      </c>
      <c r="F504" s="11">
        <v>0</v>
      </c>
      <c r="G504" s="3" t="e">
        <f t="shared" si="17"/>
        <v>#DIV/0!</v>
      </c>
    </row>
    <row r="505" spans="1:7" hidden="1">
      <c r="A505" s="1">
        <v>7</v>
      </c>
      <c r="B505" s="1" t="s">
        <v>24</v>
      </c>
      <c r="C505" s="11">
        <v>0</v>
      </c>
      <c r="D505" s="11">
        <v>0</v>
      </c>
      <c r="E505" s="2">
        <f t="shared" si="15"/>
        <v>0</v>
      </c>
      <c r="F505" s="11">
        <v>0</v>
      </c>
      <c r="G505" s="3" t="e">
        <f t="shared" si="17"/>
        <v>#DIV/0!</v>
      </c>
    </row>
    <row r="506" spans="1:7" hidden="1">
      <c r="A506" s="1">
        <v>10</v>
      </c>
      <c r="B506" s="1" t="s">
        <v>24</v>
      </c>
      <c r="C506" s="11">
        <v>20</v>
      </c>
      <c r="D506" s="11">
        <v>19.95</v>
      </c>
      <c r="E506" s="2">
        <f t="shared" si="15"/>
        <v>5.0000000000000711E-2</v>
      </c>
      <c r="F506" s="11">
        <v>0.255</v>
      </c>
      <c r="G506" s="3">
        <f t="shared" si="17"/>
        <v>1.5250000000000036E-2</v>
      </c>
    </row>
    <row r="507" spans="1:7" hidden="1">
      <c r="A507" s="1">
        <v>8</v>
      </c>
      <c r="B507" s="1" t="s">
        <v>24</v>
      </c>
      <c r="C507" s="11">
        <v>0</v>
      </c>
      <c r="D507" s="11">
        <v>0</v>
      </c>
      <c r="E507" s="2">
        <f t="shared" si="15"/>
        <v>0</v>
      </c>
      <c r="F507" s="11">
        <v>0</v>
      </c>
      <c r="G507" s="3" t="e">
        <f t="shared" si="17"/>
        <v>#DIV/0!</v>
      </c>
    </row>
    <row r="508" spans="1:7" hidden="1">
      <c r="A508" s="1">
        <v>9</v>
      </c>
      <c r="B508" s="1" t="s">
        <v>24</v>
      </c>
      <c r="C508" s="11">
        <v>0</v>
      </c>
      <c r="D508" s="11">
        <v>0</v>
      </c>
      <c r="E508" s="2">
        <f t="shared" si="15"/>
        <v>0</v>
      </c>
      <c r="F508" s="11">
        <v>0</v>
      </c>
      <c r="G508" s="3" t="e">
        <f t="shared" si="17"/>
        <v>#DIV/0!</v>
      </c>
    </row>
    <row r="509" spans="1:7" hidden="1">
      <c r="A509" s="1">
        <v>11</v>
      </c>
      <c r="B509" s="1" t="s">
        <v>24</v>
      </c>
      <c r="C509" s="11">
        <v>0</v>
      </c>
      <c r="D509" s="11">
        <v>0</v>
      </c>
      <c r="E509" s="2">
        <f t="shared" si="15"/>
        <v>0</v>
      </c>
      <c r="F509" s="11">
        <v>0</v>
      </c>
      <c r="G509" s="3" t="e">
        <f t="shared" si="17"/>
        <v>#DIV/0!</v>
      </c>
    </row>
    <row r="510" spans="1:7" hidden="1">
      <c r="A510" s="1">
        <v>12</v>
      </c>
      <c r="B510" s="1" t="s">
        <v>24</v>
      </c>
      <c r="C510" s="11">
        <v>0</v>
      </c>
      <c r="D510" s="11">
        <v>0</v>
      </c>
      <c r="E510" s="2">
        <f t="shared" si="15"/>
        <v>0</v>
      </c>
      <c r="F510" s="11">
        <v>0</v>
      </c>
      <c r="G510" s="3" t="e">
        <f t="shared" si="17"/>
        <v>#DIV/0!</v>
      </c>
    </row>
    <row r="511" spans="1:7" hidden="1">
      <c r="A511" s="1">
        <v>13</v>
      </c>
      <c r="B511" s="1" t="s">
        <v>24</v>
      </c>
      <c r="C511" s="11">
        <v>20</v>
      </c>
      <c r="D511" s="11">
        <v>19.93</v>
      </c>
      <c r="E511" s="2">
        <f t="shared" si="15"/>
        <v>7.0000000000000284E-2</v>
      </c>
      <c r="F511" s="11">
        <v>0.32500000000000001</v>
      </c>
      <c r="G511" s="3">
        <f t="shared" si="17"/>
        <v>1.9750000000000014E-2</v>
      </c>
    </row>
    <row r="512" spans="1:7" hidden="1">
      <c r="A512" s="1">
        <v>14</v>
      </c>
      <c r="B512" s="1" t="s">
        <v>24</v>
      </c>
      <c r="C512" s="11">
        <v>0</v>
      </c>
      <c r="D512" s="11">
        <v>0</v>
      </c>
      <c r="E512" s="2">
        <f t="shared" si="15"/>
        <v>0</v>
      </c>
      <c r="F512" s="11">
        <v>0</v>
      </c>
      <c r="G512" s="3" t="e">
        <f t="shared" si="17"/>
        <v>#DIV/0!</v>
      </c>
    </row>
    <row r="513" spans="1:7" hidden="1">
      <c r="A513" s="1">
        <v>15</v>
      </c>
      <c r="B513" s="1" t="s">
        <v>24</v>
      </c>
      <c r="C513" s="11">
        <v>0</v>
      </c>
      <c r="D513" s="11">
        <v>0</v>
      </c>
      <c r="E513" s="2">
        <f t="shared" si="15"/>
        <v>0</v>
      </c>
      <c r="F513" s="11">
        <v>9.5000000000000001E-2</v>
      </c>
      <c r="G513" s="3" t="e">
        <f t="shared" si="17"/>
        <v>#DIV/0!</v>
      </c>
    </row>
    <row r="514" spans="1:7" hidden="1">
      <c r="A514" s="1">
        <v>16</v>
      </c>
      <c r="B514" s="1" t="s">
        <v>24</v>
      </c>
      <c r="C514" s="11">
        <v>0</v>
      </c>
      <c r="D514" s="11">
        <v>0</v>
      </c>
      <c r="E514" s="2">
        <f t="shared" si="15"/>
        <v>0</v>
      </c>
      <c r="F514" s="11">
        <v>1.4999999999999999E-2</v>
      </c>
      <c r="G514" s="3" t="e">
        <f t="shared" si="17"/>
        <v>#DIV/0!</v>
      </c>
    </row>
    <row r="515" spans="1:7" hidden="1">
      <c r="A515" s="1">
        <v>17</v>
      </c>
      <c r="B515" s="1" t="s">
        <v>24</v>
      </c>
      <c r="C515" s="11">
        <v>0</v>
      </c>
      <c r="D515" s="11">
        <v>0</v>
      </c>
      <c r="E515" s="2">
        <f t="shared" si="15"/>
        <v>0</v>
      </c>
      <c r="F515" s="11">
        <v>0.11</v>
      </c>
      <c r="G515" s="3" t="e">
        <f t="shared" si="17"/>
        <v>#DIV/0!</v>
      </c>
    </row>
    <row r="516" spans="1:7" hidden="1">
      <c r="A516" s="1">
        <v>18</v>
      </c>
      <c r="B516" s="1" t="s">
        <v>24</v>
      </c>
      <c r="C516" s="11">
        <v>0</v>
      </c>
      <c r="D516" s="11">
        <v>0</v>
      </c>
      <c r="E516" s="2">
        <f t="shared" ref="E516:E579" si="18">C516-D516</f>
        <v>0</v>
      </c>
      <c r="F516" s="11">
        <v>0</v>
      </c>
      <c r="G516" s="3" t="e">
        <f t="shared" si="17"/>
        <v>#DIV/0!</v>
      </c>
    </row>
    <row r="517" spans="1:7" hidden="1">
      <c r="A517" s="1">
        <v>19</v>
      </c>
      <c r="B517" s="1" t="s">
        <v>24</v>
      </c>
      <c r="C517" s="11">
        <v>0</v>
      </c>
      <c r="D517" s="11">
        <v>0</v>
      </c>
      <c r="E517" s="2">
        <f t="shared" si="18"/>
        <v>0</v>
      </c>
      <c r="F517" s="11">
        <v>0.20399999999999999</v>
      </c>
      <c r="G517" s="3" t="e">
        <f t="shared" si="17"/>
        <v>#DIV/0!</v>
      </c>
    </row>
    <row r="518" spans="1:7" hidden="1">
      <c r="A518" s="1">
        <v>20</v>
      </c>
      <c r="B518" s="1" t="s">
        <v>24</v>
      </c>
      <c r="C518" s="11">
        <v>20</v>
      </c>
      <c r="D518" s="11">
        <v>19.82</v>
      </c>
      <c r="E518" s="2">
        <f t="shared" si="18"/>
        <v>0.17999999999999972</v>
      </c>
      <c r="F518" s="11">
        <v>0.155</v>
      </c>
      <c r="G518" s="3">
        <f t="shared" si="17"/>
        <v>1.6749999999999987E-2</v>
      </c>
    </row>
    <row r="519" spans="1:7" hidden="1">
      <c r="A519" s="1">
        <v>21</v>
      </c>
      <c r="B519" s="1" t="s">
        <v>24</v>
      </c>
      <c r="C519" s="11">
        <v>0</v>
      </c>
      <c r="D519" s="11">
        <v>0</v>
      </c>
      <c r="E519" s="2">
        <f t="shared" si="18"/>
        <v>0</v>
      </c>
      <c r="F519" s="11">
        <v>0</v>
      </c>
      <c r="G519" s="3" t="e">
        <f t="shared" si="17"/>
        <v>#DIV/0!</v>
      </c>
    </row>
    <row r="520" spans="1:7" hidden="1">
      <c r="A520" s="1">
        <v>22</v>
      </c>
      <c r="B520" s="1" t="s">
        <v>24</v>
      </c>
      <c r="C520" s="11">
        <v>0</v>
      </c>
      <c r="D520" s="11">
        <v>0</v>
      </c>
      <c r="E520" s="2">
        <f t="shared" si="18"/>
        <v>0</v>
      </c>
      <c r="F520" s="11">
        <v>0</v>
      </c>
      <c r="G520" s="3" t="e">
        <f t="shared" si="17"/>
        <v>#DIV/0!</v>
      </c>
    </row>
    <row r="521" spans="1:7" hidden="1">
      <c r="A521" s="1">
        <v>23</v>
      </c>
      <c r="B521" s="1" t="s">
        <v>24</v>
      </c>
      <c r="C521" s="11">
        <v>0</v>
      </c>
      <c r="D521" s="11">
        <v>0</v>
      </c>
      <c r="E521" s="2">
        <f t="shared" si="18"/>
        <v>0</v>
      </c>
      <c r="F521" s="11">
        <v>0</v>
      </c>
      <c r="G521" s="3" t="e">
        <f t="shared" si="17"/>
        <v>#DIV/0!</v>
      </c>
    </row>
    <row r="522" spans="1:7" hidden="1">
      <c r="A522" s="1">
        <v>24</v>
      </c>
      <c r="B522" s="1" t="s">
        <v>24</v>
      </c>
      <c r="C522" s="11">
        <v>0</v>
      </c>
      <c r="D522" s="11">
        <v>0</v>
      </c>
      <c r="E522" s="2">
        <f t="shared" si="18"/>
        <v>0</v>
      </c>
      <c r="F522" s="11">
        <v>0</v>
      </c>
      <c r="G522" s="3" t="e">
        <f t="shared" si="17"/>
        <v>#DIV/0!</v>
      </c>
    </row>
    <row r="523" spans="1:7" hidden="1">
      <c r="A523" s="1">
        <v>25</v>
      </c>
      <c r="B523" s="1" t="s">
        <v>24</v>
      </c>
      <c r="C523" s="11">
        <v>20</v>
      </c>
      <c r="D523" s="11">
        <v>19.829999999999998</v>
      </c>
      <c r="E523" s="2">
        <f t="shared" si="18"/>
        <v>0.17000000000000171</v>
      </c>
      <c r="F523" s="11">
        <v>0.25600000000000001</v>
      </c>
      <c r="G523" s="3">
        <f t="shared" si="17"/>
        <v>2.1300000000000086E-2</v>
      </c>
    </row>
    <row r="524" spans="1:7" hidden="1">
      <c r="A524" s="1">
        <v>26</v>
      </c>
      <c r="B524" s="1" t="s">
        <v>24</v>
      </c>
      <c r="C524" s="11">
        <v>0</v>
      </c>
      <c r="D524" s="11">
        <v>0</v>
      </c>
      <c r="E524" s="2">
        <f t="shared" si="18"/>
        <v>0</v>
      </c>
      <c r="F524" s="11">
        <v>5.2999999999999999E-2</v>
      </c>
      <c r="G524" s="3" t="e">
        <f t="shared" si="17"/>
        <v>#DIV/0!</v>
      </c>
    </row>
    <row r="525" spans="1:7" hidden="1">
      <c r="A525" s="1">
        <v>27</v>
      </c>
      <c r="B525" s="1" t="s">
        <v>24</v>
      </c>
      <c r="C525" s="11">
        <v>0</v>
      </c>
      <c r="D525" s="11">
        <v>0</v>
      </c>
      <c r="E525" s="2">
        <f t="shared" si="18"/>
        <v>0</v>
      </c>
      <c r="F525" s="11">
        <v>0</v>
      </c>
      <c r="G525" s="3" t="e">
        <f t="shared" si="17"/>
        <v>#DIV/0!</v>
      </c>
    </row>
    <row r="526" spans="1:7" hidden="1">
      <c r="A526" s="1">
        <v>28</v>
      </c>
      <c r="B526" s="1" t="s">
        <v>24</v>
      </c>
      <c r="C526" s="11">
        <v>20</v>
      </c>
      <c r="D526" s="11">
        <v>19.86</v>
      </c>
      <c r="E526" s="2">
        <f t="shared" si="18"/>
        <v>0.14000000000000057</v>
      </c>
      <c r="F526" s="11">
        <v>0.30599999999999999</v>
      </c>
      <c r="G526" s="3">
        <f t="shared" si="17"/>
        <v>2.2300000000000028E-2</v>
      </c>
    </row>
    <row r="527" spans="1:7" hidden="1">
      <c r="A527" s="1">
        <v>29</v>
      </c>
      <c r="B527" s="1" t="s">
        <v>24</v>
      </c>
      <c r="C527" s="11">
        <v>0</v>
      </c>
      <c r="D527" s="11">
        <v>0</v>
      </c>
      <c r="E527" s="2">
        <f t="shared" si="18"/>
        <v>0</v>
      </c>
      <c r="F527" s="11">
        <v>0</v>
      </c>
      <c r="G527" s="3" t="e">
        <f t="shared" si="17"/>
        <v>#DIV/0!</v>
      </c>
    </row>
    <row r="528" spans="1:7" hidden="1">
      <c r="A528" s="1">
        <v>30</v>
      </c>
      <c r="B528" s="1" t="s">
        <v>24</v>
      </c>
      <c r="C528" s="11">
        <v>3</v>
      </c>
      <c r="D528" s="11">
        <v>2.96</v>
      </c>
      <c r="E528" s="2">
        <f t="shared" si="18"/>
        <v>4.0000000000000036E-2</v>
      </c>
      <c r="F528" s="11">
        <v>0</v>
      </c>
      <c r="G528" s="3">
        <f t="shared" si="17"/>
        <v>1.3333333333333345E-2</v>
      </c>
    </row>
    <row r="529" spans="1:7" hidden="1">
      <c r="A529" s="1">
        <v>31</v>
      </c>
      <c r="B529" s="1" t="s">
        <v>24</v>
      </c>
      <c r="C529" s="11">
        <v>0</v>
      </c>
      <c r="D529" s="11">
        <v>0</v>
      </c>
      <c r="E529" s="2">
        <f t="shared" si="18"/>
        <v>0</v>
      </c>
      <c r="F529" s="11">
        <v>0</v>
      </c>
      <c r="G529" s="3" t="e">
        <f t="shared" si="17"/>
        <v>#DIV/0!</v>
      </c>
    </row>
    <row r="530" spans="1:7" hidden="1">
      <c r="A530" s="1">
        <v>1</v>
      </c>
      <c r="B530" s="1" t="s">
        <v>25</v>
      </c>
      <c r="C530" s="11">
        <v>0</v>
      </c>
      <c r="D530" s="11">
        <v>0</v>
      </c>
      <c r="E530" s="2">
        <f t="shared" si="18"/>
        <v>0</v>
      </c>
      <c r="F530" s="11">
        <v>8.6999999999999994E-2</v>
      </c>
      <c r="G530" s="3" t="e">
        <f t="shared" si="16"/>
        <v>#DIV/0!</v>
      </c>
    </row>
    <row r="531" spans="1:7" hidden="1">
      <c r="A531" s="1">
        <v>2</v>
      </c>
      <c r="B531" s="1" t="s">
        <v>25</v>
      </c>
      <c r="C531" s="11">
        <v>0</v>
      </c>
      <c r="D531" s="11">
        <v>0</v>
      </c>
      <c r="E531" s="2">
        <f t="shared" si="18"/>
        <v>0</v>
      </c>
      <c r="F531" s="11">
        <v>3.5000000000000003E-2</v>
      </c>
      <c r="G531" s="3" t="e">
        <f t="shared" si="16"/>
        <v>#DIV/0!</v>
      </c>
    </row>
    <row r="532" spans="1:7" hidden="1">
      <c r="A532" s="1">
        <v>3</v>
      </c>
      <c r="B532" s="1" t="s">
        <v>25</v>
      </c>
      <c r="C532" s="11">
        <v>0</v>
      </c>
      <c r="D532" s="11">
        <v>0</v>
      </c>
      <c r="E532" s="2">
        <f t="shared" si="18"/>
        <v>0</v>
      </c>
      <c r="F532" s="11">
        <v>9.1999999999999998E-2</v>
      </c>
      <c r="G532" s="3" t="e">
        <f t="shared" si="16"/>
        <v>#DIV/0!</v>
      </c>
    </row>
    <row r="533" spans="1:7" hidden="1">
      <c r="A533" s="1">
        <v>4</v>
      </c>
      <c r="B533" s="1" t="s">
        <v>25</v>
      </c>
      <c r="C533" s="11">
        <v>0</v>
      </c>
      <c r="D533" s="11">
        <v>0</v>
      </c>
      <c r="E533" s="2">
        <f t="shared" si="18"/>
        <v>0</v>
      </c>
      <c r="F533" s="11">
        <v>0</v>
      </c>
      <c r="G533" s="3" t="e">
        <f t="shared" si="16"/>
        <v>#DIV/0!</v>
      </c>
    </row>
    <row r="534" spans="1:7" hidden="1">
      <c r="A534" s="1">
        <v>5</v>
      </c>
      <c r="B534" s="1" t="s">
        <v>25</v>
      </c>
      <c r="C534" s="11">
        <v>0</v>
      </c>
      <c r="D534" s="11">
        <v>0</v>
      </c>
      <c r="E534" s="2">
        <f t="shared" si="18"/>
        <v>0</v>
      </c>
      <c r="F534" s="11">
        <v>4.3299999999998562E-2</v>
      </c>
      <c r="G534" s="3" t="e">
        <f t="shared" si="16"/>
        <v>#DIV/0!</v>
      </c>
    </row>
    <row r="535" spans="1:7" hidden="1">
      <c r="A535" s="1">
        <v>6</v>
      </c>
      <c r="B535" s="1" t="s">
        <v>25</v>
      </c>
      <c r="C535" s="11">
        <v>0</v>
      </c>
      <c r="D535" s="11">
        <v>0</v>
      </c>
      <c r="E535" s="2">
        <f t="shared" si="18"/>
        <v>0</v>
      </c>
      <c r="F535" s="11">
        <v>0.08</v>
      </c>
      <c r="G535" s="3" t="e">
        <f t="shared" si="16"/>
        <v>#DIV/0!</v>
      </c>
    </row>
    <row r="536" spans="1:7" hidden="1">
      <c r="A536" s="1">
        <v>7</v>
      </c>
      <c r="B536" s="1" t="s">
        <v>25</v>
      </c>
      <c r="C536" s="11">
        <v>0</v>
      </c>
      <c r="D536" s="11">
        <v>0</v>
      </c>
      <c r="E536" s="2">
        <f t="shared" si="18"/>
        <v>0</v>
      </c>
      <c r="F536" s="11">
        <v>7.8E-2</v>
      </c>
      <c r="G536" s="3" t="e">
        <f t="shared" si="16"/>
        <v>#DIV/0!</v>
      </c>
    </row>
    <row r="537" spans="1:7" hidden="1">
      <c r="A537" s="1">
        <v>10</v>
      </c>
      <c r="B537" s="1" t="s">
        <v>25</v>
      </c>
      <c r="C537" s="11">
        <v>0</v>
      </c>
      <c r="D537" s="11">
        <v>0</v>
      </c>
      <c r="E537" s="2">
        <f t="shared" si="18"/>
        <v>0</v>
      </c>
      <c r="F537" s="11">
        <v>8.73999999999997E-2</v>
      </c>
      <c r="G537" s="3" t="e">
        <f t="shared" si="16"/>
        <v>#DIV/0!</v>
      </c>
    </row>
    <row r="538" spans="1:7" hidden="1">
      <c r="A538" s="1">
        <v>8</v>
      </c>
      <c r="B538" s="1" t="s">
        <v>25</v>
      </c>
      <c r="C538" s="11">
        <v>0</v>
      </c>
      <c r="D538" s="11">
        <v>0</v>
      </c>
      <c r="E538" s="2">
        <f t="shared" si="18"/>
        <v>0</v>
      </c>
      <c r="F538" s="11">
        <v>0</v>
      </c>
      <c r="G538" s="3" t="e">
        <f t="shared" si="16"/>
        <v>#DIV/0!</v>
      </c>
    </row>
    <row r="539" spans="1:7" hidden="1">
      <c r="A539" s="1">
        <v>9</v>
      </c>
      <c r="B539" s="1" t="s">
        <v>25</v>
      </c>
      <c r="C539" s="11">
        <v>0</v>
      </c>
      <c r="D539" s="11">
        <v>0</v>
      </c>
      <c r="E539" s="2">
        <f t="shared" si="18"/>
        <v>0</v>
      </c>
      <c r="F539" s="11">
        <v>9.1599999999999682E-2</v>
      </c>
      <c r="G539" s="3" t="e">
        <f t="shared" si="16"/>
        <v>#DIV/0!</v>
      </c>
    </row>
    <row r="540" spans="1:7" hidden="1">
      <c r="A540" s="1">
        <v>11</v>
      </c>
      <c r="B540" s="1" t="s">
        <v>25</v>
      </c>
      <c r="C540" s="11">
        <v>0</v>
      </c>
      <c r="D540" s="11">
        <v>0</v>
      </c>
      <c r="E540" s="2">
        <f t="shared" si="18"/>
        <v>0</v>
      </c>
      <c r="F540" s="11">
        <v>9.0999999999999998E-2</v>
      </c>
      <c r="G540" s="3" t="e">
        <f t="shared" si="16"/>
        <v>#DIV/0!</v>
      </c>
    </row>
    <row r="541" spans="1:7" hidden="1">
      <c r="A541" s="1">
        <v>12</v>
      </c>
      <c r="B541" s="1" t="s">
        <v>25</v>
      </c>
      <c r="C541" s="11">
        <v>0</v>
      </c>
      <c r="D541" s="11">
        <v>0</v>
      </c>
      <c r="E541" s="2">
        <f t="shared" si="18"/>
        <v>0</v>
      </c>
      <c r="F541" s="11">
        <v>0.105</v>
      </c>
      <c r="G541" s="3" t="e">
        <f t="shared" si="16"/>
        <v>#DIV/0!</v>
      </c>
    </row>
    <row r="542" spans="1:7" hidden="1">
      <c r="A542" s="1">
        <v>13</v>
      </c>
      <c r="B542" s="1" t="s">
        <v>25</v>
      </c>
      <c r="C542" s="11">
        <v>0</v>
      </c>
      <c r="D542" s="11">
        <v>0</v>
      </c>
      <c r="E542" s="2">
        <f t="shared" si="18"/>
        <v>0</v>
      </c>
      <c r="F542" s="11">
        <v>0.109</v>
      </c>
      <c r="G542" s="3" t="e">
        <f t="shared" si="16"/>
        <v>#DIV/0!</v>
      </c>
    </row>
    <row r="543" spans="1:7" hidden="1">
      <c r="A543" s="1">
        <v>14</v>
      </c>
      <c r="B543" s="1" t="s">
        <v>25</v>
      </c>
      <c r="C543" s="11">
        <v>0</v>
      </c>
      <c r="D543" s="11">
        <v>0</v>
      </c>
      <c r="E543" s="2">
        <f t="shared" si="18"/>
        <v>0</v>
      </c>
      <c r="F543" s="11">
        <v>0.105</v>
      </c>
      <c r="G543" s="3" t="e">
        <f t="shared" si="16"/>
        <v>#DIV/0!</v>
      </c>
    </row>
    <row r="544" spans="1:7" hidden="1">
      <c r="A544" s="1">
        <v>15</v>
      </c>
      <c r="B544" s="1" t="s">
        <v>25</v>
      </c>
      <c r="C544" s="11">
        <v>0</v>
      </c>
      <c r="D544" s="11">
        <v>0</v>
      </c>
      <c r="E544" s="2">
        <f t="shared" si="18"/>
        <v>0</v>
      </c>
      <c r="F544" s="11">
        <v>7.5999999999999998E-2</v>
      </c>
      <c r="G544" s="3" t="e">
        <f t="shared" si="16"/>
        <v>#DIV/0!</v>
      </c>
    </row>
    <row r="545" spans="1:7" hidden="1">
      <c r="A545" s="1">
        <v>16</v>
      </c>
      <c r="B545" s="1" t="s">
        <v>25</v>
      </c>
      <c r="C545" s="11">
        <v>0</v>
      </c>
      <c r="D545" s="11">
        <v>0</v>
      </c>
      <c r="E545" s="2">
        <f t="shared" si="18"/>
        <v>0</v>
      </c>
      <c r="F545" s="11">
        <v>7.1999999999999995E-2</v>
      </c>
      <c r="G545" s="3" t="e">
        <f t="shared" si="16"/>
        <v>#DIV/0!</v>
      </c>
    </row>
    <row r="546" spans="1:7" hidden="1">
      <c r="A546" s="1">
        <v>17</v>
      </c>
      <c r="B546" s="1" t="s">
        <v>25</v>
      </c>
      <c r="C546" s="11">
        <v>0</v>
      </c>
      <c r="D546" s="11">
        <v>0</v>
      </c>
      <c r="E546" s="2">
        <f t="shared" si="18"/>
        <v>0</v>
      </c>
      <c r="F546" s="11">
        <v>0</v>
      </c>
      <c r="G546" s="3" t="e">
        <f t="shared" si="16"/>
        <v>#DIV/0!</v>
      </c>
    </row>
    <row r="547" spans="1:7" hidden="1">
      <c r="A547" s="1">
        <v>18</v>
      </c>
      <c r="B547" s="1" t="s">
        <v>25</v>
      </c>
      <c r="C547" s="11">
        <v>0</v>
      </c>
      <c r="D547" s="11">
        <v>0</v>
      </c>
      <c r="E547" s="2">
        <f t="shared" si="18"/>
        <v>0</v>
      </c>
      <c r="F547" s="11">
        <v>9.8000000000000004E-2</v>
      </c>
      <c r="G547" s="3" t="e">
        <f t="shared" si="16"/>
        <v>#DIV/0!</v>
      </c>
    </row>
    <row r="548" spans="1:7" hidden="1">
      <c r="A548" s="1">
        <v>19</v>
      </c>
      <c r="B548" s="1" t="s">
        <v>25</v>
      </c>
      <c r="C548" s="11">
        <v>0</v>
      </c>
      <c r="D548" s="11">
        <v>0</v>
      </c>
      <c r="E548" s="2">
        <f t="shared" si="18"/>
        <v>0</v>
      </c>
      <c r="F548" s="11">
        <v>7.3999999999999996E-2</v>
      </c>
      <c r="G548" s="3" t="e">
        <f t="shared" si="16"/>
        <v>#DIV/0!</v>
      </c>
    </row>
    <row r="549" spans="1:7" hidden="1">
      <c r="A549" s="1">
        <v>20</v>
      </c>
      <c r="B549" s="1" t="s">
        <v>25</v>
      </c>
      <c r="C549" s="11">
        <v>0</v>
      </c>
      <c r="D549" s="11">
        <v>0</v>
      </c>
      <c r="E549" s="2">
        <f t="shared" si="18"/>
        <v>0</v>
      </c>
      <c r="F549" s="11">
        <v>4.8000000000000001E-2</v>
      </c>
      <c r="G549" s="3" t="e">
        <f t="shared" ref="G549:G612" si="19">(E549+F549)/C549</f>
        <v>#DIV/0!</v>
      </c>
    </row>
    <row r="550" spans="1:7" hidden="1">
      <c r="A550" s="1">
        <v>21</v>
      </c>
      <c r="B550" s="1" t="s">
        <v>25</v>
      </c>
      <c r="C550" s="11">
        <v>0</v>
      </c>
      <c r="D550" s="11">
        <v>0</v>
      </c>
      <c r="E550" s="2">
        <f t="shared" si="18"/>
        <v>0</v>
      </c>
      <c r="F550" s="11">
        <v>5.1999999999999998E-2</v>
      </c>
      <c r="G550" s="3" t="e">
        <f t="shared" si="19"/>
        <v>#DIV/0!</v>
      </c>
    </row>
    <row r="551" spans="1:7" hidden="1">
      <c r="A551" s="1">
        <v>22</v>
      </c>
      <c r="B551" s="1" t="s">
        <v>25</v>
      </c>
      <c r="C551" s="11">
        <v>0</v>
      </c>
      <c r="D551" s="11">
        <v>0</v>
      </c>
      <c r="E551" s="2">
        <f t="shared" si="18"/>
        <v>0</v>
      </c>
      <c r="F551" s="11">
        <v>2.5000000000000001E-2</v>
      </c>
      <c r="G551" s="3" t="e">
        <f t="shared" si="19"/>
        <v>#DIV/0!</v>
      </c>
    </row>
    <row r="552" spans="1:7" hidden="1">
      <c r="A552" s="1">
        <v>23</v>
      </c>
      <c r="B552" s="1" t="s">
        <v>25</v>
      </c>
      <c r="C552" s="11">
        <v>0</v>
      </c>
      <c r="D552" s="11">
        <v>0</v>
      </c>
      <c r="E552" s="2">
        <f t="shared" si="18"/>
        <v>0</v>
      </c>
      <c r="F552" s="11">
        <v>0.04</v>
      </c>
      <c r="G552" s="3" t="e">
        <f t="shared" si="19"/>
        <v>#DIV/0!</v>
      </c>
    </row>
    <row r="553" spans="1:7" hidden="1">
      <c r="A553" s="1">
        <v>24</v>
      </c>
      <c r="B553" s="1" t="s">
        <v>25</v>
      </c>
      <c r="C553" s="11">
        <v>0</v>
      </c>
      <c r="D553" s="11">
        <v>0</v>
      </c>
      <c r="E553" s="2">
        <f t="shared" si="18"/>
        <v>0</v>
      </c>
      <c r="F553" s="11">
        <v>4.5999999999999999E-2</v>
      </c>
      <c r="G553" s="3" t="e">
        <f t="shared" si="19"/>
        <v>#DIV/0!</v>
      </c>
    </row>
    <row r="554" spans="1:7" hidden="1">
      <c r="A554" s="1">
        <v>25</v>
      </c>
      <c r="B554" s="1" t="s">
        <v>25</v>
      </c>
      <c r="C554" s="11">
        <v>0</v>
      </c>
      <c r="D554" s="11">
        <v>0</v>
      </c>
      <c r="E554" s="2">
        <f t="shared" si="18"/>
        <v>0</v>
      </c>
      <c r="F554" s="11">
        <v>0.13400000000000001</v>
      </c>
      <c r="G554" s="3" t="e">
        <f t="shared" si="19"/>
        <v>#DIV/0!</v>
      </c>
    </row>
    <row r="555" spans="1:7" hidden="1">
      <c r="A555" s="1">
        <v>26</v>
      </c>
      <c r="B555" s="1" t="s">
        <v>25</v>
      </c>
      <c r="C555" s="11">
        <v>0</v>
      </c>
      <c r="D555" s="11">
        <v>0</v>
      </c>
      <c r="E555" s="2">
        <f t="shared" si="18"/>
        <v>0</v>
      </c>
      <c r="F555" s="11">
        <v>0.14000000000000001</v>
      </c>
      <c r="G555" s="3" t="e">
        <f t="shared" si="19"/>
        <v>#DIV/0!</v>
      </c>
    </row>
    <row r="556" spans="1:7" hidden="1">
      <c r="A556" s="1">
        <v>27</v>
      </c>
      <c r="B556" s="1" t="s">
        <v>25</v>
      </c>
      <c r="C556" s="11">
        <v>0</v>
      </c>
      <c r="D556" s="11">
        <v>0</v>
      </c>
      <c r="E556" s="2">
        <f t="shared" si="18"/>
        <v>0</v>
      </c>
      <c r="F556" s="11">
        <v>7.2999999999999995E-2</v>
      </c>
      <c r="G556" s="3" t="e">
        <f t="shared" si="19"/>
        <v>#DIV/0!</v>
      </c>
    </row>
    <row r="557" spans="1:7" hidden="1">
      <c r="A557" s="1">
        <v>28</v>
      </c>
      <c r="B557" s="1" t="s">
        <v>25</v>
      </c>
      <c r="C557" s="11">
        <v>0</v>
      </c>
      <c r="D557" s="11">
        <v>0</v>
      </c>
      <c r="E557" s="2">
        <f t="shared" si="18"/>
        <v>0</v>
      </c>
      <c r="F557" s="11">
        <v>8.2000000000000003E-2</v>
      </c>
      <c r="G557" s="3" t="e">
        <f t="shared" si="19"/>
        <v>#DIV/0!</v>
      </c>
    </row>
    <row r="558" spans="1:7" hidden="1">
      <c r="A558" s="1">
        <v>29</v>
      </c>
      <c r="B558" s="1" t="s">
        <v>25</v>
      </c>
      <c r="C558" s="11">
        <v>0</v>
      </c>
      <c r="D558" s="11">
        <v>0</v>
      </c>
      <c r="E558" s="2">
        <f t="shared" si="18"/>
        <v>0</v>
      </c>
      <c r="F558" s="11">
        <v>0.107</v>
      </c>
      <c r="G558" s="3" t="e">
        <f t="shared" si="19"/>
        <v>#DIV/0!</v>
      </c>
    </row>
    <row r="559" spans="1:7" hidden="1">
      <c r="A559" s="1">
        <v>30</v>
      </c>
      <c r="B559" s="1" t="s">
        <v>25</v>
      </c>
      <c r="C559" s="11">
        <v>0</v>
      </c>
      <c r="D559" s="11">
        <v>0</v>
      </c>
      <c r="E559" s="2">
        <f t="shared" si="18"/>
        <v>0</v>
      </c>
      <c r="F559" s="11">
        <v>6.8000000000000005E-2</v>
      </c>
      <c r="G559" s="3" t="e">
        <f t="shared" si="19"/>
        <v>#DIV/0!</v>
      </c>
    </row>
    <row r="560" spans="1:7" hidden="1">
      <c r="A560" s="1">
        <v>31</v>
      </c>
      <c r="B560" s="1" t="s">
        <v>25</v>
      </c>
      <c r="C560" s="11">
        <v>20</v>
      </c>
      <c r="D560" s="11">
        <v>19.98</v>
      </c>
      <c r="E560" s="2">
        <f t="shared" si="18"/>
        <v>1.9999999999999574E-2</v>
      </c>
      <c r="F560" s="11">
        <v>0.124</v>
      </c>
      <c r="G560" s="3">
        <f t="shared" si="19"/>
        <v>7.199999999999979E-3</v>
      </c>
    </row>
    <row r="561" spans="1:7" hidden="1">
      <c r="A561" s="1">
        <v>1</v>
      </c>
      <c r="B561" s="1" t="s">
        <v>27</v>
      </c>
      <c r="C561" s="11">
        <v>20</v>
      </c>
      <c r="D561" s="11">
        <v>19.670000000000002</v>
      </c>
      <c r="E561" s="2">
        <f t="shared" si="18"/>
        <v>0.32999999999999829</v>
      </c>
      <c r="F561" s="11">
        <v>6.2E-2</v>
      </c>
      <c r="G561" s="3">
        <f t="shared" si="19"/>
        <v>1.9599999999999916E-2</v>
      </c>
    </row>
    <row r="562" spans="1:7" hidden="1">
      <c r="A562" s="1">
        <v>2</v>
      </c>
      <c r="B562" s="1" t="s">
        <v>27</v>
      </c>
      <c r="C562" s="11">
        <v>0</v>
      </c>
      <c r="D562" s="11">
        <v>0</v>
      </c>
      <c r="E562" s="2">
        <f t="shared" si="18"/>
        <v>0</v>
      </c>
      <c r="F562" s="11">
        <v>0</v>
      </c>
      <c r="G562" s="3" t="e">
        <f t="shared" si="19"/>
        <v>#DIV/0!</v>
      </c>
    </row>
    <row r="563" spans="1:7" hidden="1">
      <c r="A563" s="1">
        <v>3</v>
      </c>
      <c r="B563" s="1" t="s">
        <v>27</v>
      </c>
      <c r="C563" s="11">
        <v>0</v>
      </c>
      <c r="D563" s="11">
        <v>0</v>
      </c>
      <c r="E563" s="2">
        <f t="shared" si="18"/>
        <v>0</v>
      </c>
      <c r="F563" s="11">
        <v>0</v>
      </c>
      <c r="G563" s="3" t="e">
        <f t="shared" si="19"/>
        <v>#DIV/0!</v>
      </c>
    </row>
    <row r="564" spans="1:7" hidden="1">
      <c r="A564" s="1">
        <v>4</v>
      </c>
      <c r="B564" s="1" t="s">
        <v>27</v>
      </c>
      <c r="C564" s="11">
        <v>0</v>
      </c>
      <c r="D564" s="11">
        <v>0</v>
      </c>
      <c r="E564" s="2">
        <f t="shared" si="18"/>
        <v>0</v>
      </c>
      <c r="F564" s="11">
        <v>0.12</v>
      </c>
      <c r="G564" s="3" t="e">
        <f t="shared" si="19"/>
        <v>#DIV/0!</v>
      </c>
    </row>
    <row r="565" spans="1:7" hidden="1">
      <c r="A565" s="1">
        <v>5</v>
      </c>
      <c r="B565" s="1" t="s">
        <v>27</v>
      </c>
      <c r="C565" s="11">
        <v>0</v>
      </c>
      <c r="D565" s="11">
        <v>0</v>
      </c>
      <c r="E565" s="2">
        <f t="shared" si="18"/>
        <v>0</v>
      </c>
      <c r="F565" s="11">
        <v>0</v>
      </c>
      <c r="G565" s="3" t="e">
        <f t="shared" si="19"/>
        <v>#DIV/0!</v>
      </c>
    </row>
    <row r="566" spans="1:7" hidden="1">
      <c r="A566" s="1">
        <v>6</v>
      </c>
      <c r="B566" s="1" t="s">
        <v>27</v>
      </c>
      <c r="C566" s="11">
        <v>0</v>
      </c>
      <c r="D566" s="11">
        <v>0</v>
      </c>
      <c r="E566" s="2">
        <f t="shared" si="18"/>
        <v>0</v>
      </c>
      <c r="F566" s="11">
        <v>0</v>
      </c>
      <c r="G566" s="3" t="e">
        <f t="shared" si="19"/>
        <v>#DIV/0!</v>
      </c>
    </row>
    <row r="567" spans="1:7" hidden="1">
      <c r="A567" s="1">
        <v>7</v>
      </c>
      <c r="B567" s="1" t="s">
        <v>27</v>
      </c>
      <c r="C567" s="11">
        <v>0</v>
      </c>
      <c r="D567" s="11">
        <v>0</v>
      </c>
      <c r="E567" s="2">
        <f t="shared" si="18"/>
        <v>0</v>
      </c>
      <c r="F567" s="11">
        <v>0</v>
      </c>
      <c r="G567" s="3" t="e">
        <f t="shared" si="19"/>
        <v>#DIV/0!</v>
      </c>
    </row>
    <row r="568" spans="1:7" hidden="1">
      <c r="A568" s="1">
        <v>10</v>
      </c>
      <c r="B568" s="1" t="s">
        <v>27</v>
      </c>
      <c r="C568" s="11">
        <v>0</v>
      </c>
      <c r="D568" s="11">
        <v>0</v>
      </c>
      <c r="E568" s="2">
        <f t="shared" si="18"/>
        <v>0</v>
      </c>
      <c r="F568" s="11">
        <v>0</v>
      </c>
      <c r="G568" s="3" t="e">
        <f t="shared" si="19"/>
        <v>#DIV/0!</v>
      </c>
    </row>
    <row r="569" spans="1:7" hidden="1">
      <c r="A569" s="1">
        <v>8</v>
      </c>
      <c r="B569" s="1" t="s">
        <v>27</v>
      </c>
      <c r="C569" s="11">
        <v>0</v>
      </c>
      <c r="D569" s="11">
        <v>0</v>
      </c>
      <c r="E569" s="2">
        <f t="shared" si="18"/>
        <v>0</v>
      </c>
      <c r="F569" s="11">
        <v>0</v>
      </c>
      <c r="G569" s="3" t="e">
        <f t="shared" si="19"/>
        <v>#DIV/0!</v>
      </c>
    </row>
    <row r="570" spans="1:7" hidden="1">
      <c r="A570" s="1">
        <v>9</v>
      </c>
      <c r="B570" s="1" t="s">
        <v>27</v>
      </c>
      <c r="C570" s="11">
        <v>0</v>
      </c>
      <c r="D570" s="11">
        <v>0</v>
      </c>
      <c r="E570" s="2">
        <f t="shared" si="18"/>
        <v>0</v>
      </c>
      <c r="F570" s="11">
        <v>0</v>
      </c>
      <c r="G570" s="3" t="e">
        <f t="shared" si="19"/>
        <v>#DIV/0!</v>
      </c>
    </row>
    <row r="571" spans="1:7" hidden="1">
      <c r="A571" s="1">
        <v>11</v>
      </c>
      <c r="B571" s="1" t="s">
        <v>27</v>
      </c>
      <c r="C571" s="11">
        <v>0</v>
      </c>
      <c r="D571" s="11">
        <v>0</v>
      </c>
      <c r="E571" s="2">
        <f t="shared" si="18"/>
        <v>0</v>
      </c>
      <c r="F571" s="11">
        <v>0</v>
      </c>
      <c r="G571" s="3" t="e">
        <f t="shared" si="19"/>
        <v>#DIV/0!</v>
      </c>
    </row>
    <row r="572" spans="1:7" hidden="1">
      <c r="A572" s="1">
        <v>12</v>
      </c>
      <c r="B572" s="1" t="s">
        <v>27</v>
      </c>
      <c r="C572" s="11">
        <v>0</v>
      </c>
      <c r="D572" s="11">
        <v>0</v>
      </c>
      <c r="E572" s="2">
        <f t="shared" si="18"/>
        <v>0</v>
      </c>
      <c r="F572" s="11">
        <v>0</v>
      </c>
      <c r="G572" s="3" t="e">
        <f t="shared" si="19"/>
        <v>#DIV/0!</v>
      </c>
    </row>
    <row r="573" spans="1:7" hidden="1">
      <c r="A573" s="1">
        <v>13</v>
      </c>
      <c r="B573" s="1" t="s">
        <v>27</v>
      </c>
      <c r="C573" s="11">
        <v>0</v>
      </c>
      <c r="D573" s="11">
        <v>0</v>
      </c>
      <c r="E573" s="2">
        <f t="shared" si="18"/>
        <v>0</v>
      </c>
      <c r="F573" s="11">
        <v>0</v>
      </c>
      <c r="G573" s="3" t="e">
        <f t="shared" si="19"/>
        <v>#DIV/0!</v>
      </c>
    </row>
    <row r="574" spans="1:7" hidden="1">
      <c r="A574" s="1">
        <v>14</v>
      </c>
      <c r="B574" s="1" t="s">
        <v>27</v>
      </c>
      <c r="C574" s="11">
        <v>0</v>
      </c>
      <c r="D574" s="11">
        <v>0</v>
      </c>
      <c r="E574" s="2">
        <f t="shared" si="18"/>
        <v>0</v>
      </c>
      <c r="F574" s="11">
        <v>0</v>
      </c>
      <c r="G574" s="3" t="e">
        <f t="shared" si="19"/>
        <v>#DIV/0!</v>
      </c>
    </row>
    <row r="575" spans="1:7" hidden="1">
      <c r="A575" s="1">
        <v>15</v>
      </c>
      <c r="B575" s="1" t="s">
        <v>27</v>
      </c>
      <c r="C575" s="11">
        <v>0</v>
      </c>
      <c r="D575" s="11">
        <v>0</v>
      </c>
      <c r="E575" s="2">
        <f t="shared" si="18"/>
        <v>0</v>
      </c>
      <c r="F575" s="11">
        <v>0</v>
      </c>
      <c r="G575" s="3" t="e">
        <f t="shared" si="19"/>
        <v>#DIV/0!</v>
      </c>
    </row>
    <row r="576" spans="1:7" hidden="1">
      <c r="A576" s="1">
        <v>16</v>
      </c>
      <c r="B576" s="1" t="s">
        <v>27</v>
      </c>
      <c r="C576" s="11">
        <v>0</v>
      </c>
      <c r="D576" s="11">
        <v>0</v>
      </c>
      <c r="E576" s="2">
        <f t="shared" si="18"/>
        <v>0</v>
      </c>
      <c r="F576" s="11">
        <v>0</v>
      </c>
      <c r="G576" s="3" t="e">
        <f t="shared" si="19"/>
        <v>#DIV/0!</v>
      </c>
    </row>
    <row r="577" spans="1:7" hidden="1">
      <c r="A577" s="1">
        <v>17</v>
      </c>
      <c r="B577" s="1" t="s">
        <v>27</v>
      </c>
      <c r="C577" s="11">
        <v>0</v>
      </c>
      <c r="D577" s="11">
        <v>0</v>
      </c>
      <c r="E577" s="2">
        <f t="shared" si="18"/>
        <v>0</v>
      </c>
      <c r="F577" s="11">
        <v>0</v>
      </c>
      <c r="G577" s="3" t="e">
        <f t="shared" si="19"/>
        <v>#DIV/0!</v>
      </c>
    </row>
    <row r="578" spans="1:7" hidden="1">
      <c r="A578" s="1">
        <v>18</v>
      </c>
      <c r="B578" s="1" t="s">
        <v>27</v>
      </c>
      <c r="C578" s="11">
        <v>0</v>
      </c>
      <c r="D578" s="11">
        <v>0</v>
      </c>
      <c r="E578" s="2">
        <f t="shared" si="18"/>
        <v>0</v>
      </c>
      <c r="F578" s="11">
        <v>0.11</v>
      </c>
      <c r="G578" s="3" t="e">
        <f t="shared" si="19"/>
        <v>#DIV/0!</v>
      </c>
    </row>
    <row r="579" spans="1:7" hidden="1">
      <c r="A579" s="1">
        <v>19</v>
      </c>
      <c r="B579" s="1" t="s">
        <v>27</v>
      </c>
      <c r="C579" s="11">
        <v>0</v>
      </c>
      <c r="D579" s="11">
        <v>0</v>
      </c>
      <c r="E579" s="2">
        <f t="shared" si="18"/>
        <v>0</v>
      </c>
      <c r="F579" s="11">
        <v>0</v>
      </c>
      <c r="G579" s="3" t="e">
        <f t="shared" si="19"/>
        <v>#DIV/0!</v>
      </c>
    </row>
    <row r="580" spans="1:7" hidden="1">
      <c r="A580" s="1">
        <v>20</v>
      </c>
      <c r="B580" s="1" t="s">
        <v>27</v>
      </c>
      <c r="C580" s="11">
        <v>0</v>
      </c>
      <c r="D580" s="11">
        <v>0</v>
      </c>
      <c r="E580" s="2">
        <f t="shared" ref="E580:E643" si="20">C580-D580</f>
        <v>0</v>
      </c>
      <c r="F580" s="11">
        <v>0</v>
      </c>
      <c r="G580" s="3" t="e">
        <f t="shared" si="19"/>
        <v>#DIV/0!</v>
      </c>
    </row>
    <row r="581" spans="1:7" hidden="1">
      <c r="A581" s="1">
        <v>21</v>
      </c>
      <c r="B581" s="1" t="s">
        <v>27</v>
      </c>
      <c r="C581" s="11">
        <v>0</v>
      </c>
      <c r="D581" s="11">
        <v>0</v>
      </c>
      <c r="E581" s="2">
        <f t="shared" si="20"/>
        <v>0</v>
      </c>
      <c r="F581" s="11">
        <v>0</v>
      </c>
      <c r="G581" s="3" t="e">
        <f t="shared" si="19"/>
        <v>#DIV/0!</v>
      </c>
    </row>
    <row r="582" spans="1:7" hidden="1">
      <c r="A582" s="1">
        <v>22</v>
      </c>
      <c r="B582" s="1" t="s">
        <v>27</v>
      </c>
      <c r="C582" s="11">
        <v>0</v>
      </c>
      <c r="D582" s="11">
        <v>0</v>
      </c>
      <c r="E582" s="2">
        <f t="shared" si="20"/>
        <v>0</v>
      </c>
      <c r="F582" s="11">
        <v>0</v>
      </c>
      <c r="G582" s="3" t="e">
        <f t="shared" si="19"/>
        <v>#DIV/0!</v>
      </c>
    </row>
    <row r="583" spans="1:7" hidden="1">
      <c r="A583" s="1">
        <v>23</v>
      </c>
      <c r="B583" s="1" t="s">
        <v>27</v>
      </c>
      <c r="C583" s="11">
        <v>0</v>
      </c>
      <c r="D583" s="11">
        <v>0</v>
      </c>
      <c r="E583" s="2">
        <f t="shared" si="20"/>
        <v>0</v>
      </c>
      <c r="F583" s="11">
        <v>0</v>
      </c>
      <c r="G583" s="3" t="e">
        <f t="shared" si="19"/>
        <v>#DIV/0!</v>
      </c>
    </row>
    <row r="584" spans="1:7" hidden="1">
      <c r="A584" s="1">
        <v>24</v>
      </c>
      <c r="B584" s="1" t="s">
        <v>27</v>
      </c>
      <c r="C584" s="11">
        <v>0</v>
      </c>
      <c r="D584" s="11">
        <v>0</v>
      </c>
      <c r="E584" s="2">
        <f t="shared" si="20"/>
        <v>0</v>
      </c>
      <c r="F584" s="11">
        <v>0</v>
      </c>
      <c r="G584" s="3" t="e">
        <f t="shared" si="19"/>
        <v>#DIV/0!</v>
      </c>
    </row>
    <row r="585" spans="1:7" hidden="1">
      <c r="A585" s="1">
        <v>25</v>
      </c>
      <c r="B585" s="1" t="s">
        <v>27</v>
      </c>
      <c r="C585" s="11">
        <v>0</v>
      </c>
      <c r="D585" s="11">
        <v>0</v>
      </c>
      <c r="E585" s="2">
        <f t="shared" si="20"/>
        <v>0</v>
      </c>
      <c r="F585" s="11">
        <v>0</v>
      </c>
      <c r="G585" s="3" t="e">
        <f t="shared" si="19"/>
        <v>#DIV/0!</v>
      </c>
    </row>
    <row r="586" spans="1:7" hidden="1">
      <c r="A586" s="1">
        <v>26</v>
      </c>
      <c r="B586" s="1" t="s">
        <v>27</v>
      </c>
      <c r="C586" s="11">
        <v>0</v>
      </c>
      <c r="D586" s="11">
        <v>0</v>
      </c>
      <c r="E586" s="2">
        <f t="shared" si="20"/>
        <v>0</v>
      </c>
      <c r="F586" s="11">
        <v>7.5999999999999998E-2</v>
      </c>
      <c r="G586" s="3" t="e">
        <f t="shared" si="19"/>
        <v>#DIV/0!</v>
      </c>
    </row>
    <row r="587" spans="1:7" hidden="1">
      <c r="A587" s="1">
        <v>27</v>
      </c>
      <c r="B587" s="1" t="s">
        <v>27</v>
      </c>
      <c r="C587" s="11">
        <v>0</v>
      </c>
      <c r="D587" s="11">
        <v>0</v>
      </c>
      <c r="E587" s="2">
        <f t="shared" si="20"/>
        <v>0</v>
      </c>
      <c r="F587" s="11">
        <v>0</v>
      </c>
      <c r="G587" s="3" t="e">
        <f t="shared" si="19"/>
        <v>#DIV/0!</v>
      </c>
    </row>
    <row r="588" spans="1:7" hidden="1">
      <c r="A588" s="1">
        <v>28</v>
      </c>
      <c r="B588" s="1" t="s">
        <v>27</v>
      </c>
      <c r="C588" s="11">
        <v>0</v>
      </c>
      <c r="D588" s="11">
        <v>0</v>
      </c>
      <c r="E588" s="2">
        <f t="shared" si="20"/>
        <v>0</v>
      </c>
      <c r="F588" s="11">
        <v>0</v>
      </c>
      <c r="G588" s="3" t="e">
        <f t="shared" si="19"/>
        <v>#DIV/0!</v>
      </c>
    </row>
    <row r="589" spans="1:7" hidden="1">
      <c r="A589" s="1">
        <v>29</v>
      </c>
      <c r="B589" s="1" t="s">
        <v>27</v>
      </c>
      <c r="C589" s="11">
        <v>0</v>
      </c>
      <c r="D589" s="11">
        <v>0</v>
      </c>
      <c r="E589" s="2">
        <f t="shared" si="20"/>
        <v>0</v>
      </c>
      <c r="F589" s="11">
        <v>0</v>
      </c>
      <c r="G589" s="3" t="e">
        <f t="shared" si="19"/>
        <v>#DIV/0!</v>
      </c>
    </row>
    <row r="590" spans="1:7" hidden="1">
      <c r="A590" s="1">
        <v>30</v>
      </c>
      <c r="B590" s="1" t="s">
        <v>27</v>
      </c>
      <c r="C590" s="11">
        <v>0</v>
      </c>
      <c r="D590" s="11">
        <v>0</v>
      </c>
      <c r="E590" s="2">
        <f t="shared" si="20"/>
        <v>0</v>
      </c>
      <c r="F590" s="11">
        <v>0.03</v>
      </c>
      <c r="G590" s="3" t="e">
        <f t="shared" si="19"/>
        <v>#DIV/0!</v>
      </c>
    </row>
    <row r="591" spans="1:7" hidden="1">
      <c r="A591" s="1">
        <v>31</v>
      </c>
      <c r="B591" s="1" t="s">
        <v>27</v>
      </c>
      <c r="C591" s="11">
        <v>0</v>
      </c>
      <c r="D591" s="11">
        <v>0</v>
      </c>
      <c r="E591" s="2">
        <f t="shared" si="20"/>
        <v>0</v>
      </c>
      <c r="F591" s="11">
        <v>0</v>
      </c>
      <c r="G591" s="3" t="e">
        <f t="shared" si="19"/>
        <v>#DIV/0!</v>
      </c>
    </row>
    <row r="592" spans="1:7" hidden="1">
      <c r="A592" s="1">
        <v>1</v>
      </c>
      <c r="B592" s="1" t="s">
        <v>26</v>
      </c>
      <c r="C592" s="11">
        <v>0</v>
      </c>
      <c r="D592" s="11">
        <v>0</v>
      </c>
      <c r="E592" s="2">
        <f t="shared" si="20"/>
        <v>0</v>
      </c>
      <c r="F592" s="11">
        <v>0.11199999999999832</v>
      </c>
      <c r="G592" s="3" t="e">
        <f t="shared" si="19"/>
        <v>#DIV/0!</v>
      </c>
    </row>
    <row r="593" spans="1:7" hidden="1">
      <c r="A593" s="1">
        <v>2</v>
      </c>
      <c r="B593" s="1" t="s">
        <v>26</v>
      </c>
      <c r="C593" s="11">
        <v>0</v>
      </c>
      <c r="D593" s="11">
        <v>0</v>
      </c>
      <c r="E593" s="2">
        <f t="shared" si="20"/>
        <v>0</v>
      </c>
      <c r="F593" s="11">
        <v>0.12</v>
      </c>
      <c r="G593" s="3" t="e">
        <f t="shared" si="19"/>
        <v>#DIV/0!</v>
      </c>
    </row>
    <row r="594" spans="1:7" hidden="1">
      <c r="A594" s="1">
        <v>3</v>
      </c>
      <c r="B594" s="1" t="s">
        <v>26</v>
      </c>
      <c r="C594" s="11">
        <v>0</v>
      </c>
      <c r="D594" s="11">
        <v>0</v>
      </c>
      <c r="E594" s="2">
        <f t="shared" si="20"/>
        <v>0</v>
      </c>
      <c r="F594" s="11">
        <v>0.16</v>
      </c>
      <c r="G594" s="3" t="e">
        <f t="shared" si="19"/>
        <v>#DIV/0!</v>
      </c>
    </row>
    <row r="595" spans="1:7" hidden="1">
      <c r="A595" s="1">
        <v>4</v>
      </c>
      <c r="B595" s="1" t="s">
        <v>26</v>
      </c>
      <c r="C595" s="11">
        <v>0</v>
      </c>
      <c r="D595" s="11">
        <v>0</v>
      </c>
      <c r="E595" s="2">
        <f t="shared" si="20"/>
        <v>0</v>
      </c>
      <c r="F595" s="11">
        <v>0.17499999999999999</v>
      </c>
      <c r="G595" s="3" t="e">
        <f t="shared" si="19"/>
        <v>#DIV/0!</v>
      </c>
    </row>
    <row r="596" spans="1:7" hidden="1">
      <c r="A596" s="1">
        <v>5</v>
      </c>
      <c r="B596" s="1" t="s">
        <v>26</v>
      </c>
      <c r="C596" s="11">
        <v>0</v>
      </c>
      <c r="D596" s="11">
        <v>0</v>
      </c>
      <c r="E596" s="2">
        <f t="shared" si="20"/>
        <v>0</v>
      </c>
      <c r="F596" s="11">
        <v>0.09</v>
      </c>
      <c r="G596" s="3" t="e">
        <f t="shared" si="19"/>
        <v>#DIV/0!</v>
      </c>
    </row>
    <row r="597" spans="1:7" hidden="1">
      <c r="A597" s="1">
        <v>6</v>
      </c>
      <c r="B597" s="1" t="s">
        <v>26</v>
      </c>
      <c r="C597" s="11">
        <v>0</v>
      </c>
      <c r="D597" s="11">
        <v>0</v>
      </c>
      <c r="E597" s="2">
        <f t="shared" si="20"/>
        <v>0</v>
      </c>
      <c r="F597" s="11">
        <v>6.5000000000000002E-2</v>
      </c>
      <c r="G597" s="3" t="e">
        <f t="shared" si="19"/>
        <v>#DIV/0!</v>
      </c>
    </row>
    <row r="598" spans="1:7" hidden="1">
      <c r="A598" s="1">
        <v>7</v>
      </c>
      <c r="B598" s="1" t="s">
        <v>26</v>
      </c>
      <c r="C598" s="11">
        <v>0</v>
      </c>
      <c r="D598" s="11">
        <v>0</v>
      </c>
      <c r="E598" s="2">
        <f t="shared" si="20"/>
        <v>0</v>
      </c>
      <c r="F598" s="11">
        <v>0.1</v>
      </c>
      <c r="G598" s="3" t="e">
        <f t="shared" si="19"/>
        <v>#DIV/0!</v>
      </c>
    </row>
    <row r="599" spans="1:7" hidden="1">
      <c r="A599" s="1">
        <v>10</v>
      </c>
      <c r="B599" s="1" t="s">
        <v>26</v>
      </c>
      <c r="C599" s="11">
        <v>20</v>
      </c>
      <c r="D599" s="11">
        <v>19.97</v>
      </c>
      <c r="E599" s="2">
        <f t="shared" si="20"/>
        <v>3.0000000000001137E-2</v>
      </c>
      <c r="F599" s="11">
        <v>7.0000000000000007E-2</v>
      </c>
      <c r="G599" s="3">
        <f t="shared" si="19"/>
        <v>5.0000000000000573E-3</v>
      </c>
    </row>
    <row r="600" spans="1:7" hidden="1">
      <c r="A600" s="1">
        <v>8</v>
      </c>
      <c r="B600" s="1" t="s">
        <v>26</v>
      </c>
      <c r="C600" s="11">
        <v>0</v>
      </c>
      <c r="D600" s="11">
        <v>0</v>
      </c>
      <c r="E600" s="2">
        <f t="shared" si="20"/>
        <v>0</v>
      </c>
      <c r="F600" s="11">
        <v>8.5000000000000006E-2</v>
      </c>
      <c r="G600" s="3" t="e">
        <f t="shared" si="19"/>
        <v>#DIV/0!</v>
      </c>
    </row>
    <row r="601" spans="1:7" hidden="1">
      <c r="A601" s="1">
        <v>9</v>
      </c>
      <c r="B601" s="1" t="s">
        <v>26</v>
      </c>
      <c r="C601" s="11">
        <v>0</v>
      </c>
      <c r="D601" s="11">
        <v>0</v>
      </c>
      <c r="E601" s="2">
        <f t="shared" si="20"/>
        <v>0</v>
      </c>
      <c r="F601" s="11">
        <v>9.5000000000000001E-2</v>
      </c>
      <c r="G601" s="3" t="e">
        <f t="shared" si="19"/>
        <v>#DIV/0!</v>
      </c>
    </row>
    <row r="602" spans="1:7" hidden="1">
      <c r="A602" s="1">
        <v>11</v>
      </c>
      <c r="B602" s="1" t="s">
        <v>26</v>
      </c>
      <c r="C602" s="11">
        <v>0</v>
      </c>
      <c r="D602" s="11">
        <v>0</v>
      </c>
      <c r="E602" s="2">
        <f t="shared" si="20"/>
        <v>0</v>
      </c>
      <c r="F602" s="11">
        <v>0.11700000000000001</v>
      </c>
      <c r="G602" s="3" t="e">
        <f t="shared" si="19"/>
        <v>#DIV/0!</v>
      </c>
    </row>
    <row r="603" spans="1:7" hidden="1">
      <c r="A603" s="1">
        <v>12</v>
      </c>
      <c r="B603" s="1" t="s">
        <v>26</v>
      </c>
      <c r="C603" s="11">
        <v>0</v>
      </c>
      <c r="D603" s="11">
        <v>0</v>
      </c>
      <c r="E603" s="2">
        <f t="shared" si="20"/>
        <v>0</v>
      </c>
      <c r="F603" s="11">
        <v>0.13900000000000001</v>
      </c>
      <c r="G603" s="3" t="e">
        <f t="shared" si="19"/>
        <v>#DIV/0!</v>
      </c>
    </row>
    <row r="604" spans="1:7" hidden="1">
      <c r="A604" s="1">
        <v>13</v>
      </c>
      <c r="B604" s="1" t="s">
        <v>26</v>
      </c>
      <c r="C604" s="11">
        <v>0</v>
      </c>
      <c r="D604" s="11">
        <v>0</v>
      </c>
      <c r="E604" s="2">
        <f t="shared" si="20"/>
        <v>0</v>
      </c>
      <c r="F604" s="11">
        <v>6.4000000000000001E-2</v>
      </c>
      <c r="G604" s="3" t="e">
        <f t="shared" si="19"/>
        <v>#DIV/0!</v>
      </c>
    </row>
    <row r="605" spans="1:7" hidden="1">
      <c r="A605" s="1">
        <v>14</v>
      </c>
      <c r="B605" s="1" t="s">
        <v>26</v>
      </c>
      <c r="C605" s="11">
        <v>0</v>
      </c>
      <c r="D605" s="11">
        <v>0</v>
      </c>
      <c r="E605" s="2">
        <f t="shared" si="20"/>
        <v>0</v>
      </c>
      <c r="F605" s="11">
        <v>8.5000000000000006E-2</v>
      </c>
      <c r="G605" s="3" t="e">
        <f t="shared" si="19"/>
        <v>#DIV/0!</v>
      </c>
    </row>
    <row r="606" spans="1:7" hidden="1">
      <c r="A606" s="1">
        <v>15</v>
      </c>
      <c r="B606" s="1" t="s">
        <v>26</v>
      </c>
      <c r="C606" s="11">
        <v>0</v>
      </c>
      <c r="D606" s="11">
        <v>0</v>
      </c>
      <c r="E606" s="2">
        <f t="shared" si="20"/>
        <v>0</v>
      </c>
      <c r="F606" s="11">
        <v>5.5E-2</v>
      </c>
      <c r="G606" s="3" t="e">
        <f t="shared" si="19"/>
        <v>#DIV/0!</v>
      </c>
    </row>
    <row r="607" spans="1:7" hidden="1">
      <c r="A607" s="1">
        <v>16</v>
      </c>
      <c r="B607" s="1" t="s">
        <v>26</v>
      </c>
      <c r="C607" s="11">
        <v>0</v>
      </c>
      <c r="D607" s="11">
        <v>0</v>
      </c>
      <c r="E607" s="2">
        <f t="shared" si="20"/>
        <v>0</v>
      </c>
      <c r="F607" s="11">
        <v>6.3E-2</v>
      </c>
      <c r="G607" s="3" t="e">
        <f t="shared" si="19"/>
        <v>#DIV/0!</v>
      </c>
    </row>
    <row r="608" spans="1:7" hidden="1">
      <c r="A608" s="1">
        <v>17</v>
      </c>
      <c r="B608" s="1" t="s">
        <v>26</v>
      </c>
      <c r="C608" s="11">
        <v>0</v>
      </c>
      <c r="D608" s="11">
        <v>0</v>
      </c>
      <c r="E608" s="2">
        <f t="shared" si="20"/>
        <v>0</v>
      </c>
      <c r="F608" s="11">
        <v>0.12</v>
      </c>
      <c r="G608" s="3" t="e">
        <f t="shared" si="19"/>
        <v>#DIV/0!</v>
      </c>
    </row>
    <row r="609" spans="1:7" hidden="1">
      <c r="A609" s="1">
        <v>18</v>
      </c>
      <c r="B609" s="1" t="s">
        <v>26</v>
      </c>
      <c r="C609" s="11">
        <v>0</v>
      </c>
      <c r="D609" s="11">
        <v>0</v>
      </c>
      <c r="E609" s="2">
        <f t="shared" si="20"/>
        <v>0</v>
      </c>
      <c r="F609" s="11">
        <v>0</v>
      </c>
      <c r="G609" s="3" t="e">
        <f t="shared" si="19"/>
        <v>#DIV/0!</v>
      </c>
    </row>
    <row r="610" spans="1:7" hidden="1">
      <c r="A610" s="1">
        <v>19</v>
      </c>
      <c r="B610" s="1" t="s">
        <v>26</v>
      </c>
      <c r="C610" s="11">
        <v>0</v>
      </c>
      <c r="D610" s="11">
        <v>0</v>
      </c>
      <c r="E610" s="2">
        <f t="shared" si="20"/>
        <v>0</v>
      </c>
      <c r="F610" s="11">
        <v>1.9E-2</v>
      </c>
      <c r="G610" s="3" t="e">
        <f t="shared" si="19"/>
        <v>#DIV/0!</v>
      </c>
    </row>
    <row r="611" spans="1:7" hidden="1">
      <c r="A611" s="1">
        <v>20</v>
      </c>
      <c r="B611" s="1" t="s">
        <v>26</v>
      </c>
      <c r="C611" s="11">
        <v>0</v>
      </c>
      <c r="D611" s="11">
        <v>0</v>
      </c>
      <c r="E611" s="2">
        <f t="shared" si="20"/>
        <v>0</v>
      </c>
      <c r="F611" s="11">
        <v>7.2999999999999995E-2</v>
      </c>
      <c r="G611" s="3" t="e">
        <f t="shared" si="19"/>
        <v>#DIV/0!</v>
      </c>
    </row>
    <row r="612" spans="1:7" hidden="1">
      <c r="A612" s="1">
        <v>21</v>
      </c>
      <c r="B612" s="1" t="s">
        <v>26</v>
      </c>
      <c r="C612" s="11">
        <v>0</v>
      </c>
      <c r="D612" s="11">
        <v>0</v>
      </c>
      <c r="E612" s="2">
        <f t="shared" si="20"/>
        <v>0</v>
      </c>
      <c r="F612" s="11">
        <v>4.3999999999999997E-2</v>
      </c>
      <c r="G612" s="3" t="e">
        <f t="shared" si="19"/>
        <v>#DIV/0!</v>
      </c>
    </row>
    <row r="613" spans="1:7" hidden="1">
      <c r="A613" s="1">
        <v>22</v>
      </c>
      <c r="B613" s="1" t="s">
        <v>26</v>
      </c>
      <c r="C613" s="11">
        <v>0</v>
      </c>
      <c r="D613" s="11">
        <v>0</v>
      </c>
      <c r="E613" s="2">
        <f t="shared" si="20"/>
        <v>0</v>
      </c>
      <c r="F613" s="11">
        <v>0.14699999999999999</v>
      </c>
      <c r="G613" s="3" t="e">
        <f t="shared" ref="G613:G643" si="21">(E613+F613)/C613</f>
        <v>#DIV/0!</v>
      </c>
    </row>
    <row r="614" spans="1:7" hidden="1">
      <c r="A614" s="1">
        <v>23</v>
      </c>
      <c r="B614" s="1" t="s">
        <v>26</v>
      </c>
      <c r="C614" s="11">
        <v>0</v>
      </c>
      <c r="D614" s="11">
        <v>0</v>
      </c>
      <c r="E614" s="2">
        <f t="shared" si="20"/>
        <v>0</v>
      </c>
      <c r="F614" s="11">
        <v>7.6999999999999999E-2</v>
      </c>
      <c r="G614" s="3" t="e">
        <f t="shared" si="21"/>
        <v>#DIV/0!</v>
      </c>
    </row>
    <row r="615" spans="1:7" hidden="1">
      <c r="A615" s="1">
        <v>24</v>
      </c>
      <c r="B615" s="1" t="s">
        <v>26</v>
      </c>
      <c r="C615" s="11">
        <v>0</v>
      </c>
      <c r="D615" s="11">
        <v>0</v>
      </c>
      <c r="E615" s="2">
        <f t="shared" si="20"/>
        <v>0</v>
      </c>
      <c r="F615" s="11">
        <v>3.3000000000000002E-2</v>
      </c>
      <c r="G615" s="3" t="e">
        <f t="shared" si="21"/>
        <v>#DIV/0!</v>
      </c>
    </row>
    <row r="616" spans="1:7" hidden="1">
      <c r="A616" s="1">
        <v>25</v>
      </c>
      <c r="B616" s="1" t="s">
        <v>26</v>
      </c>
      <c r="C616" s="11">
        <v>20</v>
      </c>
      <c r="D616" s="11">
        <v>19.87</v>
      </c>
      <c r="E616" s="2">
        <f t="shared" si="20"/>
        <v>0.12999999999999901</v>
      </c>
      <c r="F616" s="11">
        <v>6.5000000000000002E-2</v>
      </c>
      <c r="G616" s="3">
        <f t="shared" si="21"/>
        <v>9.7499999999999497E-3</v>
      </c>
    </row>
    <row r="617" spans="1:7" hidden="1">
      <c r="A617" s="1">
        <v>26</v>
      </c>
      <c r="B617" s="1" t="s">
        <v>26</v>
      </c>
      <c r="C617" s="11">
        <v>0</v>
      </c>
      <c r="D617" s="11">
        <v>0</v>
      </c>
      <c r="E617" s="2">
        <f t="shared" si="20"/>
        <v>0</v>
      </c>
      <c r="F617" s="11">
        <v>0</v>
      </c>
      <c r="G617" s="3" t="e">
        <f t="shared" si="21"/>
        <v>#DIV/0!</v>
      </c>
    </row>
    <row r="618" spans="1:7" hidden="1">
      <c r="A618" s="1">
        <v>27</v>
      </c>
      <c r="B618" s="1" t="s">
        <v>26</v>
      </c>
      <c r="C618" s="11">
        <v>0</v>
      </c>
      <c r="D618" s="11">
        <v>0</v>
      </c>
      <c r="E618" s="2">
        <f t="shared" si="20"/>
        <v>0</v>
      </c>
      <c r="F618" s="11">
        <v>3.9E-2</v>
      </c>
      <c r="G618" s="3" t="e">
        <f t="shared" si="21"/>
        <v>#DIV/0!</v>
      </c>
    </row>
    <row r="619" spans="1:7" hidden="1">
      <c r="A619" s="1">
        <v>28</v>
      </c>
      <c r="B619" s="1" t="s">
        <v>26</v>
      </c>
      <c r="C619" s="11">
        <v>7.75</v>
      </c>
      <c r="D619" s="11">
        <v>7.37</v>
      </c>
      <c r="E619" s="2">
        <f t="shared" si="20"/>
        <v>0.37999999999999989</v>
      </c>
      <c r="F619" s="11">
        <v>2.5000000000000001E-2</v>
      </c>
      <c r="G619" s="3">
        <f t="shared" si="21"/>
        <v>5.2258064516129021E-2</v>
      </c>
    </row>
    <row r="620" spans="1:7" hidden="1">
      <c r="A620" s="1">
        <v>29</v>
      </c>
      <c r="B620" s="1" t="s">
        <v>26</v>
      </c>
      <c r="C620" s="11">
        <v>0</v>
      </c>
      <c r="D620" s="11">
        <v>0</v>
      </c>
      <c r="E620" s="2">
        <f t="shared" si="20"/>
        <v>0</v>
      </c>
      <c r="F620" s="11">
        <v>6.3E-2</v>
      </c>
      <c r="G620" s="3" t="e">
        <f t="shared" si="21"/>
        <v>#DIV/0!</v>
      </c>
    </row>
    <row r="621" spans="1:7" hidden="1">
      <c r="A621" s="1">
        <v>30</v>
      </c>
      <c r="B621" s="1" t="s">
        <v>26</v>
      </c>
      <c r="C621" s="11">
        <v>0</v>
      </c>
      <c r="D621" s="11">
        <v>0</v>
      </c>
      <c r="E621" s="2">
        <f t="shared" si="20"/>
        <v>0</v>
      </c>
      <c r="F621" s="11">
        <v>0</v>
      </c>
      <c r="G621" s="3" t="e">
        <f t="shared" si="21"/>
        <v>#DIV/0!</v>
      </c>
    </row>
    <row r="622" spans="1:7" hidden="1">
      <c r="A622" s="1">
        <v>31</v>
      </c>
      <c r="B622" s="1" t="s">
        <v>26</v>
      </c>
      <c r="C622" s="11">
        <v>0</v>
      </c>
      <c r="D622" s="11">
        <v>0</v>
      </c>
      <c r="E622" s="2">
        <f t="shared" si="20"/>
        <v>0</v>
      </c>
      <c r="F622" s="11">
        <v>2.5000000000000001E-2</v>
      </c>
      <c r="G622" s="3" t="e">
        <f t="shared" si="21"/>
        <v>#DIV/0!</v>
      </c>
    </row>
    <row r="623" spans="1:7" hidden="1">
      <c r="A623" s="1">
        <v>1</v>
      </c>
      <c r="B623" s="1" t="s">
        <v>28</v>
      </c>
      <c r="C623" s="11">
        <v>0</v>
      </c>
      <c r="D623" s="11">
        <v>0</v>
      </c>
      <c r="E623" s="2">
        <f t="shared" si="20"/>
        <v>0</v>
      </c>
      <c r="F623" s="11">
        <v>0.111</v>
      </c>
      <c r="G623" s="3" t="e">
        <f t="shared" si="21"/>
        <v>#DIV/0!</v>
      </c>
    </row>
    <row r="624" spans="1:7" hidden="1">
      <c r="A624" s="1">
        <v>2</v>
      </c>
      <c r="B624" s="1" t="s">
        <v>28</v>
      </c>
      <c r="C624" s="11">
        <v>0</v>
      </c>
      <c r="D624" s="11">
        <v>0</v>
      </c>
      <c r="E624" s="2">
        <f t="shared" si="20"/>
        <v>0</v>
      </c>
      <c r="F624" s="11">
        <v>6.7000000000000004E-2</v>
      </c>
      <c r="G624" s="3" t="e">
        <f t="shared" si="21"/>
        <v>#DIV/0!</v>
      </c>
    </row>
    <row r="625" spans="1:7" hidden="1">
      <c r="A625" s="1">
        <v>3</v>
      </c>
      <c r="B625" s="1" t="s">
        <v>28</v>
      </c>
      <c r="C625" s="11">
        <v>0</v>
      </c>
      <c r="D625" s="11">
        <v>0</v>
      </c>
      <c r="E625" s="2">
        <f t="shared" si="20"/>
        <v>0</v>
      </c>
      <c r="F625" s="11">
        <v>7.3999999999999996E-2</v>
      </c>
      <c r="G625" s="3" t="e">
        <f t="shared" si="21"/>
        <v>#DIV/0!</v>
      </c>
    </row>
    <row r="626" spans="1:7" hidden="1">
      <c r="A626" s="1">
        <v>4</v>
      </c>
      <c r="B626" s="1" t="s">
        <v>28</v>
      </c>
      <c r="C626" s="11">
        <v>0</v>
      </c>
      <c r="D626" s="11">
        <v>0</v>
      </c>
      <c r="E626" s="2">
        <f t="shared" si="20"/>
        <v>0</v>
      </c>
      <c r="F626" s="11">
        <v>6.4000000000000001E-2</v>
      </c>
      <c r="G626" s="3" t="e">
        <f t="shared" si="21"/>
        <v>#DIV/0!</v>
      </c>
    </row>
    <row r="627" spans="1:7" hidden="1">
      <c r="A627" s="1">
        <v>5</v>
      </c>
      <c r="B627" s="1" t="s">
        <v>28</v>
      </c>
      <c r="C627" s="11">
        <v>0</v>
      </c>
      <c r="D627" s="11">
        <v>0</v>
      </c>
      <c r="E627" s="2">
        <f t="shared" si="20"/>
        <v>0</v>
      </c>
      <c r="F627" s="11">
        <v>0.22199999999999986</v>
      </c>
      <c r="G627" s="3" t="e">
        <f t="shared" si="21"/>
        <v>#DIV/0!</v>
      </c>
    </row>
    <row r="628" spans="1:7" hidden="1">
      <c r="A628" s="1">
        <v>6</v>
      </c>
      <c r="B628" s="1" t="s">
        <v>28</v>
      </c>
      <c r="C628" s="11">
        <v>0</v>
      </c>
      <c r="D628" s="11">
        <v>0</v>
      </c>
      <c r="E628" s="2">
        <f t="shared" si="20"/>
        <v>0</v>
      </c>
      <c r="F628" s="11">
        <v>4.8000000000000001E-2</v>
      </c>
      <c r="G628" s="3" t="e">
        <f t="shared" si="21"/>
        <v>#DIV/0!</v>
      </c>
    </row>
    <row r="629" spans="1:7" hidden="1">
      <c r="A629" s="1">
        <v>7</v>
      </c>
      <c r="B629" s="1" t="s">
        <v>28</v>
      </c>
      <c r="C629" s="11">
        <v>0</v>
      </c>
      <c r="D629" s="11">
        <v>0</v>
      </c>
      <c r="E629" s="2">
        <f t="shared" si="20"/>
        <v>0</v>
      </c>
      <c r="F629" s="11">
        <v>1.4999999999999999E-2</v>
      </c>
      <c r="G629" s="3" t="e">
        <f t="shared" si="21"/>
        <v>#DIV/0!</v>
      </c>
    </row>
    <row r="630" spans="1:7" hidden="1">
      <c r="A630" s="1">
        <v>10</v>
      </c>
      <c r="B630" s="1" t="s">
        <v>28</v>
      </c>
      <c r="C630" s="11">
        <v>0</v>
      </c>
      <c r="D630" s="11">
        <v>0</v>
      </c>
      <c r="E630" s="2">
        <f t="shared" si="20"/>
        <v>0</v>
      </c>
      <c r="F630" s="11">
        <v>8.2000000000000003E-2</v>
      </c>
      <c r="G630" s="3" t="e">
        <f t="shared" si="21"/>
        <v>#DIV/0!</v>
      </c>
    </row>
    <row r="631" spans="1:7" hidden="1">
      <c r="A631" s="1">
        <v>8</v>
      </c>
      <c r="B631" s="1" t="s">
        <v>28</v>
      </c>
      <c r="C631" s="11">
        <v>0</v>
      </c>
      <c r="D631" s="11">
        <v>0</v>
      </c>
      <c r="E631" s="2">
        <f t="shared" si="20"/>
        <v>0</v>
      </c>
      <c r="F631" s="11">
        <v>-0.245</v>
      </c>
      <c r="G631" s="3" t="e">
        <f t="shared" si="21"/>
        <v>#DIV/0!</v>
      </c>
    </row>
    <row r="632" spans="1:7" hidden="1">
      <c r="A632" s="1">
        <v>9</v>
      </c>
      <c r="B632" s="1" t="s">
        <v>28</v>
      </c>
      <c r="C632" s="11">
        <v>0</v>
      </c>
      <c r="D632" s="11">
        <v>0</v>
      </c>
      <c r="E632" s="2">
        <f t="shared" si="20"/>
        <v>0</v>
      </c>
      <c r="F632" s="11">
        <v>5.5E-2</v>
      </c>
      <c r="G632" s="3" t="e">
        <f t="shared" si="21"/>
        <v>#DIV/0!</v>
      </c>
    </row>
    <row r="633" spans="1:7" hidden="1">
      <c r="A633" s="1">
        <v>11</v>
      </c>
      <c r="B633" s="1" t="s">
        <v>28</v>
      </c>
      <c r="C633" s="11">
        <v>20</v>
      </c>
      <c r="D633" s="11">
        <v>19.809999999999999</v>
      </c>
      <c r="E633" s="2">
        <f t="shared" si="20"/>
        <v>0.19000000000000128</v>
      </c>
      <c r="F633" s="11">
        <v>6.5000000000000002E-2</v>
      </c>
      <c r="G633" s="3">
        <f t="shared" si="21"/>
        <v>1.2750000000000063E-2</v>
      </c>
    </row>
    <row r="634" spans="1:7" hidden="1">
      <c r="A634" s="1">
        <v>12</v>
      </c>
      <c r="B634" s="1" t="s">
        <v>28</v>
      </c>
      <c r="C634" s="11">
        <v>0</v>
      </c>
      <c r="D634" s="11">
        <v>0</v>
      </c>
      <c r="E634" s="2">
        <f t="shared" si="20"/>
        <v>0</v>
      </c>
      <c r="F634" s="11">
        <v>0.11</v>
      </c>
      <c r="G634" s="3" t="e">
        <f t="shared" si="21"/>
        <v>#DIV/0!</v>
      </c>
    </row>
    <row r="635" spans="1:7" hidden="1">
      <c r="A635" s="1">
        <v>13</v>
      </c>
      <c r="B635" s="1" t="s">
        <v>28</v>
      </c>
      <c r="C635" s="11">
        <v>0</v>
      </c>
      <c r="D635" s="11">
        <v>0</v>
      </c>
      <c r="E635" s="2">
        <f t="shared" si="20"/>
        <v>0</v>
      </c>
      <c r="F635" s="11">
        <v>6.5000000000000002E-2</v>
      </c>
      <c r="G635" s="3" t="e">
        <f t="shared" si="21"/>
        <v>#DIV/0!</v>
      </c>
    </row>
    <row r="636" spans="1:7" hidden="1">
      <c r="A636" s="1">
        <v>14</v>
      </c>
      <c r="B636" s="1" t="s">
        <v>28</v>
      </c>
      <c r="C636" s="11">
        <v>0</v>
      </c>
      <c r="D636" s="11">
        <v>0</v>
      </c>
      <c r="E636" s="2">
        <f t="shared" si="20"/>
        <v>0</v>
      </c>
      <c r="F636" s="11">
        <v>0.09</v>
      </c>
      <c r="G636" s="3" t="e">
        <f t="shared" si="21"/>
        <v>#DIV/0!</v>
      </c>
    </row>
    <row r="637" spans="1:7" hidden="1">
      <c r="A637" s="1">
        <v>15</v>
      </c>
      <c r="B637" s="1" t="s">
        <v>28</v>
      </c>
      <c r="C637" s="11">
        <v>0</v>
      </c>
      <c r="D637" s="11">
        <v>0</v>
      </c>
      <c r="E637" s="2">
        <f t="shared" si="20"/>
        <v>0</v>
      </c>
      <c r="F637" s="11">
        <v>0.105</v>
      </c>
      <c r="G637" s="3" t="e">
        <f t="shared" si="21"/>
        <v>#DIV/0!</v>
      </c>
    </row>
    <row r="638" spans="1:7" hidden="1">
      <c r="A638" s="1">
        <v>16</v>
      </c>
      <c r="B638" s="1" t="s">
        <v>28</v>
      </c>
      <c r="C638" s="11">
        <v>0</v>
      </c>
      <c r="D638" s="11">
        <v>0</v>
      </c>
      <c r="E638" s="2">
        <f t="shared" si="20"/>
        <v>0</v>
      </c>
      <c r="F638" s="11">
        <v>9.5000000000000001E-2</v>
      </c>
      <c r="G638" s="3" t="e">
        <f t="shared" si="21"/>
        <v>#DIV/0!</v>
      </c>
    </row>
    <row r="639" spans="1:7" hidden="1">
      <c r="A639" s="1">
        <v>17</v>
      </c>
      <c r="B639" s="1" t="s">
        <v>28</v>
      </c>
      <c r="C639" s="11">
        <v>0</v>
      </c>
      <c r="D639" s="11">
        <v>0</v>
      </c>
      <c r="E639" s="2">
        <f t="shared" si="20"/>
        <v>0</v>
      </c>
      <c r="F639" s="11">
        <v>0.09</v>
      </c>
      <c r="G639" s="3" t="e">
        <f t="shared" si="21"/>
        <v>#DIV/0!</v>
      </c>
    </row>
    <row r="640" spans="1:7" hidden="1">
      <c r="A640" s="1">
        <v>18</v>
      </c>
      <c r="B640" s="1" t="s">
        <v>28</v>
      </c>
      <c r="C640" s="11">
        <v>0</v>
      </c>
      <c r="D640" s="11">
        <v>0</v>
      </c>
      <c r="E640" s="2">
        <f t="shared" si="20"/>
        <v>0</v>
      </c>
      <c r="F640" s="11">
        <v>4.4999999999999998E-2</v>
      </c>
      <c r="G640" s="3" t="e">
        <f t="shared" si="21"/>
        <v>#DIV/0!</v>
      </c>
    </row>
    <row r="641" spans="1:7" hidden="1">
      <c r="A641" s="1">
        <v>19</v>
      </c>
      <c r="B641" s="1" t="s">
        <v>28</v>
      </c>
      <c r="C641" s="11">
        <v>0</v>
      </c>
      <c r="D641" s="11">
        <v>0</v>
      </c>
      <c r="E641" s="2">
        <f t="shared" si="20"/>
        <v>0</v>
      </c>
      <c r="F641" s="11">
        <v>7.4999999999999997E-2</v>
      </c>
      <c r="G641" s="3" t="e">
        <f t="shared" si="21"/>
        <v>#DIV/0!</v>
      </c>
    </row>
    <row r="642" spans="1:7" hidden="1">
      <c r="A642" s="1">
        <v>20</v>
      </c>
      <c r="B642" s="1" t="s">
        <v>28</v>
      </c>
      <c r="C642" s="11">
        <v>0</v>
      </c>
      <c r="D642" s="11">
        <v>0</v>
      </c>
      <c r="E642" s="2">
        <f t="shared" si="20"/>
        <v>0</v>
      </c>
      <c r="F642" s="11">
        <v>7.0000000000000007E-2</v>
      </c>
      <c r="G642" s="3" t="e">
        <f t="shared" si="21"/>
        <v>#DIV/0!</v>
      </c>
    </row>
    <row r="643" spans="1:7" hidden="1">
      <c r="A643" s="1">
        <v>21</v>
      </c>
      <c r="B643" s="1" t="s">
        <v>28</v>
      </c>
      <c r="C643" s="11">
        <v>0</v>
      </c>
      <c r="D643" s="11">
        <v>0</v>
      </c>
      <c r="E643" s="2">
        <f t="shared" si="20"/>
        <v>0</v>
      </c>
      <c r="F643" s="11">
        <v>0.09</v>
      </c>
      <c r="G643" s="3" t="e">
        <f t="shared" si="21"/>
        <v>#DIV/0!</v>
      </c>
    </row>
    <row r="644" spans="1:7" hidden="1">
      <c r="A644" s="1">
        <v>22</v>
      </c>
      <c r="B644" s="1" t="s">
        <v>28</v>
      </c>
      <c r="C644" s="11">
        <v>0</v>
      </c>
      <c r="D644" s="11">
        <v>0</v>
      </c>
      <c r="E644" s="2">
        <f t="shared" ref="E644:E707" si="22">C644-D644</f>
        <v>0</v>
      </c>
      <c r="F644" s="11">
        <v>0.11999999999999966</v>
      </c>
      <c r="G644" s="3">
        <f>(E644+F644)/RENDANG!C644</f>
        <v>7.9999999999999776E-3</v>
      </c>
    </row>
    <row r="645" spans="1:7" hidden="1">
      <c r="A645" s="1">
        <v>23</v>
      </c>
      <c r="B645" s="1" t="s">
        <v>28</v>
      </c>
      <c r="C645" s="11">
        <v>0</v>
      </c>
      <c r="D645" s="11">
        <v>0</v>
      </c>
      <c r="E645" s="2">
        <f t="shared" si="22"/>
        <v>0</v>
      </c>
      <c r="F645" s="11">
        <v>0.105</v>
      </c>
      <c r="G645" s="3" t="e">
        <f t="shared" ref="G645:G676" si="23">(E645+F645)/C645</f>
        <v>#DIV/0!</v>
      </c>
    </row>
    <row r="646" spans="1:7" hidden="1">
      <c r="A646" s="1">
        <v>24</v>
      </c>
      <c r="B646" s="1" t="s">
        <v>28</v>
      </c>
      <c r="C646" s="11">
        <v>35</v>
      </c>
      <c r="D646" s="11">
        <v>34.270000000000003</v>
      </c>
      <c r="E646" s="2">
        <f t="shared" si="22"/>
        <v>0.72999999999999687</v>
      </c>
      <c r="F646" s="11">
        <v>5.7000000000000002E-2</v>
      </c>
      <c r="G646" s="3">
        <f t="shared" si="23"/>
        <v>2.2485714285714199E-2</v>
      </c>
    </row>
    <row r="647" spans="1:7" hidden="1">
      <c r="A647" s="1">
        <v>25</v>
      </c>
      <c r="B647" s="1" t="s">
        <v>28</v>
      </c>
      <c r="C647" s="11">
        <v>0</v>
      </c>
      <c r="D647" s="11">
        <v>0</v>
      </c>
      <c r="E647" s="2">
        <f t="shared" si="22"/>
        <v>0</v>
      </c>
      <c r="F647" s="11">
        <v>1.633</v>
      </c>
      <c r="G647" s="3" t="e">
        <f t="shared" si="23"/>
        <v>#DIV/0!</v>
      </c>
    </row>
    <row r="648" spans="1:7" hidden="1">
      <c r="A648" s="1">
        <v>26</v>
      </c>
      <c r="B648" s="1" t="s">
        <v>28</v>
      </c>
      <c r="C648" s="11">
        <v>0</v>
      </c>
      <c r="D648" s="11">
        <v>0</v>
      </c>
      <c r="E648" s="2">
        <f t="shared" si="22"/>
        <v>0</v>
      </c>
      <c r="F648" s="11">
        <v>7.0000000000000007E-2</v>
      </c>
      <c r="G648" s="3" t="e">
        <f t="shared" si="23"/>
        <v>#DIV/0!</v>
      </c>
    </row>
    <row r="649" spans="1:7" hidden="1">
      <c r="A649" s="1">
        <v>27</v>
      </c>
      <c r="B649" s="1" t="s">
        <v>28</v>
      </c>
      <c r="C649" s="11">
        <v>0</v>
      </c>
      <c r="D649" s="11">
        <v>0</v>
      </c>
      <c r="E649" s="2">
        <f t="shared" si="22"/>
        <v>0</v>
      </c>
      <c r="F649" s="11">
        <v>7.4999999999999997E-2</v>
      </c>
      <c r="G649" s="3" t="e">
        <f t="shared" si="23"/>
        <v>#DIV/0!</v>
      </c>
    </row>
    <row r="650" spans="1:7" hidden="1">
      <c r="A650" s="1">
        <v>28</v>
      </c>
      <c r="B650" s="1" t="s">
        <v>28</v>
      </c>
      <c r="C650" s="11">
        <v>0</v>
      </c>
      <c r="D650" s="11">
        <v>0</v>
      </c>
      <c r="E650" s="2">
        <f t="shared" si="22"/>
        <v>0</v>
      </c>
      <c r="F650" s="11">
        <v>0.09</v>
      </c>
      <c r="G650" s="3" t="e">
        <f t="shared" si="23"/>
        <v>#DIV/0!</v>
      </c>
    </row>
    <row r="651" spans="1:7" hidden="1">
      <c r="A651" s="1">
        <v>29</v>
      </c>
      <c r="B651" s="1" t="s">
        <v>28</v>
      </c>
      <c r="C651" s="11">
        <v>0</v>
      </c>
      <c r="D651" s="11">
        <v>0</v>
      </c>
      <c r="E651" s="2">
        <f t="shared" si="22"/>
        <v>0</v>
      </c>
      <c r="F651" s="11">
        <v>0.05</v>
      </c>
      <c r="G651" s="3" t="e">
        <f t="shared" si="23"/>
        <v>#DIV/0!</v>
      </c>
    </row>
    <row r="652" spans="1:7" hidden="1">
      <c r="A652" s="1">
        <v>30</v>
      </c>
      <c r="B652" s="1" t="s">
        <v>28</v>
      </c>
      <c r="C652" s="11">
        <v>0</v>
      </c>
      <c r="D652" s="11">
        <v>0</v>
      </c>
      <c r="E652" s="2">
        <f t="shared" si="22"/>
        <v>0</v>
      </c>
      <c r="F652" s="11">
        <v>7.0000000000000007E-2</v>
      </c>
      <c r="G652" s="3" t="e">
        <f t="shared" si="23"/>
        <v>#DIV/0!</v>
      </c>
    </row>
    <row r="653" spans="1:7" hidden="1">
      <c r="A653" s="1">
        <v>31</v>
      </c>
      <c r="B653" s="1" t="s">
        <v>28</v>
      </c>
      <c r="C653" s="11">
        <v>20</v>
      </c>
      <c r="D653" s="11">
        <v>19.600000000000001</v>
      </c>
      <c r="E653" s="2">
        <f t="shared" si="22"/>
        <v>0.39999999999999858</v>
      </c>
      <c r="F653" s="11">
        <v>0.11</v>
      </c>
      <c r="G653" s="3">
        <f t="shared" si="23"/>
        <v>2.5499999999999929E-2</v>
      </c>
    </row>
    <row r="654" spans="1:7" hidden="1">
      <c r="A654" s="1">
        <v>1</v>
      </c>
      <c r="B654" s="1" t="s">
        <v>29</v>
      </c>
      <c r="C654" s="11">
        <v>0</v>
      </c>
      <c r="D654" s="11">
        <v>0</v>
      </c>
      <c r="E654" s="2">
        <f t="shared" si="22"/>
        <v>0</v>
      </c>
      <c r="F654" s="11">
        <v>0.11</v>
      </c>
      <c r="G654" s="3" t="e">
        <f t="shared" si="23"/>
        <v>#DIV/0!</v>
      </c>
    </row>
    <row r="655" spans="1:7" hidden="1">
      <c r="A655" s="1">
        <v>2</v>
      </c>
      <c r="B655" s="1" t="s">
        <v>29</v>
      </c>
      <c r="C655" s="11">
        <v>0</v>
      </c>
      <c r="D655" s="11">
        <v>0</v>
      </c>
      <c r="E655" s="2">
        <f t="shared" si="22"/>
        <v>0</v>
      </c>
      <c r="F655" s="11">
        <v>0.12</v>
      </c>
      <c r="G655" s="3" t="e">
        <f t="shared" si="23"/>
        <v>#DIV/0!</v>
      </c>
    </row>
    <row r="656" spans="1:7" hidden="1">
      <c r="A656" s="1">
        <v>3</v>
      </c>
      <c r="B656" s="1" t="s">
        <v>29</v>
      </c>
      <c r="C656" s="11">
        <v>20</v>
      </c>
      <c r="D656" s="11">
        <v>19.89</v>
      </c>
      <c r="E656" s="2">
        <f t="shared" si="22"/>
        <v>0.10999999999999943</v>
      </c>
      <c r="F656" s="11">
        <v>0.125</v>
      </c>
      <c r="G656" s="3">
        <f t="shared" si="23"/>
        <v>1.1749999999999972E-2</v>
      </c>
    </row>
    <row r="657" spans="1:7" hidden="1">
      <c r="A657" s="1">
        <v>4</v>
      </c>
      <c r="B657" s="1" t="s">
        <v>29</v>
      </c>
      <c r="C657" s="11">
        <v>0</v>
      </c>
      <c r="D657" s="11">
        <v>0</v>
      </c>
      <c r="E657" s="2">
        <f t="shared" si="22"/>
        <v>0</v>
      </c>
      <c r="F657" s="11">
        <v>0.12</v>
      </c>
      <c r="G657" s="3" t="e">
        <f t="shared" si="23"/>
        <v>#DIV/0!</v>
      </c>
    </row>
    <row r="658" spans="1:7" hidden="1">
      <c r="A658" s="1">
        <v>5</v>
      </c>
      <c r="B658" s="1" t="s">
        <v>29</v>
      </c>
      <c r="C658" s="11">
        <v>0</v>
      </c>
      <c r="D658" s="11">
        <v>0</v>
      </c>
      <c r="E658" s="2">
        <f t="shared" si="22"/>
        <v>0</v>
      </c>
      <c r="F658" s="11">
        <v>0.11</v>
      </c>
      <c r="G658" s="3" t="e">
        <f t="shared" si="23"/>
        <v>#DIV/0!</v>
      </c>
    </row>
    <row r="659" spans="1:7" hidden="1">
      <c r="A659" s="1">
        <v>6</v>
      </c>
      <c r="B659" s="1" t="s">
        <v>29</v>
      </c>
      <c r="C659" s="11">
        <v>20</v>
      </c>
      <c r="D659" s="11">
        <v>19.899999999999999</v>
      </c>
      <c r="E659" s="2">
        <f t="shared" si="22"/>
        <v>0.10000000000000142</v>
      </c>
      <c r="F659" s="11">
        <v>0.12</v>
      </c>
      <c r="G659" s="3">
        <f t="shared" si="23"/>
        <v>1.100000000000007E-2</v>
      </c>
    </row>
    <row r="660" spans="1:7" hidden="1">
      <c r="A660" s="1">
        <v>7</v>
      </c>
      <c r="B660" s="1" t="s">
        <v>29</v>
      </c>
      <c r="C660" s="11">
        <v>0</v>
      </c>
      <c r="D660" s="11">
        <v>0</v>
      </c>
      <c r="E660" s="2">
        <f t="shared" si="22"/>
        <v>0</v>
      </c>
      <c r="F660" s="11">
        <v>0.11</v>
      </c>
      <c r="G660" s="3" t="e">
        <f t="shared" si="23"/>
        <v>#DIV/0!</v>
      </c>
    </row>
    <row r="661" spans="1:7" hidden="1">
      <c r="A661" s="1">
        <v>10</v>
      </c>
      <c r="B661" s="1" t="s">
        <v>29</v>
      </c>
      <c r="C661" s="11">
        <v>0</v>
      </c>
      <c r="D661" s="11">
        <v>0</v>
      </c>
      <c r="E661" s="2">
        <f t="shared" si="22"/>
        <v>0</v>
      </c>
      <c r="F661" s="11">
        <v>0.12</v>
      </c>
      <c r="G661" s="3" t="e">
        <f t="shared" si="23"/>
        <v>#DIV/0!</v>
      </c>
    </row>
    <row r="662" spans="1:7" hidden="1">
      <c r="A662" s="1">
        <v>8</v>
      </c>
      <c r="B662" s="1" t="s">
        <v>29</v>
      </c>
      <c r="C662" s="11">
        <v>0</v>
      </c>
      <c r="D662" s="11">
        <v>0</v>
      </c>
      <c r="E662" s="2">
        <f t="shared" si="22"/>
        <v>0</v>
      </c>
      <c r="F662" s="11">
        <v>0.1</v>
      </c>
      <c r="G662" s="3" t="e">
        <f t="shared" si="23"/>
        <v>#DIV/0!</v>
      </c>
    </row>
    <row r="663" spans="1:7" hidden="1">
      <c r="A663" s="1">
        <v>9</v>
      </c>
      <c r="B663" s="1" t="s">
        <v>29</v>
      </c>
      <c r="C663" s="11">
        <v>0</v>
      </c>
      <c r="D663" s="11">
        <v>0</v>
      </c>
      <c r="E663" s="2">
        <f t="shared" si="22"/>
        <v>0</v>
      </c>
      <c r="F663" s="11">
        <v>0</v>
      </c>
      <c r="G663" s="3" t="e">
        <f t="shared" si="23"/>
        <v>#DIV/0!</v>
      </c>
    </row>
    <row r="664" spans="1:7" hidden="1">
      <c r="A664" s="1">
        <v>11</v>
      </c>
      <c r="B664" s="1" t="s">
        <v>29</v>
      </c>
      <c r="C664" s="11">
        <v>0</v>
      </c>
      <c r="D664" s="11">
        <v>0</v>
      </c>
      <c r="E664" s="2">
        <f t="shared" si="22"/>
        <v>0</v>
      </c>
      <c r="F664" s="11">
        <v>0.12</v>
      </c>
      <c r="G664" s="3" t="e">
        <f t="shared" si="23"/>
        <v>#DIV/0!</v>
      </c>
    </row>
    <row r="665" spans="1:7" hidden="1">
      <c r="A665" s="1">
        <v>12</v>
      </c>
      <c r="B665" s="1" t="s">
        <v>29</v>
      </c>
      <c r="C665" s="11">
        <v>0</v>
      </c>
      <c r="D665" s="11">
        <v>0</v>
      </c>
      <c r="E665" s="2">
        <f t="shared" si="22"/>
        <v>0</v>
      </c>
      <c r="F665" s="11">
        <v>0.1</v>
      </c>
      <c r="G665" s="3" t="e">
        <f t="shared" si="23"/>
        <v>#DIV/0!</v>
      </c>
    </row>
    <row r="666" spans="1:7" hidden="1">
      <c r="A666" s="1">
        <v>13</v>
      </c>
      <c r="B666" s="1" t="s">
        <v>29</v>
      </c>
      <c r="C666" s="11">
        <v>0</v>
      </c>
      <c r="D666" s="11">
        <v>0</v>
      </c>
      <c r="E666" s="2">
        <f t="shared" si="22"/>
        <v>0</v>
      </c>
      <c r="F666" s="11">
        <v>0.1</v>
      </c>
      <c r="G666" s="3" t="e">
        <f t="shared" si="23"/>
        <v>#DIV/0!</v>
      </c>
    </row>
    <row r="667" spans="1:7" hidden="1">
      <c r="A667" s="1">
        <v>14</v>
      </c>
      <c r="B667" s="1" t="s">
        <v>29</v>
      </c>
      <c r="C667" s="11">
        <v>0</v>
      </c>
      <c r="D667" s="11">
        <v>0</v>
      </c>
      <c r="E667" s="2">
        <f t="shared" si="22"/>
        <v>0</v>
      </c>
      <c r="F667" s="11">
        <v>0.125</v>
      </c>
      <c r="G667" s="3" t="e">
        <f t="shared" si="23"/>
        <v>#DIV/0!</v>
      </c>
    </row>
    <row r="668" spans="1:7" hidden="1">
      <c r="A668" s="1">
        <v>15</v>
      </c>
      <c r="B668" s="1" t="s">
        <v>29</v>
      </c>
      <c r="C668" s="11">
        <v>0</v>
      </c>
      <c r="D668" s="11">
        <v>0</v>
      </c>
      <c r="E668" s="2">
        <f t="shared" si="22"/>
        <v>0</v>
      </c>
      <c r="F668" s="11">
        <v>0.11</v>
      </c>
      <c r="G668" s="3" t="e">
        <f t="shared" si="23"/>
        <v>#DIV/0!</v>
      </c>
    </row>
    <row r="669" spans="1:7" hidden="1">
      <c r="A669" s="1">
        <v>16</v>
      </c>
      <c r="B669" s="1" t="s">
        <v>29</v>
      </c>
      <c r="C669" s="11">
        <v>0</v>
      </c>
      <c r="D669" s="11">
        <v>0</v>
      </c>
      <c r="E669" s="2">
        <f t="shared" si="22"/>
        <v>0</v>
      </c>
      <c r="F669" s="11">
        <v>0.155</v>
      </c>
      <c r="G669" s="3" t="e">
        <f t="shared" si="23"/>
        <v>#DIV/0!</v>
      </c>
    </row>
    <row r="670" spans="1:7" hidden="1">
      <c r="A670" s="1">
        <v>17</v>
      </c>
      <c r="B670" s="1" t="s">
        <v>29</v>
      </c>
      <c r="C670" s="11">
        <v>0</v>
      </c>
      <c r="D670" s="11">
        <v>0</v>
      </c>
      <c r="E670" s="2">
        <f t="shared" si="22"/>
        <v>0</v>
      </c>
      <c r="F670" s="11">
        <v>0.1</v>
      </c>
      <c r="G670" s="3" t="e">
        <f t="shared" si="23"/>
        <v>#DIV/0!</v>
      </c>
    </row>
    <row r="671" spans="1:7" hidden="1">
      <c r="A671" s="1">
        <v>18</v>
      </c>
      <c r="B671" s="1" t="s">
        <v>29</v>
      </c>
      <c r="C671" s="11">
        <v>0</v>
      </c>
      <c r="D671" s="11">
        <v>0</v>
      </c>
      <c r="E671" s="2">
        <f t="shared" si="22"/>
        <v>0</v>
      </c>
      <c r="F671" s="11">
        <v>0.12</v>
      </c>
      <c r="G671" s="3" t="e">
        <f t="shared" si="23"/>
        <v>#DIV/0!</v>
      </c>
    </row>
    <row r="672" spans="1:7" hidden="1">
      <c r="A672" s="1">
        <v>19</v>
      </c>
      <c r="B672" s="1" t="s">
        <v>29</v>
      </c>
      <c r="C672" s="11">
        <v>0</v>
      </c>
      <c r="D672" s="11">
        <v>0</v>
      </c>
      <c r="E672" s="2">
        <f t="shared" si="22"/>
        <v>0</v>
      </c>
      <c r="F672" s="11">
        <v>0.12</v>
      </c>
      <c r="G672" s="3" t="e">
        <f t="shared" si="23"/>
        <v>#DIV/0!</v>
      </c>
    </row>
    <row r="673" spans="1:7" hidden="1">
      <c r="A673" s="1">
        <v>20</v>
      </c>
      <c r="B673" s="1" t="s">
        <v>29</v>
      </c>
      <c r="C673" s="11">
        <v>20</v>
      </c>
      <c r="D673" s="11">
        <v>19.71</v>
      </c>
      <c r="E673" s="2">
        <f t="shared" si="22"/>
        <v>0.28999999999999915</v>
      </c>
      <c r="F673" s="11">
        <v>0.11</v>
      </c>
      <c r="G673" s="3">
        <f t="shared" si="23"/>
        <v>1.9999999999999955E-2</v>
      </c>
    </row>
    <row r="674" spans="1:7" hidden="1">
      <c r="A674" s="1">
        <v>21</v>
      </c>
      <c r="B674" s="1" t="s">
        <v>29</v>
      </c>
      <c r="C674" s="11">
        <v>0</v>
      </c>
      <c r="D674" s="11">
        <v>0</v>
      </c>
      <c r="E674" s="2">
        <f t="shared" si="22"/>
        <v>0</v>
      </c>
      <c r="F674" s="11">
        <v>0.12</v>
      </c>
      <c r="G674" s="3" t="e">
        <f t="shared" si="23"/>
        <v>#DIV/0!</v>
      </c>
    </row>
    <row r="675" spans="1:7" hidden="1">
      <c r="A675" s="1">
        <v>22</v>
      </c>
      <c r="B675" s="1" t="s">
        <v>29</v>
      </c>
      <c r="C675" s="11">
        <v>0</v>
      </c>
      <c r="D675" s="11">
        <v>0</v>
      </c>
      <c r="E675" s="2">
        <f t="shared" si="22"/>
        <v>0</v>
      </c>
      <c r="F675" s="11">
        <v>0.12</v>
      </c>
      <c r="G675" s="3" t="e">
        <f t="shared" si="23"/>
        <v>#DIV/0!</v>
      </c>
    </row>
    <row r="676" spans="1:7" hidden="1">
      <c r="A676" s="1">
        <v>23</v>
      </c>
      <c r="B676" s="1" t="s">
        <v>29</v>
      </c>
      <c r="C676" s="11">
        <v>0</v>
      </c>
      <c r="D676" s="11">
        <v>0</v>
      </c>
      <c r="E676" s="2">
        <f t="shared" si="22"/>
        <v>0</v>
      </c>
      <c r="F676" s="11">
        <v>0.125</v>
      </c>
      <c r="G676" s="3" t="e">
        <f t="shared" si="23"/>
        <v>#DIV/0!</v>
      </c>
    </row>
    <row r="677" spans="1:7" hidden="1">
      <c r="A677" s="1">
        <v>24</v>
      </c>
      <c r="B677" s="1" t="s">
        <v>29</v>
      </c>
      <c r="C677" s="11">
        <v>0</v>
      </c>
      <c r="D677" s="11">
        <v>0</v>
      </c>
      <c r="E677" s="2">
        <f t="shared" si="22"/>
        <v>0</v>
      </c>
      <c r="F677" s="11">
        <v>0.12</v>
      </c>
      <c r="G677" s="3" t="e">
        <f t="shared" ref="G677:G740" si="24">(E677+F677)/C677</f>
        <v>#DIV/0!</v>
      </c>
    </row>
    <row r="678" spans="1:7" hidden="1">
      <c r="A678" s="1">
        <v>25</v>
      </c>
      <c r="B678" s="1" t="s">
        <v>29</v>
      </c>
      <c r="C678" s="11">
        <v>0</v>
      </c>
      <c r="D678" s="11">
        <v>0</v>
      </c>
      <c r="E678" s="2">
        <f t="shared" si="22"/>
        <v>0</v>
      </c>
      <c r="F678" s="11">
        <v>0.12</v>
      </c>
      <c r="G678" s="3" t="e">
        <f t="shared" si="24"/>
        <v>#DIV/0!</v>
      </c>
    </row>
    <row r="679" spans="1:7" hidden="1">
      <c r="A679" s="1">
        <v>26</v>
      </c>
      <c r="B679" s="1" t="s">
        <v>29</v>
      </c>
      <c r="C679" s="11">
        <v>0</v>
      </c>
      <c r="D679" s="11">
        <v>0</v>
      </c>
      <c r="E679" s="2">
        <f t="shared" si="22"/>
        <v>0</v>
      </c>
      <c r="F679" s="11">
        <v>0.13</v>
      </c>
      <c r="G679" s="3" t="e">
        <f t="shared" si="24"/>
        <v>#DIV/0!</v>
      </c>
    </row>
    <row r="680" spans="1:7" hidden="1">
      <c r="A680" s="1">
        <v>27</v>
      </c>
      <c r="B680" s="1" t="s">
        <v>29</v>
      </c>
      <c r="C680" s="11">
        <v>0</v>
      </c>
      <c r="D680" s="11">
        <v>0</v>
      </c>
      <c r="E680" s="2">
        <f t="shared" si="22"/>
        <v>0</v>
      </c>
      <c r="F680" s="11">
        <v>0.11</v>
      </c>
      <c r="G680" s="3" t="e">
        <f t="shared" si="24"/>
        <v>#DIV/0!</v>
      </c>
    </row>
    <row r="681" spans="1:7" hidden="1">
      <c r="A681" s="1">
        <v>28</v>
      </c>
      <c r="B681" s="1" t="s">
        <v>29</v>
      </c>
      <c r="C681" s="11">
        <v>0</v>
      </c>
      <c r="D681" s="11">
        <v>0</v>
      </c>
      <c r="E681" s="2">
        <f t="shared" si="22"/>
        <v>0</v>
      </c>
      <c r="F681" s="11">
        <v>0.12</v>
      </c>
      <c r="G681" s="3" t="e">
        <f t="shared" si="24"/>
        <v>#DIV/0!</v>
      </c>
    </row>
    <row r="682" spans="1:7" hidden="1">
      <c r="A682" s="1">
        <v>29</v>
      </c>
      <c r="B682" s="1" t="s">
        <v>29</v>
      </c>
      <c r="C682" s="11">
        <v>0</v>
      </c>
      <c r="D682" s="11">
        <v>0</v>
      </c>
      <c r="E682" s="2">
        <f t="shared" si="22"/>
        <v>0</v>
      </c>
      <c r="F682" s="11">
        <v>0.12</v>
      </c>
      <c r="G682" s="3" t="e">
        <f t="shared" si="24"/>
        <v>#DIV/0!</v>
      </c>
    </row>
    <row r="683" spans="1:7" hidden="1">
      <c r="A683" s="1">
        <v>30</v>
      </c>
      <c r="B683" s="1" t="s">
        <v>29</v>
      </c>
      <c r="C683" s="11">
        <v>0</v>
      </c>
      <c r="D683" s="11">
        <v>0</v>
      </c>
      <c r="E683" s="2">
        <f t="shared" si="22"/>
        <v>0</v>
      </c>
      <c r="F683" s="11">
        <v>0.12</v>
      </c>
      <c r="G683" s="3" t="e">
        <f t="shared" si="24"/>
        <v>#DIV/0!</v>
      </c>
    </row>
    <row r="684" spans="1:7" hidden="1">
      <c r="A684" s="1">
        <v>31</v>
      </c>
      <c r="B684" s="1" t="s">
        <v>29</v>
      </c>
      <c r="C684" s="11">
        <v>0</v>
      </c>
      <c r="D684" s="11">
        <v>0</v>
      </c>
      <c r="E684" s="2">
        <f t="shared" si="22"/>
        <v>0</v>
      </c>
      <c r="F684" s="11">
        <v>0.12</v>
      </c>
      <c r="G684" s="3" t="e">
        <f t="shared" si="24"/>
        <v>#DIV/0!</v>
      </c>
    </row>
    <row r="685" spans="1:7" hidden="1">
      <c r="A685" s="1">
        <v>1</v>
      </c>
      <c r="B685" s="1" t="s">
        <v>30</v>
      </c>
      <c r="C685" s="11">
        <v>20</v>
      </c>
      <c r="D685" s="11">
        <v>19.89</v>
      </c>
      <c r="E685" s="2">
        <f t="shared" si="22"/>
        <v>0.10999999999999943</v>
      </c>
      <c r="F685" s="11">
        <v>0.125</v>
      </c>
      <c r="G685" s="3">
        <f t="shared" si="24"/>
        <v>1.1749999999999972E-2</v>
      </c>
    </row>
    <row r="686" spans="1:7" hidden="1">
      <c r="A686" s="1">
        <v>2</v>
      </c>
      <c r="B686" s="1" t="s">
        <v>30</v>
      </c>
      <c r="C686" s="11">
        <v>0</v>
      </c>
      <c r="D686" s="11">
        <v>0</v>
      </c>
      <c r="E686" s="2">
        <f t="shared" si="22"/>
        <v>0</v>
      </c>
      <c r="F686" s="11">
        <v>0.185</v>
      </c>
      <c r="G686" s="3" t="e">
        <f t="shared" si="24"/>
        <v>#DIV/0!</v>
      </c>
    </row>
    <row r="687" spans="1:7" hidden="1">
      <c r="A687" s="1">
        <v>3</v>
      </c>
      <c r="B687" s="1" t="s">
        <v>30</v>
      </c>
      <c r="C687" s="11">
        <v>20</v>
      </c>
      <c r="D687" s="11">
        <v>19.79</v>
      </c>
      <c r="E687" s="2">
        <f t="shared" si="22"/>
        <v>0.21000000000000085</v>
      </c>
      <c r="F687" s="11">
        <v>0.125</v>
      </c>
      <c r="G687" s="3">
        <f t="shared" si="24"/>
        <v>1.6750000000000043E-2</v>
      </c>
    </row>
    <row r="688" spans="1:7" hidden="1">
      <c r="A688" s="1">
        <v>4</v>
      </c>
      <c r="B688" s="1" t="s">
        <v>30</v>
      </c>
      <c r="C688" s="11">
        <v>20.04</v>
      </c>
      <c r="D688" s="11">
        <v>19.75</v>
      </c>
      <c r="E688" s="2">
        <f t="shared" si="22"/>
        <v>0.28999999999999915</v>
      </c>
      <c r="F688" s="11">
        <v>0.1</v>
      </c>
      <c r="G688" s="3">
        <f t="shared" si="24"/>
        <v>1.9461077844311333E-2</v>
      </c>
    </row>
    <row r="689" spans="1:7" hidden="1">
      <c r="A689" s="1">
        <v>5</v>
      </c>
      <c r="B689" s="1" t="s">
        <v>30</v>
      </c>
      <c r="C689" s="11">
        <v>0</v>
      </c>
      <c r="D689" s="11">
        <v>0</v>
      </c>
      <c r="E689" s="2">
        <f t="shared" si="22"/>
        <v>0</v>
      </c>
      <c r="F689" s="11">
        <v>7.2999999999999995E-2</v>
      </c>
      <c r="G689" s="3" t="e">
        <f t="shared" si="24"/>
        <v>#DIV/0!</v>
      </c>
    </row>
    <row r="690" spans="1:7" hidden="1">
      <c r="A690" s="1">
        <v>6</v>
      </c>
      <c r="B690" s="1" t="s">
        <v>30</v>
      </c>
      <c r="C690" s="11">
        <v>0</v>
      </c>
      <c r="D690" s="11">
        <v>0</v>
      </c>
      <c r="E690" s="2">
        <f t="shared" si="22"/>
        <v>0</v>
      </c>
      <c r="F690" s="11">
        <v>0.182</v>
      </c>
      <c r="G690" s="3" t="e">
        <f t="shared" si="24"/>
        <v>#DIV/0!</v>
      </c>
    </row>
    <row r="691" spans="1:7" hidden="1">
      <c r="A691" s="1">
        <v>7</v>
      </c>
      <c r="B691" s="1" t="s">
        <v>30</v>
      </c>
      <c r="C691" s="11">
        <v>0</v>
      </c>
      <c r="D691" s="11">
        <v>0</v>
      </c>
      <c r="E691" s="2">
        <f t="shared" si="22"/>
        <v>0</v>
      </c>
      <c r="F691" s="11">
        <v>0.2</v>
      </c>
      <c r="G691" s="3" t="e">
        <f t="shared" si="24"/>
        <v>#DIV/0!</v>
      </c>
    </row>
    <row r="692" spans="1:7" hidden="1">
      <c r="A692" s="1">
        <v>10</v>
      </c>
      <c r="B692" s="1" t="s">
        <v>30</v>
      </c>
      <c r="C692" s="11">
        <v>0</v>
      </c>
      <c r="D692" s="11">
        <v>0</v>
      </c>
      <c r="E692" s="2">
        <f t="shared" si="22"/>
        <v>0</v>
      </c>
      <c r="F692" s="11">
        <v>0.28000000000000003</v>
      </c>
      <c r="G692" s="3" t="e">
        <f t="shared" si="24"/>
        <v>#DIV/0!</v>
      </c>
    </row>
    <row r="693" spans="1:7" hidden="1">
      <c r="A693" s="1">
        <v>8</v>
      </c>
      <c r="B693" s="1" t="s">
        <v>30</v>
      </c>
      <c r="C693" s="11">
        <v>0</v>
      </c>
      <c r="D693" s="11">
        <v>0</v>
      </c>
      <c r="E693" s="2">
        <f t="shared" si="22"/>
        <v>0</v>
      </c>
      <c r="F693" s="11">
        <v>0.1</v>
      </c>
      <c r="G693" s="3" t="e">
        <f t="shared" si="24"/>
        <v>#DIV/0!</v>
      </c>
    </row>
    <row r="694" spans="1:7" hidden="1">
      <c r="A694" s="1">
        <v>9</v>
      </c>
      <c r="B694" s="1" t="s">
        <v>30</v>
      </c>
      <c r="C694" s="11">
        <v>0</v>
      </c>
      <c r="D694" s="11">
        <v>0</v>
      </c>
      <c r="E694" s="2">
        <f t="shared" si="22"/>
        <v>0</v>
      </c>
      <c r="F694" s="11">
        <v>0.27</v>
      </c>
      <c r="G694" s="3" t="e">
        <f t="shared" si="24"/>
        <v>#DIV/0!</v>
      </c>
    </row>
    <row r="695" spans="1:7" hidden="1">
      <c r="A695" s="1">
        <v>11</v>
      </c>
      <c r="B695" s="1" t="s">
        <v>30</v>
      </c>
      <c r="C695" s="11">
        <v>0</v>
      </c>
      <c r="D695" s="11">
        <v>0</v>
      </c>
      <c r="E695" s="2">
        <f t="shared" si="22"/>
        <v>0</v>
      </c>
      <c r="F695" s="11">
        <v>0.35</v>
      </c>
      <c r="G695" s="3" t="e">
        <f t="shared" si="24"/>
        <v>#DIV/0!</v>
      </c>
    </row>
    <row r="696" spans="1:7" hidden="1">
      <c r="A696" s="1">
        <v>12</v>
      </c>
      <c r="B696" s="1" t="s">
        <v>30</v>
      </c>
      <c r="C696" s="11">
        <v>0</v>
      </c>
      <c r="D696" s="11">
        <v>0</v>
      </c>
      <c r="E696" s="2">
        <f t="shared" si="22"/>
        <v>0</v>
      </c>
      <c r="F696" s="11">
        <v>0.23</v>
      </c>
      <c r="G696" s="3" t="e">
        <f t="shared" si="24"/>
        <v>#DIV/0!</v>
      </c>
    </row>
    <row r="697" spans="1:7" hidden="1">
      <c r="A697" s="1">
        <v>13</v>
      </c>
      <c r="B697" s="1" t="s">
        <v>30</v>
      </c>
      <c r="C697" s="11">
        <v>0</v>
      </c>
      <c r="D697" s="11">
        <v>0</v>
      </c>
      <c r="E697" s="2">
        <f t="shared" si="22"/>
        <v>0</v>
      </c>
      <c r="F697" s="11">
        <v>0.21</v>
      </c>
      <c r="G697" s="3" t="e">
        <f t="shared" si="24"/>
        <v>#DIV/0!</v>
      </c>
    </row>
    <row r="698" spans="1:7" hidden="1">
      <c r="A698" s="1">
        <v>14</v>
      </c>
      <c r="B698" s="1" t="s">
        <v>30</v>
      </c>
      <c r="C698" s="11">
        <v>0</v>
      </c>
      <c r="D698" s="11">
        <v>0</v>
      </c>
      <c r="E698" s="2">
        <f t="shared" si="22"/>
        <v>0</v>
      </c>
      <c r="F698" s="11">
        <v>0.3</v>
      </c>
      <c r="G698" s="3" t="e">
        <f t="shared" si="24"/>
        <v>#DIV/0!</v>
      </c>
    </row>
    <row r="699" spans="1:7" hidden="1">
      <c r="A699" s="1">
        <v>15</v>
      </c>
      <c r="B699" s="1" t="s">
        <v>30</v>
      </c>
      <c r="C699" s="11">
        <v>0</v>
      </c>
      <c r="D699" s="11">
        <v>0</v>
      </c>
      <c r="E699" s="2">
        <f t="shared" si="22"/>
        <v>0</v>
      </c>
      <c r="F699" s="11">
        <v>0.315</v>
      </c>
      <c r="G699" s="3" t="e">
        <f t="shared" si="24"/>
        <v>#DIV/0!</v>
      </c>
    </row>
    <row r="700" spans="1:7" hidden="1">
      <c r="A700" s="1">
        <v>16</v>
      </c>
      <c r="B700" s="1" t="s">
        <v>30</v>
      </c>
      <c r="C700" s="11">
        <v>0</v>
      </c>
      <c r="D700" s="11">
        <v>0</v>
      </c>
      <c r="E700" s="2">
        <f t="shared" si="22"/>
        <v>0</v>
      </c>
      <c r="F700" s="11">
        <v>0.42</v>
      </c>
      <c r="G700" s="3" t="e">
        <f t="shared" si="24"/>
        <v>#DIV/0!</v>
      </c>
    </row>
    <row r="701" spans="1:7" hidden="1">
      <c r="A701" s="1">
        <v>17</v>
      </c>
      <c r="B701" s="1" t="s">
        <v>30</v>
      </c>
      <c r="C701" s="11">
        <v>0</v>
      </c>
      <c r="D701" s="11">
        <v>0</v>
      </c>
      <c r="E701" s="2">
        <f t="shared" si="22"/>
        <v>0</v>
      </c>
      <c r="F701" s="11">
        <v>0.37</v>
      </c>
      <c r="G701" s="3" t="e">
        <f t="shared" si="24"/>
        <v>#DIV/0!</v>
      </c>
    </row>
    <row r="702" spans="1:7" hidden="1">
      <c r="A702" s="1">
        <v>18</v>
      </c>
      <c r="B702" s="1" t="s">
        <v>30</v>
      </c>
      <c r="C702" s="11">
        <v>0</v>
      </c>
      <c r="D702" s="11">
        <v>0</v>
      </c>
      <c r="E702" s="2">
        <f t="shared" si="22"/>
        <v>0</v>
      </c>
      <c r="F702" s="11">
        <v>0.15</v>
      </c>
      <c r="G702" s="3" t="e">
        <f t="shared" si="24"/>
        <v>#DIV/0!</v>
      </c>
    </row>
    <row r="703" spans="1:7" hidden="1">
      <c r="A703" s="1">
        <v>19</v>
      </c>
      <c r="B703" s="1" t="s">
        <v>30</v>
      </c>
      <c r="C703" s="11">
        <v>0</v>
      </c>
      <c r="D703" s="11">
        <v>0</v>
      </c>
      <c r="E703" s="2">
        <f t="shared" si="22"/>
        <v>0</v>
      </c>
      <c r="F703" s="11">
        <v>4.7E-2</v>
      </c>
      <c r="G703" s="3" t="e">
        <f t="shared" si="24"/>
        <v>#DIV/0!</v>
      </c>
    </row>
    <row r="704" spans="1:7" hidden="1">
      <c r="A704" s="1">
        <v>20</v>
      </c>
      <c r="B704" s="1" t="s">
        <v>30</v>
      </c>
      <c r="C704" s="11">
        <v>0</v>
      </c>
      <c r="D704" s="11">
        <v>0</v>
      </c>
      <c r="E704" s="2">
        <f t="shared" si="22"/>
        <v>0</v>
      </c>
      <c r="F704" s="11">
        <v>7.9000000000000001E-2</v>
      </c>
      <c r="G704" s="3" t="e">
        <f t="shared" si="24"/>
        <v>#DIV/0!</v>
      </c>
    </row>
    <row r="705" spans="1:7" hidden="1">
      <c r="A705" s="1">
        <v>21</v>
      </c>
      <c r="B705" s="1" t="s">
        <v>30</v>
      </c>
      <c r="C705" s="11">
        <v>0</v>
      </c>
      <c r="D705" s="11">
        <v>0</v>
      </c>
      <c r="E705" s="2">
        <f t="shared" si="22"/>
        <v>0</v>
      </c>
      <c r="F705" s="11">
        <v>0.08</v>
      </c>
      <c r="G705" s="3" t="e">
        <f t="shared" si="24"/>
        <v>#DIV/0!</v>
      </c>
    </row>
    <row r="706" spans="1:7" hidden="1">
      <c r="A706" s="1">
        <v>22</v>
      </c>
      <c r="B706" s="1" t="s">
        <v>30</v>
      </c>
      <c r="C706" s="11">
        <v>0</v>
      </c>
      <c r="D706" s="11">
        <v>0</v>
      </c>
      <c r="E706" s="2">
        <f t="shared" si="22"/>
        <v>0</v>
      </c>
      <c r="F706" s="11">
        <v>0.1</v>
      </c>
      <c r="G706" s="3" t="e">
        <f t="shared" si="24"/>
        <v>#DIV/0!</v>
      </c>
    </row>
    <row r="707" spans="1:7" hidden="1">
      <c r="A707" s="1">
        <v>23</v>
      </c>
      <c r="B707" s="1" t="s">
        <v>30</v>
      </c>
      <c r="C707" s="11">
        <v>40</v>
      </c>
      <c r="D707" s="11">
        <v>39.58</v>
      </c>
      <c r="E707" s="2">
        <f t="shared" si="22"/>
        <v>0.42000000000000171</v>
      </c>
      <c r="F707" s="11">
        <v>0.1</v>
      </c>
      <c r="G707" s="3">
        <f t="shared" si="24"/>
        <v>1.3000000000000043E-2</v>
      </c>
    </row>
    <row r="708" spans="1:7" hidden="1">
      <c r="A708" s="1">
        <v>24</v>
      </c>
      <c r="B708" s="1" t="s">
        <v>30</v>
      </c>
      <c r="C708" s="11">
        <v>0</v>
      </c>
      <c r="D708" s="11">
        <v>0</v>
      </c>
      <c r="E708" s="2">
        <f t="shared" ref="E708:E771" si="25">C708-D708</f>
        <v>0</v>
      </c>
      <c r="F708" s="11">
        <v>0.1</v>
      </c>
      <c r="G708" s="3" t="e">
        <f t="shared" si="24"/>
        <v>#DIV/0!</v>
      </c>
    </row>
    <row r="709" spans="1:7" hidden="1">
      <c r="A709" s="1">
        <v>25</v>
      </c>
      <c r="B709" s="1" t="s">
        <v>30</v>
      </c>
      <c r="C709" s="11">
        <v>0</v>
      </c>
      <c r="D709" s="11">
        <v>0</v>
      </c>
      <c r="E709" s="2">
        <f t="shared" si="25"/>
        <v>0</v>
      </c>
      <c r="F709" s="11">
        <v>0.14099999999999999</v>
      </c>
      <c r="G709" s="3" t="e">
        <f t="shared" si="24"/>
        <v>#DIV/0!</v>
      </c>
    </row>
    <row r="710" spans="1:7" hidden="1">
      <c r="A710" s="1">
        <v>26</v>
      </c>
      <c r="B710" s="1" t="s">
        <v>30</v>
      </c>
      <c r="C710" s="11">
        <v>0</v>
      </c>
      <c r="D710" s="11">
        <v>0</v>
      </c>
      <c r="E710" s="2">
        <f t="shared" si="25"/>
        <v>0</v>
      </c>
      <c r="F710" s="11">
        <v>0.1</v>
      </c>
      <c r="G710" s="3" t="e">
        <f t="shared" si="24"/>
        <v>#DIV/0!</v>
      </c>
    </row>
    <row r="711" spans="1:7" hidden="1">
      <c r="A711" s="1">
        <v>27</v>
      </c>
      <c r="B711" s="1" t="s">
        <v>30</v>
      </c>
      <c r="C711" s="11">
        <v>0</v>
      </c>
      <c r="D711" s="11">
        <v>0</v>
      </c>
      <c r="E711" s="2">
        <f t="shared" si="25"/>
        <v>0</v>
      </c>
      <c r="F711" s="11">
        <v>0.1</v>
      </c>
      <c r="G711" s="3" t="e">
        <f t="shared" si="24"/>
        <v>#DIV/0!</v>
      </c>
    </row>
    <row r="712" spans="1:7" hidden="1">
      <c r="A712" s="1">
        <v>28</v>
      </c>
      <c r="B712" s="1" t="s">
        <v>30</v>
      </c>
      <c r="C712" s="11">
        <v>0</v>
      </c>
      <c r="D712" s="11">
        <v>0</v>
      </c>
      <c r="E712" s="2">
        <f t="shared" si="25"/>
        <v>0</v>
      </c>
      <c r="F712" s="11">
        <v>0.1</v>
      </c>
      <c r="G712" s="3" t="e">
        <f t="shared" si="24"/>
        <v>#DIV/0!</v>
      </c>
    </row>
    <row r="713" spans="1:7" hidden="1">
      <c r="A713" s="1">
        <v>29</v>
      </c>
      <c r="B713" s="1" t="s">
        <v>30</v>
      </c>
      <c r="C713" s="11">
        <v>0</v>
      </c>
      <c r="D713" s="11">
        <v>0</v>
      </c>
      <c r="E713" s="2">
        <f t="shared" si="25"/>
        <v>0</v>
      </c>
      <c r="F713" s="11">
        <v>0.08</v>
      </c>
      <c r="G713" s="3" t="e">
        <f t="shared" si="24"/>
        <v>#DIV/0!</v>
      </c>
    </row>
    <row r="714" spans="1:7" hidden="1">
      <c r="A714" s="1">
        <v>30</v>
      </c>
      <c r="B714" s="1" t="s">
        <v>30</v>
      </c>
      <c r="C714" s="11">
        <v>0</v>
      </c>
      <c r="D714" s="11">
        <v>0</v>
      </c>
      <c r="E714" s="2">
        <f t="shared" si="25"/>
        <v>0</v>
      </c>
      <c r="F714" s="11">
        <v>0.09</v>
      </c>
      <c r="G714" s="3" t="e">
        <f t="shared" si="24"/>
        <v>#DIV/0!</v>
      </c>
    </row>
    <row r="715" spans="1:7" hidden="1">
      <c r="A715" s="1">
        <v>31</v>
      </c>
      <c r="B715" s="1" t="s">
        <v>30</v>
      </c>
      <c r="C715" s="11">
        <v>25.09</v>
      </c>
      <c r="D715" s="11">
        <v>24.88</v>
      </c>
      <c r="E715" s="2">
        <f t="shared" si="25"/>
        <v>0.21000000000000085</v>
      </c>
      <c r="F715" s="11">
        <v>0.08</v>
      </c>
      <c r="G715" s="3">
        <f t="shared" si="24"/>
        <v>1.1558389796731801E-2</v>
      </c>
    </row>
    <row r="716" spans="1:7" hidden="1">
      <c r="A716" s="1">
        <v>1</v>
      </c>
      <c r="B716" s="1" t="s">
        <v>31</v>
      </c>
      <c r="C716" s="11">
        <v>0</v>
      </c>
      <c r="D716" s="11">
        <v>0</v>
      </c>
      <c r="E716" s="2">
        <f t="shared" si="25"/>
        <v>0</v>
      </c>
      <c r="F716" s="11">
        <v>0.122</v>
      </c>
      <c r="G716" s="3" t="e">
        <f t="shared" si="24"/>
        <v>#DIV/0!</v>
      </c>
    </row>
    <row r="717" spans="1:7" hidden="1">
      <c r="A717" s="1">
        <v>2</v>
      </c>
      <c r="B717" s="1" t="s">
        <v>31</v>
      </c>
      <c r="C717" s="11">
        <v>0</v>
      </c>
      <c r="D717" s="11">
        <v>0</v>
      </c>
      <c r="E717" s="2">
        <f t="shared" si="25"/>
        <v>0</v>
      </c>
      <c r="F717" s="11">
        <v>0.10199999999999999</v>
      </c>
      <c r="G717" s="3" t="e">
        <f t="shared" si="24"/>
        <v>#DIV/0!</v>
      </c>
    </row>
    <row r="718" spans="1:7" hidden="1">
      <c r="A718" s="1">
        <v>3</v>
      </c>
      <c r="B718" s="1" t="s">
        <v>31</v>
      </c>
      <c r="C718" s="11">
        <v>0</v>
      </c>
      <c r="D718" s="11">
        <v>0</v>
      </c>
      <c r="E718" s="2">
        <f t="shared" si="25"/>
        <v>0</v>
      </c>
      <c r="F718" s="11">
        <v>0.109</v>
      </c>
      <c r="G718" s="3" t="e">
        <f t="shared" si="24"/>
        <v>#DIV/0!</v>
      </c>
    </row>
    <row r="719" spans="1:7" hidden="1">
      <c r="A719" s="1">
        <v>4</v>
      </c>
      <c r="B719" s="1" t="s">
        <v>31</v>
      </c>
      <c r="C719" s="11">
        <v>20</v>
      </c>
      <c r="D719" s="11">
        <v>19.88</v>
      </c>
      <c r="E719" s="2">
        <f t="shared" si="25"/>
        <v>0.12000000000000099</v>
      </c>
      <c r="F719" s="11">
        <v>0.222</v>
      </c>
      <c r="G719" s="3">
        <f t="shared" si="24"/>
        <v>1.7100000000000049E-2</v>
      </c>
    </row>
    <row r="720" spans="1:7" hidden="1">
      <c r="A720" s="1">
        <v>5</v>
      </c>
      <c r="B720" s="1" t="s">
        <v>31</v>
      </c>
      <c r="C720" s="11">
        <v>0</v>
      </c>
      <c r="D720" s="11">
        <v>0</v>
      </c>
      <c r="E720" s="2">
        <f t="shared" si="25"/>
        <v>0</v>
      </c>
      <c r="F720" s="11">
        <v>9.9000000000000005E-2</v>
      </c>
      <c r="G720" s="3" t="e">
        <f t="shared" si="24"/>
        <v>#DIV/0!</v>
      </c>
    </row>
    <row r="721" spans="1:7" hidden="1">
      <c r="A721" s="1">
        <v>6</v>
      </c>
      <c r="B721" s="1" t="s">
        <v>31</v>
      </c>
      <c r="C721" s="11">
        <v>0</v>
      </c>
      <c r="D721" s="11">
        <v>0</v>
      </c>
      <c r="E721" s="2">
        <f t="shared" si="25"/>
        <v>0</v>
      </c>
      <c r="F721" s="11">
        <v>3.1E-2</v>
      </c>
      <c r="G721" s="3" t="e">
        <f t="shared" si="24"/>
        <v>#DIV/0!</v>
      </c>
    </row>
    <row r="722" spans="1:7" hidden="1">
      <c r="A722" s="1">
        <v>7</v>
      </c>
      <c r="B722" s="1" t="s">
        <v>31</v>
      </c>
      <c r="C722" s="11">
        <v>20</v>
      </c>
      <c r="D722" s="11">
        <v>19.260000000000002</v>
      </c>
      <c r="E722" s="2">
        <f t="shared" si="25"/>
        <v>0.73999999999999844</v>
      </c>
      <c r="F722" s="11">
        <v>8.7999999999999995E-2</v>
      </c>
      <c r="G722" s="3">
        <f t="shared" si="24"/>
        <v>4.1399999999999923E-2</v>
      </c>
    </row>
    <row r="723" spans="1:7" hidden="1">
      <c r="A723" s="1">
        <v>10</v>
      </c>
      <c r="B723" s="1" t="s">
        <v>31</v>
      </c>
      <c r="C723" s="11">
        <v>20</v>
      </c>
      <c r="D723" s="11">
        <v>19.940000000000001</v>
      </c>
      <c r="E723" s="2">
        <f t="shared" si="25"/>
        <v>5.9999999999998721E-2</v>
      </c>
      <c r="F723" s="11">
        <v>0.14399999999999999</v>
      </c>
      <c r="G723" s="3">
        <f t="shared" si="24"/>
        <v>1.0199999999999935E-2</v>
      </c>
    </row>
    <row r="724" spans="1:7" hidden="1">
      <c r="A724" s="1">
        <v>8</v>
      </c>
      <c r="B724" s="1" t="s">
        <v>31</v>
      </c>
      <c r="C724" s="11">
        <v>0</v>
      </c>
      <c r="D724" s="11">
        <v>0</v>
      </c>
      <c r="E724" s="2">
        <f t="shared" si="25"/>
        <v>0</v>
      </c>
      <c r="F724" s="11">
        <v>0.13400000000000001</v>
      </c>
      <c r="G724" s="3" t="e">
        <f t="shared" si="24"/>
        <v>#DIV/0!</v>
      </c>
    </row>
    <row r="725" spans="1:7" hidden="1">
      <c r="A725" s="1">
        <v>9</v>
      </c>
      <c r="B725" s="1" t="s">
        <v>31</v>
      </c>
      <c r="C725" s="11">
        <v>0</v>
      </c>
      <c r="D725" s="11">
        <v>0</v>
      </c>
      <c r="E725" s="2">
        <f t="shared" si="25"/>
        <v>0</v>
      </c>
      <c r="F725" s="11">
        <v>0.156</v>
      </c>
      <c r="G725" s="3" t="e">
        <f t="shared" si="24"/>
        <v>#DIV/0!</v>
      </c>
    </row>
    <row r="726" spans="1:7" hidden="1">
      <c r="A726" s="1">
        <v>11</v>
      </c>
      <c r="B726" s="1" t="s">
        <v>31</v>
      </c>
      <c r="C726" s="11">
        <v>0</v>
      </c>
      <c r="D726" s="11">
        <v>0</v>
      </c>
      <c r="E726" s="2">
        <f t="shared" si="25"/>
        <v>0</v>
      </c>
      <c r="F726" s="11">
        <v>0.24399999999999999</v>
      </c>
      <c r="G726" s="3" t="e">
        <f t="shared" si="24"/>
        <v>#DIV/0!</v>
      </c>
    </row>
    <row r="727" spans="1:7" hidden="1">
      <c r="A727" s="1">
        <v>12</v>
      </c>
      <c r="B727" s="1" t="s">
        <v>31</v>
      </c>
      <c r="C727" s="11">
        <v>0</v>
      </c>
      <c r="D727" s="11">
        <v>0</v>
      </c>
      <c r="E727" s="2">
        <f t="shared" si="25"/>
        <v>0</v>
      </c>
      <c r="F727" s="11">
        <v>0.29899999999999999</v>
      </c>
      <c r="G727" s="3" t="e">
        <f t="shared" si="24"/>
        <v>#DIV/0!</v>
      </c>
    </row>
    <row r="728" spans="1:7" hidden="1">
      <c r="A728" s="1">
        <v>13</v>
      </c>
      <c r="B728" s="1" t="s">
        <v>31</v>
      </c>
      <c r="C728" s="11">
        <v>0</v>
      </c>
      <c r="D728" s="11">
        <v>0</v>
      </c>
      <c r="E728" s="2">
        <f t="shared" si="25"/>
        <v>0</v>
      </c>
      <c r="F728" s="11">
        <v>0.20899999999999999</v>
      </c>
      <c r="G728" s="3" t="e">
        <f t="shared" si="24"/>
        <v>#DIV/0!</v>
      </c>
    </row>
    <row r="729" spans="1:7" hidden="1">
      <c r="A729" s="1">
        <v>14</v>
      </c>
      <c r="B729" s="1" t="s">
        <v>31</v>
      </c>
      <c r="C729" s="11">
        <v>0</v>
      </c>
      <c r="D729" s="11">
        <v>0</v>
      </c>
      <c r="E729" s="2">
        <f t="shared" si="25"/>
        <v>0</v>
      </c>
      <c r="F729" s="11">
        <v>0.11</v>
      </c>
      <c r="G729" s="3" t="e">
        <f t="shared" si="24"/>
        <v>#DIV/0!</v>
      </c>
    </row>
    <row r="730" spans="1:7" hidden="1">
      <c r="A730" s="1">
        <v>15</v>
      </c>
      <c r="B730" s="1" t="s">
        <v>31</v>
      </c>
      <c r="C730" s="11">
        <v>20</v>
      </c>
      <c r="D730" s="11">
        <v>19.920000000000002</v>
      </c>
      <c r="E730" s="2">
        <f t="shared" si="25"/>
        <v>7.9999999999998295E-2</v>
      </c>
      <c r="F730" s="11">
        <v>0.122</v>
      </c>
      <c r="G730" s="3">
        <f t="shared" si="24"/>
        <v>1.0099999999999915E-2</v>
      </c>
    </row>
    <row r="731" spans="1:7" hidden="1">
      <c r="A731" s="1">
        <v>16</v>
      </c>
      <c r="B731" s="1" t="s">
        <v>31</v>
      </c>
      <c r="C731" s="11">
        <v>0</v>
      </c>
      <c r="D731" s="11">
        <v>0</v>
      </c>
      <c r="E731" s="2">
        <f t="shared" si="25"/>
        <v>0</v>
      </c>
      <c r="F731" s="11">
        <v>0.19900000000000001</v>
      </c>
      <c r="G731" s="3" t="e">
        <f t="shared" si="24"/>
        <v>#DIV/0!</v>
      </c>
    </row>
    <row r="732" spans="1:7" hidden="1">
      <c r="A732" s="1">
        <v>17</v>
      </c>
      <c r="B732" s="1" t="s">
        <v>31</v>
      </c>
      <c r="C732" s="11">
        <v>0</v>
      </c>
      <c r="D732" s="11">
        <v>0</v>
      </c>
      <c r="E732" s="2">
        <f t="shared" si="25"/>
        <v>0</v>
      </c>
      <c r="F732" s="11">
        <v>0.19900000000000001</v>
      </c>
      <c r="G732" s="3" t="e">
        <f t="shared" si="24"/>
        <v>#DIV/0!</v>
      </c>
    </row>
    <row r="733" spans="1:7" hidden="1">
      <c r="A733" s="1">
        <v>18</v>
      </c>
      <c r="B733" s="1" t="s">
        <v>31</v>
      </c>
      <c r="C733" s="11">
        <v>15</v>
      </c>
      <c r="D733" s="11">
        <v>15</v>
      </c>
      <c r="E733" s="2">
        <f t="shared" si="25"/>
        <v>0</v>
      </c>
      <c r="F733" s="11">
        <v>0.223</v>
      </c>
      <c r="G733" s="3">
        <f t="shared" si="24"/>
        <v>1.4866666666666667E-2</v>
      </c>
    </row>
    <row r="734" spans="1:7" hidden="1">
      <c r="A734" s="1">
        <v>19</v>
      </c>
      <c r="B734" s="1" t="s">
        <v>31</v>
      </c>
      <c r="C734" s="11">
        <v>10</v>
      </c>
      <c r="D734" s="11">
        <v>10</v>
      </c>
      <c r="E734" s="2">
        <f t="shared" si="25"/>
        <v>0</v>
      </c>
      <c r="F734" s="11">
        <v>0.21299999999999999</v>
      </c>
      <c r="G734" s="3">
        <f t="shared" si="24"/>
        <v>2.1299999999999999E-2</v>
      </c>
    </row>
    <row r="735" spans="1:7" hidden="1">
      <c r="A735" s="1">
        <v>20</v>
      </c>
      <c r="B735" s="1" t="s">
        <v>31</v>
      </c>
      <c r="C735" s="11">
        <v>0</v>
      </c>
      <c r="D735" s="11">
        <v>0</v>
      </c>
      <c r="E735" s="2">
        <f t="shared" si="25"/>
        <v>0</v>
      </c>
      <c r="F735" s="11">
        <v>0.33300000000000002</v>
      </c>
      <c r="G735" s="3" t="e">
        <f t="shared" si="24"/>
        <v>#DIV/0!</v>
      </c>
    </row>
    <row r="736" spans="1:7" hidden="1">
      <c r="A736" s="1">
        <v>21</v>
      </c>
      <c r="B736" s="1" t="s">
        <v>31</v>
      </c>
      <c r="C736" s="11">
        <v>0</v>
      </c>
      <c r="D736" s="11">
        <v>0</v>
      </c>
      <c r="E736" s="2">
        <f t="shared" si="25"/>
        <v>0</v>
      </c>
      <c r="F736" s="11">
        <v>0.187</v>
      </c>
      <c r="G736" s="3" t="e">
        <f t="shared" si="24"/>
        <v>#DIV/0!</v>
      </c>
    </row>
    <row r="737" spans="1:7" hidden="1">
      <c r="A737" s="1">
        <v>22</v>
      </c>
      <c r="B737" s="1" t="s">
        <v>31</v>
      </c>
      <c r="C737" s="11">
        <v>0</v>
      </c>
      <c r="D737" s="11">
        <v>0</v>
      </c>
      <c r="E737" s="2">
        <f t="shared" si="25"/>
        <v>0</v>
      </c>
      <c r="F737" s="11">
        <v>0.129</v>
      </c>
      <c r="G737" s="3" t="e">
        <f t="shared" si="24"/>
        <v>#DIV/0!</v>
      </c>
    </row>
    <row r="738" spans="1:7" hidden="1">
      <c r="A738" s="1">
        <v>23</v>
      </c>
      <c r="B738" s="1" t="s">
        <v>31</v>
      </c>
      <c r="C738" s="11">
        <v>0</v>
      </c>
      <c r="D738" s="11">
        <v>0</v>
      </c>
      <c r="E738" s="2">
        <f t="shared" si="25"/>
        <v>0</v>
      </c>
      <c r="F738" s="11">
        <v>7.6999999999999999E-2</v>
      </c>
      <c r="G738" s="3" t="e">
        <f t="shared" si="24"/>
        <v>#DIV/0!</v>
      </c>
    </row>
    <row r="739" spans="1:7" hidden="1">
      <c r="A739" s="1">
        <v>24</v>
      </c>
      <c r="B739" s="1" t="s">
        <v>31</v>
      </c>
      <c r="C739" s="11">
        <v>0</v>
      </c>
      <c r="D739" s="11">
        <v>0</v>
      </c>
      <c r="E739" s="2">
        <f t="shared" si="25"/>
        <v>0</v>
      </c>
      <c r="F739" s="11">
        <v>7.9000000000000001E-2</v>
      </c>
      <c r="G739" s="3" t="e">
        <f t="shared" si="24"/>
        <v>#DIV/0!</v>
      </c>
    </row>
    <row r="740" spans="1:7" hidden="1">
      <c r="A740" s="1">
        <v>25</v>
      </c>
      <c r="B740" s="1" t="s">
        <v>31</v>
      </c>
      <c r="C740" s="11">
        <v>0</v>
      </c>
      <c r="D740" s="11">
        <v>0</v>
      </c>
      <c r="E740" s="2">
        <f t="shared" si="25"/>
        <v>0</v>
      </c>
      <c r="F740" s="11">
        <v>0.17199999999999999</v>
      </c>
      <c r="G740" s="3" t="e">
        <f t="shared" si="24"/>
        <v>#DIV/0!</v>
      </c>
    </row>
    <row r="741" spans="1:7" hidden="1">
      <c r="A741" s="1">
        <v>26</v>
      </c>
      <c r="B741" s="1" t="s">
        <v>31</v>
      </c>
      <c r="C741" s="11">
        <v>6</v>
      </c>
      <c r="D741" s="11">
        <v>6</v>
      </c>
      <c r="E741" s="2">
        <f t="shared" si="25"/>
        <v>0</v>
      </c>
      <c r="F741" s="11">
        <v>0.17799999999999999</v>
      </c>
      <c r="G741" s="3">
        <f t="shared" ref="G741:G804" si="26">(E741+F741)/C741</f>
        <v>2.9666666666666664E-2</v>
      </c>
    </row>
    <row r="742" spans="1:7" hidden="1">
      <c r="A742" s="1">
        <v>27</v>
      </c>
      <c r="B742" s="1" t="s">
        <v>31</v>
      </c>
      <c r="C742" s="11">
        <v>0</v>
      </c>
      <c r="D742" s="11">
        <v>0</v>
      </c>
      <c r="E742" s="2">
        <f t="shared" si="25"/>
        <v>0</v>
      </c>
      <c r="F742" s="11">
        <v>0.29899999999999999</v>
      </c>
      <c r="G742" s="3" t="e">
        <f t="shared" si="26"/>
        <v>#DIV/0!</v>
      </c>
    </row>
    <row r="743" spans="1:7" hidden="1">
      <c r="A743" s="1">
        <v>28</v>
      </c>
      <c r="B743" s="1" t="s">
        <v>31</v>
      </c>
      <c r="C743" s="11">
        <v>0</v>
      </c>
      <c r="D743" s="11">
        <v>0</v>
      </c>
      <c r="E743" s="2">
        <f t="shared" si="25"/>
        <v>0</v>
      </c>
      <c r="F743" s="11">
        <v>0.188</v>
      </c>
      <c r="G743" s="3" t="e">
        <f t="shared" si="26"/>
        <v>#DIV/0!</v>
      </c>
    </row>
    <row r="744" spans="1:7" hidden="1">
      <c r="A744" s="1">
        <v>29</v>
      </c>
      <c r="B744" s="1" t="s">
        <v>31</v>
      </c>
      <c r="C744" s="11">
        <v>0</v>
      </c>
      <c r="D744" s="11">
        <v>0</v>
      </c>
      <c r="E744" s="2">
        <f t="shared" si="25"/>
        <v>0</v>
      </c>
      <c r="F744" s="11">
        <v>0.129</v>
      </c>
      <c r="G744" s="3" t="e">
        <f t="shared" si="26"/>
        <v>#DIV/0!</v>
      </c>
    </row>
    <row r="745" spans="1:7" hidden="1">
      <c r="A745" s="1">
        <v>30</v>
      </c>
      <c r="B745" s="1" t="s">
        <v>31</v>
      </c>
      <c r="C745" s="11">
        <v>0</v>
      </c>
      <c r="D745" s="11">
        <v>0</v>
      </c>
      <c r="E745" s="2">
        <f t="shared" si="25"/>
        <v>0</v>
      </c>
      <c r="F745" s="11">
        <v>0.17799999999999999</v>
      </c>
      <c r="G745" s="3" t="e">
        <f t="shared" si="26"/>
        <v>#DIV/0!</v>
      </c>
    </row>
    <row r="746" spans="1:7" hidden="1">
      <c r="A746" s="1">
        <v>31</v>
      </c>
      <c r="B746" s="1" t="s">
        <v>31</v>
      </c>
      <c r="C746" s="11">
        <v>0</v>
      </c>
      <c r="D746" s="11">
        <v>0</v>
      </c>
      <c r="E746" s="2">
        <f t="shared" si="25"/>
        <v>0</v>
      </c>
      <c r="F746" s="11">
        <v>0.19900000000000001</v>
      </c>
      <c r="G746" s="3" t="e">
        <f t="shared" si="26"/>
        <v>#DIV/0!</v>
      </c>
    </row>
    <row r="747" spans="1:7" hidden="1">
      <c r="A747" s="1">
        <v>1</v>
      </c>
      <c r="B747" s="1" t="s">
        <v>32</v>
      </c>
      <c r="C747" s="11">
        <v>0</v>
      </c>
      <c r="D747" s="11">
        <v>0</v>
      </c>
      <c r="E747" s="2">
        <f t="shared" si="25"/>
        <v>0</v>
      </c>
      <c r="F747" s="11">
        <v>7.0000000000000007E-2</v>
      </c>
      <c r="G747" s="3" t="e">
        <f t="shared" si="26"/>
        <v>#DIV/0!</v>
      </c>
    </row>
    <row r="748" spans="1:7" hidden="1">
      <c r="A748" s="1">
        <v>2</v>
      </c>
      <c r="B748" s="1" t="s">
        <v>32</v>
      </c>
      <c r="C748" s="11">
        <v>0</v>
      </c>
      <c r="D748" s="11">
        <v>0</v>
      </c>
      <c r="E748" s="2">
        <f t="shared" si="25"/>
        <v>0</v>
      </c>
      <c r="F748" s="11">
        <v>8.7999999999999995E-2</v>
      </c>
      <c r="G748" s="3" t="e">
        <f t="shared" si="26"/>
        <v>#DIV/0!</v>
      </c>
    </row>
    <row r="749" spans="1:7" hidden="1">
      <c r="A749" s="1">
        <v>3</v>
      </c>
      <c r="B749" s="1" t="s">
        <v>32</v>
      </c>
      <c r="C749" s="11">
        <v>0</v>
      </c>
      <c r="D749" s="11">
        <v>0</v>
      </c>
      <c r="E749" s="2">
        <f t="shared" si="25"/>
        <v>0</v>
      </c>
      <c r="F749" s="11">
        <v>0.11799999999999999</v>
      </c>
      <c r="G749" s="3" t="e">
        <f t="shared" si="26"/>
        <v>#DIV/0!</v>
      </c>
    </row>
    <row r="750" spans="1:7" hidden="1">
      <c r="A750" s="1">
        <v>4</v>
      </c>
      <c r="B750" s="1" t="s">
        <v>32</v>
      </c>
      <c r="C750" s="11">
        <v>0</v>
      </c>
      <c r="D750" s="11">
        <v>0</v>
      </c>
      <c r="E750" s="2">
        <f t="shared" si="25"/>
        <v>0</v>
      </c>
      <c r="F750" s="11">
        <v>0.1</v>
      </c>
      <c r="G750" s="3" t="e">
        <f t="shared" si="26"/>
        <v>#DIV/0!</v>
      </c>
    </row>
    <row r="751" spans="1:7" hidden="1">
      <c r="A751" s="1">
        <v>5</v>
      </c>
      <c r="B751" s="1" t="s">
        <v>32</v>
      </c>
      <c r="C751" s="11">
        <v>0</v>
      </c>
      <c r="D751" s="11">
        <v>0</v>
      </c>
      <c r="E751" s="2">
        <f t="shared" si="25"/>
        <v>0</v>
      </c>
      <c r="F751" s="11">
        <v>8.2000000000000003E-2</v>
      </c>
      <c r="G751" s="3" t="e">
        <f t="shared" si="26"/>
        <v>#DIV/0!</v>
      </c>
    </row>
    <row r="752" spans="1:7" hidden="1">
      <c r="A752" s="1">
        <v>6</v>
      </c>
      <c r="B752" s="1" t="s">
        <v>32</v>
      </c>
      <c r="C752" s="11">
        <v>0</v>
      </c>
      <c r="D752" s="11">
        <v>0</v>
      </c>
      <c r="E752" s="2">
        <f t="shared" si="25"/>
        <v>0</v>
      </c>
      <c r="F752" s="11">
        <v>7.0000000000000007E-2</v>
      </c>
      <c r="G752" s="3" t="e">
        <f t="shared" si="26"/>
        <v>#DIV/0!</v>
      </c>
    </row>
    <row r="753" spans="1:7" hidden="1">
      <c r="A753" s="1">
        <v>7</v>
      </c>
      <c r="B753" s="1" t="s">
        <v>32</v>
      </c>
      <c r="C753" s="11">
        <v>0</v>
      </c>
      <c r="D753" s="11">
        <v>0</v>
      </c>
      <c r="E753" s="2">
        <f t="shared" si="25"/>
        <v>0</v>
      </c>
      <c r="F753" s="11">
        <v>0.13200000000000001</v>
      </c>
      <c r="G753" s="3" t="e">
        <f t="shared" si="26"/>
        <v>#DIV/0!</v>
      </c>
    </row>
    <row r="754" spans="1:7" hidden="1">
      <c r="A754" s="1">
        <v>10</v>
      </c>
      <c r="B754" s="1" t="s">
        <v>32</v>
      </c>
      <c r="C754" s="11">
        <v>20</v>
      </c>
      <c r="D754" s="11">
        <v>19.88</v>
      </c>
      <c r="E754" s="2">
        <f t="shared" si="25"/>
        <v>0.12000000000000099</v>
      </c>
      <c r="F754" s="11">
        <v>0.13800000000000001</v>
      </c>
      <c r="G754" s="3">
        <f t="shared" si="26"/>
        <v>1.290000000000005E-2</v>
      </c>
    </row>
    <row r="755" spans="1:7" hidden="1">
      <c r="A755" s="1">
        <v>8</v>
      </c>
      <c r="B755" s="1" t="s">
        <v>32</v>
      </c>
      <c r="C755" s="11">
        <v>0</v>
      </c>
      <c r="D755" s="11">
        <v>0</v>
      </c>
      <c r="E755" s="2">
        <f t="shared" si="25"/>
        <v>0</v>
      </c>
      <c r="F755" s="11">
        <v>0.16800000000000001</v>
      </c>
      <c r="G755" s="3" t="e">
        <f t="shared" si="26"/>
        <v>#DIV/0!</v>
      </c>
    </row>
    <row r="756" spans="1:7" hidden="1">
      <c r="A756" s="1">
        <v>9</v>
      </c>
      <c r="B756" s="1" t="s">
        <v>32</v>
      </c>
      <c r="C756" s="11">
        <v>0</v>
      </c>
      <c r="D756" s="11">
        <v>0</v>
      </c>
      <c r="E756" s="2">
        <f t="shared" si="25"/>
        <v>0</v>
      </c>
      <c r="F756" s="11">
        <v>0.14799999999999999</v>
      </c>
      <c r="G756" s="3" t="e">
        <f t="shared" si="26"/>
        <v>#DIV/0!</v>
      </c>
    </row>
    <row r="757" spans="1:7" hidden="1">
      <c r="A757" s="1">
        <v>11</v>
      </c>
      <c r="B757" s="1" t="s">
        <v>32</v>
      </c>
      <c r="C757" s="11">
        <v>0</v>
      </c>
      <c r="D757" s="11">
        <v>0</v>
      </c>
      <c r="E757" s="2">
        <f t="shared" si="25"/>
        <v>0</v>
      </c>
      <c r="F757" s="11">
        <v>0.19800000000000001</v>
      </c>
      <c r="G757" s="3" t="e">
        <f t="shared" si="26"/>
        <v>#DIV/0!</v>
      </c>
    </row>
    <row r="758" spans="1:7" hidden="1">
      <c r="A758" s="1">
        <v>12</v>
      </c>
      <c r="B758" s="1" t="s">
        <v>32</v>
      </c>
      <c r="C758" s="11">
        <v>0</v>
      </c>
      <c r="D758" s="11">
        <v>0</v>
      </c>
      <c r="E758" s="2">
        <f t="shared" si="25"/>
        <v>0</v>
      </c>
      <c r="F758" s="11">
        <v>0.12600000000000122</v>
      </c>
      <c r="G758" s="3" t="e">
        <f t="shared" si="26"/>
        <v>#DIV/0!</v>
      </c>
    </row>
    <row r="759" spans="1:7" hidden="1">
      <c r="A759" s="1">
        <v>13</v>
      </c>
      <c r="B759" s="1" t="s">
        <v>32</v>
      </c>
      <c r="C759" s="11">
        <v>0</v>
      </c>
      <c r="D759" s="11">
        <v>0</v>
      </c>
      <c r="E759" s="2">
        <f t="shared" si="25"/>
        <v>0</v>
      </c>
      <c r="F759" s="11">
        <v>0.182</v>
      </c>
      <c r="G759" s="3" t="e">
        <f t="shared" si="26"/>
        <v>#DIV/0!</v>
      </c>
    </row>
    <row r="760" spans="1:7" hidden="1">
      <c r="A760" s="1">
        <v>14</v>
      </c>
      <c r="B760" s="1" t="s">
        <v>32</v>
      </c>
      <c r="C760" s="11">
        <v>0</v>
      </c>
      <c r="D760" s="11">
        <v>0</v>
      </c>
      <c r="E760" s="2">
        <f t="shared" si="25"/>
        <v>0</v>
      </c>
      <c r="F760" s="11">
        <v>0.11</v>
      </c>
      <c r="G760" s="3" t="e">
        <f t="shared" si="26"/>
        <v>#DIV/0!</v>
      </c>
    </row>
    <row r="761" spans="1:7" hidden="1">
      <c r="A761" s="1">
        <v>15</v>
      </c>
      <c r="B761" s="1" t="s">
        <v>32</v>
      </c>
      <c r="C761" s="11">
        <v>0</v>
      </c>
      <c r="D761" s="11">
        <v>0</v>
      </c>
      <c r="E761" s="2">
        <f t="shared" si="25"/>
        <v>0</v>
      </c>
      <c r="F761" s="11">
        <v>0.122</v>
      </c>
      <c r="G761" s="3" t="e">
        <f>(E761+F761)/C761</f>
        <v>#DIV/0!</v>
      </c>
    </row>
    <row r="762" spans="1:7" hidden="1">
      <c r="A762" s="1">
        <v>16</v>
      </c>
      <c r="B762" s="1" t="s">
        <v>32</v>
      </c>
      <c r="C762" s="11">
        <v>0</v>
      </c>
      <c r="D762" s="11">
        <v>0</v>
      </c>
      <c r="E762" s="2">
        <f t="shared" si="25"/>
        <v>0</v>
      </c>
      <c r="F762" s="11">
        <v>0.112</v>
      </c>
      <c r="G762" s="3" t="e">
        <f t="shared" si="26"/>
        <v>#DIV/0!</v>
      </c>
    </row>
    <row r="763" spans="1:7" hidden="1">
      <c r="A763" s="1">
        <v>17</v>
      </c>
      <c r="B763" s="1" t="s">
        <v>32</v>
      </c>
      <c r="C763" s="11">
        <v>0</v>
      </c>
      <c r="D763" s="11">
        <v>0</v>
      </c>
      <c r="E763" s="2">
        <f t="shared" si="25"/>
        <v>0</v>
      </c>
      <c r="F763" s="11">
        <v>0.122</v>
      </c>
      <c r="G763" s="3" t="e">
        <f t="shared" si="26"/>
        <v>#DIV/0!</v>
      </c>
    </row>
    <row r="764" spans="1:7" hidden="1">
      <c r="A764" s="1">
        <v>18</v>
      </c>
      <c r="B764" s="1" t="s">
        <v>32</v>
      </c>
      <c r="C764" s="11">
        <v>0</v>
      </c>
      <c r="D764" s="11">
        <v>0</v>
      </c>
      <c r="E764" s="2">
        <f t="shared" si="25"/>
        <v>0</v>
      </c>
      <c r="F764" s="11">
        <v>0.11799999999999999</v>
      </c>
      <c r="G764" s="3" t="e">
        <f t="shared" si="26"/>
        <v>#DIV/0!</v>
      </c>
    </row>
    <row r="765" spans="1:7" hidden="1">
      <c r="A765" s="1">
        <v>19</v>
      </c>
      <c r="B765" s="1" t="s">
        <v>32</v>
      </c>
      <c r="C765" s="11">
        <v>0</v>
      </c>
      <c r="D765" s="11">
        <v>0</v>
      </c>
      <c r="E765" s="2">
        <f t="shared" si="25"/>
        <v>0</v>
      </c>
      <c r="F765" s="11">
        <v>0.14799999999999999</v>
      </c>
      <c r="G765" s="3" t="e">
        <f t="shared" si="26"/>
        <v>#DIV/0!</v>
      </c>
    </row>
    <row r="766" spans="1:7" hidden="1">
      <c r="A766" s="1">
        <v>20</v>
      </c>
      <c r="B766" s="1" t="s">
        <v>32</v>
      </c>
      <c r="C766" s="11">
        <v>0</v>
      </c>
      <c r="D766" s="11">
        <v>0</v>
      </c>
      <c r="E766" s="2">
        <f t="shared" si="25"/>
        <v>0</v>
      </c>
      <c r="F766" s="11">
        <v>0.17</v>
      </c>
      <c r="G766" s="3" t="e">
        <f t="shared" si="26"/>
        <v>#DIV/0!</v>
      </c>
    </row>
    <row r="767" spans="1:7" hidden="1">
      <c r="A767" s="1">
        <v>21</v>
      </c>
      <c r="B767" s="1" t="s">
        <v>32</v>
      </c>
      <c r="C767" s="11">
        <v>0</v>
      </c>
      <c r="D767" s="11">
        <v>0</v>
      </c>
      <c r="E767" s="2">
        <f t="shared" si="25"/>
        <v>0</v>
      </c>
      <c r="F767" s="11">
        <v>0.122</v>
      </c>
      <c r="G767" s="3" t="e">
        <f t="shared" si="26"/>
        <v>#DIV/0!</v>
      </c>
    </row>
    <row r="768" spans="1:7" hidden="1">
      <c r="A768" s="1">
        <v>22</v>
      </c>
      <c r="B768" s="1" t="s">
        <v>32</v>
      </c>
      <c r="C768" s="11">
        <v>0</v>
      </c>
      <c r="D768" s="11">
        <v>0</v>
      </c>
      <c r="E768" s="2">
        <f t="shared" si="25"/>
        <v>0</v>
      </c>
      <c r="F768" s="11">
        <v>0.14799999999999999</v>
      </c>
      <c r="G768" s="3" t="e">
        <f t="shared" si="26"/>
        <v>#DIV/0!</v>
      </c>
    </row>
    <row r="769" spans="1:7" hidden="1">
      <c r="A769" s="1">
        <v>23</v>
      </c>
      <c r="B769" s="1" t="s">
        <v>32</v>
      </c>
      <c r="C769" s="11">
        <v>0</v>
      </c>
      <c r="D769" s="11">
        <v>0</v>
      </c>
      <c r="E769" s="2">
        <f t="shared" si="25"/>
        <v>0</v>
      </c>
      <c r="F769" s="11">
        <v>0.17199999999999999</v>
      </c>
      <c r="G769" s="3" t="e">
        <f t="shared" si="26"/>
        <v>#DIV/0!</v>
      </c>
    </row>
    <row r="770" spans="1:7" hidden="1">
      <c r="A770" s="1">
        <v>24</v>
      </c>
      <c r="B770" s="1" t="s">
        <v>32</v>
      </c>
      <c r="C770" s="11">
        <v>0</v>
      </c>
      <c r="D770" s="11">
        <v>0</v>
      </c>
      <c r="E770" s="2">
        <f t="shared" si="25"/>
        <v>0</v>
      </c>
      <c r="F770" s="11">
        <v>0.19</v>
      </c>
      <c r="G770" s="3" t="e">
        <f t="shared" si="26"/>
        <v>#DIV/0!</v>
      </c>
    </row>
    <row r="771" spans="1:7" hidden="1">
      <c r="A771" s="1">
        <v>25</v>
      </c>
      <c r="B771" s="1" t="s">
        <v>32</v>
      </c>
      <c r="C771" s="11">
        <v>0</v>
      </c>
      <c r="D771" s="11">
        <v>0</v>
      </c>
      <c r="E771" s="2">
        <f t="shared" si="25"/>
        <v>0</v>
      </c>
      <c r="F771" s="11">
        <v>0.14199999999999999</v>
      </c>
      <c r="G771" s="3" t="e">
        <f t="shared" si="26"/>
        <v>#DIV/0!</v>
      </c>
    </row>
    <row r="772" spans="1:7" hidden="1">
      <c r="A772" s="1">
        <v>26</v>
      </c>
      <c r="B772" s="1" t="s">
        <v>32</v>
      </c>
      <c r="C772" s="11">
        <v>20</v>
      </c>
      <c r="D772" s="11">
        <v>19.86</v>
      </c>
      <c r="E772" s="2">
        <f t="shared" ref="E772:E835" si="27">C772-D772</f>
        <v>0.14000000000000057</v>
      </c>
      <c r="F772" s="11">
        <v>0.122</v>
      </c>
      <c r="G772" s="3">
        <f t="shared" si="26"/>
        <v>1.3100000000000028E-2</v>
      </c>
    </row>
    <row r="773" spans="1:7" hidden="1">
      <c r="A773" s="1">
        <v>27</v>
      </c>
      <c r="B773" s="1" t="s">
        <v>32</v>
      </c>
      <c r="C773" s="11">
        <v>0</v>
      </c>
      <c r="D773" s="11">
        <v>0</v>
      </c>
      <c r="E773" s="2">
        <f t="shared" si="27"/>
        <v>0</v>
      </c>
      <c r="F773" s="11">
        <v>0.18</v>
      </c>
      <c r="G773" s="3" t="e">
        <f t="shared" si="26"/>
        <v>#DIV/0!</v>
      </c>
    </row>
    <row r="774" spans="1:7" hidden="1">
      <c r="A774" s="1">
        <v>28</v>
      </c>
      <c r="B774" s="1" t="s">
        <v>32</v>
      </c>
      <c r="C774" s="11">
        <v>0</v>
      </c>
      <c r="D774" s="11">
        <v>0</v>
      </c>
      <c r="E774" s="2">
        <f t="shared" si="27"/>
        <v>0</v>
      </c>
      <c r="F774" s="11">
        <v>0.1</v>
      </c>
      <c r="G774" s="3" t="e">
        <f t="shared" si="26"/>
        <v>#DIV/0!</v>
      </c>
    </row>
    <row r="775" spans="1:7" hidden="1">
      <c r="A775" s="1">
        <v>29</v>
      </c>
      <c r="B775" s="1" t="s">
        <v>32</v>
      </c>
      <c r="C775" s="11">
        <v>0</v>
      </c>
      <c r="D775" s="11">
        <v>0</v>
      </c>
      <c r="E775" s="2">
        <f t="shared" si="27"/>
        <v>0</v>
      </c>
      <c r="F775" s="11">
        <v>0.108</v>
      </c>
      <c r="G775" s="3" t="e">
        <f t="shared" si="26"/>
        <v>#DIV/0!</v>
      </c>
    </row>
    <row r="776" spans="1:7" hidden="1">
      <c r="A776" s="1">
        <v>30</v>
      </c>
      <c r="B776" s="1" t="s">
        <v>32</v>
      </c>
      <c r="C776" s="11">
        <v>0</v>
      </c>
      <c r="D776" s="11">
        <v>0</v>
      </c>
      <c r="E776" s="2">
        <f t="shared" si="27"/>
        <v>0</v>
      </c>
      <c r="F776" s="11">
        <v>0.18</v>
      </c>
      <c r="G776" s="3" t="e">
        <f t="shared" si="26"/>
        <v>#DIV/0!</v>
      </c>
    </row>
    <row r="777" spans="1:7" hidden="1">
      <c r="A777" s="1">
        <v>31</v>
      </c>
      <c r="B777" s="1" t="s">
        <v>32</v>
      </c>
      <c r="C777" s="11">
        <v>0</v>
      </c>
      <c r="D777" s="11">
        <v>0</v>
      </c>
      <c r="E777" s="2">
        <f t="shared" si="27"/>
        <v>0</v>
      </c>
      <c r="F777" s="11">
        <v>0.112</v>
      </c>
      <c r="G777" s="3" t="e">
        <f t="shared" si="26"/>
        <v>#DIV/0!</v>
      </c>
    </row>
    <row r="778" spans="1:7" hidden="1">
      <c r="A778" s="1">
        <v>1</v>
      </c>
      <c r="B778" s="1" t="s">
        <v>33</v>
      </c>
      <c r="C778" s="11">
        <v>0</v>
      </c>
      <c r="D778" s="11">
        <v>0</v>
      </c>
      <c r="E778" s="2">
        <f t="shared" si="27"/>
        <v>0</v>
      </c>
      <c r="F778" s="11">
        <v>0.05</v>
      </c>
      <c r="G778" s="3" t="e">
        <f t="shared" si="26"/>
        <v>#DIV/0!</v>
      </c>
    </row>
    <row r="779" spans="1:7" hidden="1">
      <c r="A779" s="1">
        <v>2</v>
      </c>
      <c r="B779" s="1" t="s">
        <v>33</v>
      </c>
      <c r="C779" s="11">
        <v>0</v>
      </c>
      <c r="D779" s="11">
        <v>0</v>
      </c>
      <c r="E779" s="2">
        <f t="shared" si="27"/>
        <v>0</v>
      </c>
      <c r="F779" s="11">
        <v>9.0999999999999998E-2</v>
      </c>
      <c r="G779" s="3" t="e">
        <f t="shared" si="26"/>
        <v>#DIV/0!</v>
      </c>
    </row>
    <row r="780" spans="1:7" hidden="1">
      <c r="A780" s="1">
        <v>3</v>
      </c>
      <c r="B780" s="1" t="s">
        <v>33</v>
      </c>
      <c r="C780" s="11">
        <v>0</v>
      </c>
      <c r="D780" s="11">
        <v>0</v>
      </c>
      <c r="E780" s="2">
        <f t="shared" si="27"/>
        <v>0</v>
      </c>
      <c r="F780" s="11">
        <v>0.10199999999999999</v>
      </c>
      <c r="G780" s="3" t="e">
        <f t="shared" si="26"/>
        <v>#DIV/0!</v>
      </c>
    </row>
    <row r="781" spans="1:7" hidden="1">
      <c r="A781" s="1">
        <v>4</v>
      </c>
      <c r="B781" s="1" t="s">
        <v>33</v>
      </c>
      <c r="C781" s="11">
        <v>20</v>
      </c>
      <c r="D781" s="11">
        <v>19.87</v>
      </c>
      <c r="E781" s="2">
        <f t="shared" si="27"/>
        <v>0.12999999999999901</v>
      </c>
      <c r="F781" s="11">
        <v>6.4000000000000001E-2</v>
      </c>
      <c r="G781" s="3">
        <f t="shared" si="26"/>
        <v>9.69999999999995E-3</v>
      </c>
    </row>
    <row r="782" spans="1:7" hidden="1">
      <c r="A782" s="1">
        <v>5</v>
      </c>
      <c r="B782" s="1" t="s">
        <v>33</v>
      </c>
      <c r="C782" s="11">
        <v>0</v>
      </c>
      <c r="D782" s="11">
        <v>0</v>
      </c>
      <c r="E782" s="2">
        <f t="shared" si="27"/>
        <v>0</v>
      </c>
      <c r="F782" s="11">
        <v>0.13500000000000001</v>
      </c>
      <c r="G782" s="3" t="e">
        <f t="shared" si="26"/>
        <v>#DIV/0!</v>
      </c>
    </row>
    <row r="783" spans="1:7" hidden="1">
      <c r="A783" s="1">
        <v>6</v>
      </c>
      <c r="B783" s="1" t="s">
        <v>33</v>
      </c>
      <c r="C783" s="11">
        <v>0</v>
      </c>
      <c r="D783" s="11">
        <v>0</v>
      </c>
      <c r="E783" s="2">
        <f t="shared" si="27"/>
        <v>0</v>
      </c>
      <c r="F783" s="11">
        <v>8.4000000000000005E-2</v>
      </c>
      <c r="G783" s="3" t="e">
        <f t="shared" si="26"/>
        <v>#DIV/0!</v>
      </c>
    </row>
    <row r="784" spans="1:7" hidden="1">
      <c r="A784" s="1">
        <v>7</v>
      </c>
      <c r="B784" s="1" t="s">
        <v>33</v>
      </c>
      <c r="C784" s="11">
        <v>0</v>
      </c>
      <c r="D784" s="11">
        <v>0</v>
      </c>
      <c r="E784" s="2">
        <f t="shared" si="27"/>
        <v>0</v>
      </c>
      <c r="F784" s="11">
        <v>0.10199999999999999</v>
      </c>
      <c r="G784" s="3" t="e">
        <f t="shared" si="26"/>
        <v>#DIV/0!</v>
      </c>
    </row>
    <row r="785" spans="1:7" hidden="1">
      <c r="A785" s="1">
        <v>10</v>
      </c>
      <c r="B785" s="1" t="s">
        <v>33</v>
      </c>
      <c r="C785" s="11">
        <v>20</v>
      </c>
      <c r="D785" s="11">
        <v>19.920000000000002</v>
      </c>
      <c r="E785" s="2">
        <f t="shared" si="27"/>
        <v>7.9999999999998295E-2</v>
      </c>
      <c r="F785" s="11">
        <v>0.21</v>
      </c>
      <c r="G785" s="3">
        <f t="shared" si="26"/>
        <v>1.4499999999999912E-2</v>
      </c>
    </row>
    <row r="786" spans="1:7" hidden="1">
      <c r="A786" s="1">
        <v>8</v>
      </c>
      <c r="B786" s="1" t="s">
        <v>33</v>
      </c>
      <c r="C786" s="11">
        <v>0</v>
      </c>
      <c r="D786" s="11">
        <v>0</v>
      </c>
      <c r="E786" s="2">
        <f t="shared" si="27"/>
        <v>0</v>
      </c>
      <c r="F786" s="11">
        <v>6.6000000000000003E-2</v>
      </c>
      <c r="G786" s="3" t="e">
        <f t="shared" si="26"/>
        <v>#DIV/0!</v>
      </c>
    </row>
    <row r="787" spans="1:7" hidden="1">
      <c r="A787" s="1">
        <v>9</v>
      </c>
      <c r="B787" s="1" t="s">
        <v>33</v>
      </c>
      <c r="C787" s="11">
        <v>0</v>
      </c>
      <c r="D787" s="11">
        <v>0</v>
      </c>
      <c r="E787" s="2">
        <f t="shared" si="27"/>
        <v>0</v>
      </c>
      <c r="F787" s="11">
        <v>8.5000000000000006E-2</v>
      </c>
      <c r="G787" s="3" t="e">
        <f t="shared" si="26"/>
        <v>#DIV/0!</v>
      </c>
    </row>
    <row r="788" spans="1:7" hidden="1">
      <c r="A788" s="1">
        <v>11</v>
      </c>
      <c r="B788" s="1" t="s">
        <v>33</v>
      </c>
      <c r="C788" s="11">
        <v>0</v>
      </c>
      <c r="D788" s="11">
        <v>0</v>
      </c>
      <c r="E788" s="2">
        <f t="shared" si="27"/>
        <v>0</v>
      </c>
      <c r="F788" s="11">
        <v>0.13800000000000001</v>
      </c>
      <c r="G788" s="3" t="e">
        <f t="shared" si="26"/>
        <v>#DIV/0!</v>
      </c>
    </row>
    <row r="789" spans="1:7" hidden="1">
      <c r="A789" s="1">
        <v>12</v>
      </c>
      <c r="B789" s="1" t="s">
        <v>33</v>
      </c>
      <c r="C789" s="11">
        <v>0</v>
      </c>
      <c r="D789" s="11">
        <v>0</v>
      </c>
      <c r="E789" s="2">
        <f t="shared" si="27"/>
        <v>0</v>
      </c>
      <c r="F789" s="11">
        <v>9.8000000000000004E-2</v>
      </c>
      <c r="G789" s="3" t="e">
        <f t="shared" si="26"/>
        <v>#DIV/0!</v>
      </c>
    </row>
    <row r="790" spans="1:7" hidden="1">
      <c r="A790" s="1">
        <v>13</v>
      </c>
      <c r="B790" s="1" t="s">
        <v>33</v>
      </c>
      <c r="C790" s="11">
        <v>20</v>
      </c>
      <c r="D790" s="11">
        <v>19.809999999999999</v>
      </c>
      <c r="E790" s="2">
        <f t="shared" si="27"/>
        <v>0.19000000000000128</v>
      </c>
      <c r="F790" s="11">
        <v>0.21099999999999999</v>
      </c>
      <c r="G790" s="3">
        <f t="shared" si="26"/>
        <v>2.0050000000000061E-2</v>
      </c>
    </row>
    <row r="791" spans="1:7" hidden="1">
      <c r="A791" s="1">
        <v>14</v>
      </c>
      <c r="B791" s="1" t="s">
        <v>33</v>
      </c>
      <c r="C791" s="11">
        <v>0</v>
      </c>
      <c r="D791" s="11">
        <v>0</v>
      </c>
      <c r="E791" s="2">
        <f t="shared" si="27"/>
        <v>0</v>
      </c>
      <c r="F791" s="11">
        <v>0.182</v>
      </c>
      <c r="G791" s="3" t="e">
        <f t="shared" si="26"/>
        <v>#DIV/0!</v>
      </c>
    </row>
    <row r="792" spans="1:7" hidden="1">
      <c r="A792" s="1">
        <v>15</v>
      </c>
      <c r="B792" s="1" t="s">
        <v>33</v>
      </c>
      <c r="C792" s="11">
        <v>0</v>
      </c>
      <c r="D792" s="11">
        <v>0</v>
      </c>
      <c r="E792" s="2">
        <f t="shared" si="27"/>
        <v>0</v>
      </c>
      <c r="F792" s="11">
        <v>0.11799999999999999</v>
      </c>
      <c r="G792" s="3" t="e">
        <f t="shared" si="26"/>
        <v>#DIV/0!</v>
      </c>
    </row>
    <row r="793" spans="1:7" hidden="1">
      <c r="A793" s="1">
        <v>16</v>
      </c>
      <c r="B793" s="1" t="s">
        <v>33</v>
      </c>
      <c r="C793" s="11">
        <v>0</v>
      </c>
      <c r="D793" s="11">
        <v>0</v>
      </c>
      <c r="E793" s="2">
        <f t="shared" si="27"/>
        <v>0</v>
      </c>
      <c r="F793" s="11">
        <v>5.8999999999999997E-2</v>
      </c>
      <c r="G793" s="3" t="e">
        <f t="shared" si="26"/>
        <v>#DIV/0!</v>
      </c>
    </row>
    <row r="794" spans="1:7" hidden="1">
      <c r="A794" s="1">
        <v>17</v>
      </c>
      <c r="B794" s="1" t="s">
        <v>33</v>
      </c>
      <c r="C794" s="11">
        <v>0</v>
      </c>
      <c r="D794" s="11">
        <v>0</v>
      </c>
      <c r="E794" s="2">
        <f t="shared" si="27"/>
        <v>0</v>
      </c>
      <c r="F794" s="11">
        <v>6.7000000000000004E-2</v>
      </c>
      <c r="G794" s="3" t="e">
        <f t="shared" si="26"/>
        <v>#DIV/0!</v>
      </c>
    </row>
    <row r="795" spans="1:7" hidden="1">
      <c r="A795" s="1">
        <v>18</v>
      </c>
      <c r="B795" s="1" t="s">
        <v>33</v>
      </c>
      <c r="C795" s="11">
        <v>0</v>
      </c>
      <c r="D795" s="11">
        <v>0</v>
      </c>
      <c r="E795" s="2">
        <f t="shared" si="27"/>
        <v>0</v>
      </c>
      <c r="F795" s="11">
        <v>0.10299999999999999</v>
      </c>
      <c r="G795" s="3" t="e">
        <f t="shared" si="26"/>
        <v>#DIV/0!</v>
      </c>
    </row>
    <row r="796" spans="1:7" hidden="1">
      <c r="A796" s="1">
        <v>19</v>
      </c>
      <c r="B796" s="1" t="s">
        <v>33</v>
      </c>
      <c r="C796" s="11">
        <v>0</v>
      </c>
      <c r="D796" s="11">
        <v>0</v>
      </c>
      <c r="E796" s="2">
        <f t="shared" si="27"/>
        <v>0</v>
      </c>
      <c r="F796" s="11">
        <v>0.11899999999999999</v>
      </c>
      <c r="G796" s="3" t="e">
        <f t="shared" si="26"/>
        <v>#DIV/0!</v>
      </c>
    </row>
    <row r="797" spans="1:7" hidden="1">
      <c r="A797" s="1">
        <v>20</v>
      </c>
      <c r="B797" s="1" t="s">
        <v>33</v>
      </c>
      <c r="C797" s="11">
        <v>0</v>
      </c>
      <c r="D797" s="11">
        <v>0</v>
      </c>
      <c r="E797" s="2">
        <f t="shared" si="27"/>
        <v>0</v>
      </c>
      <c r="F797" s="11">
        <v>3.7999999999999999E-2</v>
      </c>
      <c r="G797" s="3" t="e">
        <f t="shared" si="26"/>
        <v>#DIV/0!</v>
      </c>
    </row>
    <row r="798" spans="1:7" hidden="1">
      <c r="A798" s="1">
        <v>21</v>
      </c>
      <c r="B798" s="1" t="s">
        <v>33</v>
      </c>
      <c r="C798" s="11">
        <v>20</v>
      </c>
      <c r="D798" s="11">
        <v>19.86</v>
      </c>
      <c r="E798" s="2">
        <f t="shared" si="27"/>
        <v>0.14000000000000057</v>
      </c>
      <c r="F798" s="11">
        <v>0.16400000000000001</v>
      </c>
      <c r="G798" s="3">
        <f t="shared" si="26"/>
        <v>1.5200000000000029E-2</v>
      </c>
    </row>
    <row r="799" spans="1:7" hidden="1">
      <c r="A799" s="1">
        <v>22</v>
      </c>
      <c r="B799" s="1" t="s">
        <v>33</v>
      </c>
      <c r="C799" s="11">
        <v>0</v>
      </c>
      <c r="D799" s="11">
        <v>0</v>
      </c>
      <c r="E799" s="2">
        <f t="shared" si="27"/>
        <v>0</v>
      </c>
      <c r="F799" s="11">
        <v>0.13800000000000001</v>
      </c>
      <c r="G799" s="3" t="e">
        <f t="shared" si="26"/>
        <v>#DIV/0!</v>
      </c>
    </row>
    <row r="800" spans="1:7" hidden="1">
      <c r="A800" s="1">
        <v>23</v>
      </c>
      <c r="B800" s="1" t="s">
        <v>33</v>
      </c>
      <c r="C800" s="11">
        <v>0</v>
      </c>
      <c r="D800" s="11">
        <v>0</v>
      </c>
      <c r="E800" s="2">
        <f t="shared" si="27"/>
        <v>0</v>
      </c>
      <c r="F800" s="11">
        <v>0.13200000000000001</v>
      </c>
      <c r="G800" s="3" t="e">
        <f t="shared" si="26"/>
        <v>#DIV/0!</v>
      </c>
    </row>
    <row r="801" spans="1:7" hidden="1">
      <c r="A801" s="1">
        <v>24</v>
      </c>
      <c r="B801" s="1" t="s">
        <v>33</v>
      </c>
      <c r="C801" s="11">
        <v>0</v>
      </c>
      <c r="D801" s="11">
        <v>0</v>
      </c>
      <c r="E801" s="2">
        <f t="shared" si="27"/>
        <v>0</v>
      </c>
      <c r="F801" s="11">
        <v>0.10100000000000001</v>
      </c>
      <c r="G801" s="3" t="e">
        <f t="shared" si="26"/>
        <v>#DIV/0!</v>
      </c>
    </row>
    <row r="802" spans="1:7" hidden="1">
      <c r="A802" s="1">
        <v>25</v>
      </c>
      <c r="B802" s="1" t="s">
        <v>33</v>
      </c>
      <c r="C802" s="11">
        <v>0</v>
      </c>
      <c r="D802" s="11">
        <v>0</v>
      </c>
      <c r="E802" s="2">
        <f t="shared" si="27"/>
        <v>0</v>
      </c>
      <c r="F802" s="11">
        <v>0.17699999999999999</v>
      </c>
      <c r="G802" s="3" t="e">
        <f t="shared" si="26"/>
        <v>#DIV/0!</v>
      </c>
    </row>
    <row r="803" spans="1:7" hidden="1">
      <c r="A803" s="1">
        <v>26</v>
      </c>
      <c r="B803" s="1" t="s">
        <v>33</v>
      </c>
      <c r="C803" s="11">
        <v>0</v>
      </c>
      <c r="D803" s="11">
        <v>0</v>
      </c>
      <c r="E803" s="2">
        <f t="shared" si="27"/>
        <v>0</v>
      </c>
      <c r="F803" s="11">
        <v>0.1</v>
      </c>
      <c r="G803" s="3" t="e">
        <f t="shared" si="26"/>
        <v>#DIV/0!</v>
      </c>
    </row>
    <row r="804" spans="1:7" hidden="1">
      <c r="A804" s="1">
        <v>27</v>
      </c>
      <c r="B804" s="1" t="s">
        <v>33</v>
      </c>
      <c r="C804" s="11">
        <v>20</v>
      </c>
      <c r="D804" s="11">
        <v>19.64</v>
      </c>
      <c r="E804" s="2">
        <f t="shared" si="27"/>
        <v>0.35999999999999943</v>
      </c>
      <c r="F804" s="11">
        <v>0.111</v>
      </c>
      <c r="G804" s="3">
        <f t="shared" si="26"/>
        <v>2.354999999999997E-2</v>
      </c>
    </row>
    <row r="805" spans="1:7" hidden="1">
      <c r="A805" s="1">
        <v>28</v>
      </c>
      <c r="B805" s="1" t="s">
        <v>33</v>
      </c>
      <c r="C805" s="11">
        <v>0</v>
      </c>
      <c r="D805" s="11">
        <v>0</v>
      </c>
      <c r="E805" s="2">
        <f t="shared" si="27"/>
        <v>0</v>
      </c>
      <c r="F805" s="11">
        <v>0.115</v>
      </c>
      <c r="G805" s="3" t="e">
        <f t="shared" ref="G805:G868" si="28">(E805+F805)/C805</f>
        <v>#DIV/0!</v>
      </c>
    </row>
    <row r="806" spans="1:7" hidden="1">
      <c r="A806" s="1">
        <v>29</v>
      </c>
      <c r="B806" s="1" t="s">
        <v>33</v>
      </c>
      <c r="C806" s="11">
        <v>0</v>
      </c>
      <c r="D806" s="11">
        <v>0</v>
      </c>
      <c r="E806" s="2">
        <f t="shared" si="27"/>
        <v>0</v>
      </c>
      <c r="F806" s="11">
        <v>0.187</v>
      </c>
      <c r="G806" s="3" t="e">
        <f t="shared" si="28"/>
        <v>#DIV/0!</v>
      </c>
    </row>
    <row r="807" spans="1:7" hidden="1">
      <c r="A807" s="1">
        <v>30</v>
      </c>
      <c r="B807" s="1" t="s">
        <v>33</v>
      </c>
      <c r="C807" s="11">
        <v>0</v>
      </c>
      <c r="D807" s="11">
        <v>0</v>
      </c>
      <c r="E807" s="2">
        <f t="shared" si="27"/>
        <v>0</v>
      </c>
      <c r="F807" s="11">
        <v>0.123</v>
      </c>
      <c r="G807" s="3" t="e">
        <f t="shared" si="28"/>
        <v>#DIV/0!</v>
      </c>
    </row>
    <row r="808" spans="1:7" hidden="1">
      <c r="A808" s="1">
        <v>31</v>
      </c>
      <c r="B808" s="1" t="s">
        <v>33</v>
      </c>
      <c r="C808" s="11">
        <v>0</v>
      </c>
      <c r="D808" s="11">
        <v>0</v>
      </c>
      <c r="E808" s="2">
        <f t="shared" si="27"/>
        <v>0</v>
      </c>
      <c r="F808" s="11">
        <v>0.106</v>
      </c>
      <c r="G808" s="3" t="e">
        <f t="shared" si="28"/>
        <v>#DIV/0!</v>
      </c>
    </row>
    <row r="809" spans="1:7" hidden="1">
      <c r="A809" s="1">
        <v>1</v>
      </c>
      <c r="B809" s="1" t="s">
        <v>34</v>
      </c>
      <c r="C809" s="11">
        <v>360</v>
      </c>
      <c r="D809" s="11">
        <v>356.64</v>
      </c>
      <c r="E809" s="2">
        <f t="shared" si="27"/>
        <v>3.3600000000000136</v>
      </c>
      <c r="F809" s="11">
        <v>6.3E-2</v>
      </c>
      <c r="G809" s="3">
        <f t="shared" si="28"/>
        <v>9.5083333333333721E-3</v>
      </c>
    </row>
    <row r="810" spans="1:7" hidden="1">
      <c r="A810" s="1">
        <v>2</v>
      </c>
      <c r="B810" s="1" t="s">
        <v>34</v>
      </c>
      <c r="C810" s="11">
        <v>0</v>
      </c>
      <c r="D810" s="11">
        <v>0</v>
      </c>
      <c r="E810" s="2">
        <f t="shared" si="27"/>
        <v>0</v>
      </c>
      <c r="F810" s="11">
        <v>3.5999999999999997E-2</v>
      </c>
      <c r="G810" s="3" t="e">
        <f t="shared" si="28"/>
        <v>#DIV/0!</v>
      </c>
    </row>
    <row r="811" spans="1:7" hidden="1">
      <c r="A811" s="1">
        <v>3</v>
      </c>
      <c r="B811" s="1" t="s">
        <v>34</v>
      </c>
      <c r="C811" s="11">
        <v>0</v>
      </c>
      <c r="D811" s="11">
        <v>0</v>
      </c>
      <c r="E811" s="2">
        <f t="shared" si="27"/>
        <v>0</v>
      </c>
      <c r="F811" s="11">
        <v>5.1999999999999998E-2</v>
      </c>
      <c r="G811" s="3" t="e">
        <f t="shared" si="28"/>
        <v>#DIV/0!</v>
      </c>
    </row>
    <row r="812" spans="1:7" hidden="1">
      <c r="A812" s="1">
        <v>4</v>
      </c>
      <c r="B812" s="1" t="s">
        <v>34</v>
      </c>
      <c r="C812" s="11">
        <v>20</v>
      </c>
      <c r="D812" s="11">
        <v>19.829999999999998</v>
      </c>
      <c r="E812" s="2">
        <f t="shared" si="27"/>
        <v>0.17000000000000171</v>
      </c>
      <c r="F812" s="11">
        <v>6.4000000000000001E-2</v>
      </c>
      <c r="G812" s="3">
        <f t="shared" si="28"/>
        <v>1.1700000000000085E-2</v>
      </c>
    </row>
    <row r="813" spans="1:7" hidden="1">
      <c r="A813" s="1">
        <v>5</v>
      </c>
      <c r="B813" s="1" t="s">
        <v>34</v>
      </c>
      <c r="C813" s="11">
        <v>20</v>
      </c>
      <c r="D813" s="11">
        <v>19.829999999999998</v>
      </c>
      <c r="E813" s="2">
        <f t="shared" si="27"/>
        <v>0.17000000000000171</v>
      </c>
      <c r="F813" s="11">
        <v>0.06</v>
      </c>
      <c r="G813" s="3">
        <f t="shared" si="28"/>
        <v>1.1500000000000085E-2</v>
      </c>
    </row>
    <row r="814" spans="1:7" hidden="1">
      <c r="A814" s="1">
        <v>6</v>
      </c>
      <c r="B814" s="1" t="s">
        <v>34</v>
      </c>
      <c r="C814" s="11">
        <v>0</v>
      </c>
      <c r="D814" s="11">
        <v>0</v>
      </c>
      <c r="E814" s="2">
        <f t="shared" si="27"/>
        <v>0</v>
      </c>
      <c r="F814" s="11">
        <v>5.3999999999999999E-2</v>
      </c>
      <c r="G814" s="3" t="e">
        <f t="shared" si="28"/>
        <v>#DIV/0!</v>
      </c>
    </row>
    <row r="815" spans="1:7" hidden="1">
      <c r="A815" s="1">
        <v>7</v>
      </c>
      <c r="B815" s="1" t="s">
        <v>34</v>
      </c>
      <c r="C815" s="11">
        <v>20</v>
      </c>
      <c r="D815" s="11">
        <v>19.809999999999999</v>
      </c>
      <c r="E815" s="2">
        <f t="shared" si="27"/>
        <v>0.19000000000000128</v>
      </c>
      <c r="F815" s="11">
        <v>6.4000000000000001E-2</v>
      </c>
      <c r="G815" s="3">
        <f t="shared" si="28"/>
        <v>1.2700000000000064E-2</v>
      </c>
    </row>
    <row r="816" spans="1:7" hidden="1">
      <c r="A816" s="1">
        <v>10</v>
      </c>
      <c r="B816" s="1" t="s">
        <v>34</v>
      </c>
      <c r="C816" s="11">
        <v>0</v>
      </c>
      <c r="D816" s="11">
        <v>0</v>
      </c>
      <c r="E816" s="2">
        <f t="shared" si="27"/>
        <v>0</v>
      </c>
      <c r="F816" s="11">
        <v>5.3999999999999999E-2</v>
      </c>
      <c r="G816" s="3" t="e">
        <f t="shared" si="28"/>
        <v>#DIV/0!</v>
      </c>
    </row>
    <row r="817" spans="1:7" hidden="1">
      <c r="A817" s="1">
        <v>8</v>
      </c>
      <c r="B817" s="1" t="s">
        <v>34</v>
      </c>
      <c r="C817" s="11">
        <v>0</v>
      </c>
      <c r="D817" s="11">
        <v>0</v>
      </c>
      <c r="E817" s="2">
        <f t="shared" si="27"/>
        <v>0</v>
      </c>
      <c r="F817" s="11">
        <v>0.06</v>
      </c>
      <c r="G817" s="3" t="e">
        <f t="shared" si="28"/>
        <v>#DIV/0!</v>
      </c>
    </row>
    <row r="818" spans="1:7" hidden="1">
      <c r="A818" s="1">
        <v>9</v>
      </c>
      <c r="B818" s="1" t="s">
        <v>34</v>
      </c>
      <c r="C818" s="11">
        <v>25</v>
      </c>
      <c r="D818" s="11">
        <v>24.83</v>
      </c>
      <c r="E818" s="2">
        <f t="shared" si="27"/>
        <v>0.17000000000000171</v>
      </c>
      <c r="F818" s="11">
        <v>8.1000000000000003E-2</v>
      </c>
      <c r="G818" s="3">
        <f t="shared" si="28"/>
        <v>1.004000000000007E-2</v>
      </c>
    </row>
    <row r="819" spans="1:7" hidden="1">
      <c r="A819" s="1">
        <v>11</v>
      </c>
      <c r="B819" s="1" t="s">
        <v>34</v>
      </c>
      <c r="C819" s="11">
        <v>24</v>
      </c>
      <c r="D819" s="11">
        <v>23.84</v>
      </c>
      <c r="E819" s="2">
        <f t="shared" si="27"/>
        <v>0.16000000000000014</v>
      </c>
      <c r="F819" s="11">
        <v>6.8000000000000005E-2</v>
      </c>
      <c r="G819" s="3">
        <f t="shared" si="28"/>
        <v>9.5000000000000067E-3</v>
      </c>
    </row>
    <row r="820" spans="1:7" hidden="1">
      <c r="A820" s="1">
        <v>12</v>
      </c>
      <c r="B820" s="1" t="s">
        <v>34</v>
      </c>
      <c r="C820" s="11">
        <v>0</v>
      </c>
      <c r="D820" s="11">
        <v>0</v>
      </c>
      <c r="E820" s="2">
        <f t="shared" si="27"/>
        <v>0</v>
      </c>
      <c r="F820" s="11">
        <v>3.3000000000000002E-2</v>
      </c>
      <c r="G820" s="3" t="e">
        <f t="shared" si="28"/>
        <v>#DIV/0!</v>
      </c>
    </row>
    <row r="821" spans="1:7" hidden="1">
      <c r="A821" s="1">
        <v>13</v>
      </c>
      <c r="B821" s="1" t="s">
        <v>34</v>
      </c>
      <c r="C821" s="11">
        <v>25</v>
      </c>
      <c r="D821" s="11">
        <v>24.82</v>
      </c>
      <c r="E821" s="2">
        <f t="shared" si="27"/>
        <v>0.17999999999999972</v>
      </c>
      <c r="F821" s="11">
        <v>5.2999999999999999E-2</v>
      </c>
      <c r="G821" s="3">
        <f t="shared" si="28"/>
        <v>9.319999999999988E-3</v>
      </c>
    </row>
    <row r="822" spans="1:7" hidden="1">
      <c r="A822" s="1">
        <v>14</v>
      </c>
      <c r="B822" s="1" t="s">
        <v>34</v>
      </c>
      <c r="C822" s="11">
        <v>0</v>
      </c>
      <c r="D822" s="11">
        <v>0</v>
      </c>
      <c r="E822" s="2">
        <f t="shared" si="27"/>
        <v>0</v>
      </c>
      <c r="F822" s="11">
        <v>6.5000000000000002E-2</v>
      </c>
      <c r="G822" s="3" t="e">
        <f t="shared" si="28"/>
        <v>#DIV/0!</v>
      </c>
    </row>
    <row r="823" spans="1:7" hidden="1">
      <c r="A823" s="1">
        <v>15</v>
      </c>
      <c r="B823" s="1" t="s">
        <v>34</v>
      </c>
      <c r="C823" s="11">
        <v>0</v>
      </c>
      <c r="D823" s="11">
        <v>0</v>
      </c>
      <c r="E823" s="2">
        <f t="shared" si="27"/>
        <v>0</v>
      </c>
      <c r="F823" s="11">
        <v>5.7000000000000002E-2</v>
      </c>
      <c r="G823" s="3" t="e">
        <f t="shared" si="28"/>
        <v>#DIV/0!</v>
      </c>
    </row>
    <row r="824" spans="1:7" hidden="1">
      <c r="A824" s="1">
        <v>16</v>
      </c>
      <c r="B824" s="1" t="s">
        <v>34</v>
      </c>
      <c r="C824" s="11">
        <v>0</v>
      </c>
      <c r="D824" s="11">
        <v>0</v>
      </c>
      <c r="E824" s="2">
        <f t="shared" si="27"/>
        <v>0</v>
      </c>
      <c r="F824" s="11">
        <v>4.9000000000000002E-2</v>
      </c>
      <c r="G824" s="3" t="e">
        <f t="shared" si="28"/>
        <v>#DIV/0!</v>
      </c>
    </row>
    <row r="825" spans="1:7" hidden="1">
      <c r="A825" s="1">
        <v>17</v>
      </c>
      <c r="B825" s="1" t="s">
        <v>34</v>
      </c>
      <c r="C825" s="11">
        <v>0</v>
      </c>
      <c r="D825" s="11">
        <v>0</v>
      </c>
      <c r="E825" s="2">
        <f t="shared" si="27"/>
        <v>0</v>
      </c>
      <c r="F825" s="11">
        <v>3.7999999999999999E-2</v>
      </c>
      <c r="G825" s="3" t="e">
        <f t="shared" si="28"/>
        <v>#DIV/0!</v>
      </c>
    </row>
    <row r="826" spans="1:7" hidden="1">
      <c r="A826" s="1">
        <v>18</v>
      </c>
      <c r="B826" s="1" t="s">
        <v>34</v>
      </c>
      <c r="C826" s="11">
        <v>0</v>
      </c>
      <c r="D826" s="11">
        <v>0</v>
      </c>
      <c r="E826" s="2">
        <f t="shared" si="27"/>
        <v>0</v>
      </c>
      <c r="F826" s="11">
        <v>6.2E-2</v>
      </c>
      <c r="G826" s="3" t="e">
        <f t="shared" si="28"/>
        <v>#DIV/0!</v>
      </c>
    </row>
    <row r="827" spans="1:7" hidden="1">
      <c r="A827" s="1">
        <v>19</v>
      </c>
      <c r="B827" s="1" t="s">
        <v>34</v>
      </c>
      <c r="C827" s="11">
        <v>15</v>
      </c>
      <c r="D827" s="11">
        <v>14.81</v>
      </c>
      <c r="E827" s="2">
        <f t="shared" si="27"/>
        <v>0.1899999999999995</v>
      </c>
      <c r="F827" s="11">
        <v>7.1999999999999995E-2</v>
      </c>
      <c r="G827" s="3">
        <f t="shared" si="28"/>
        <v>1.7466666666666634E-2</v>
      </c>
    </row>
    <row r="828" spans="1:7" hidden="1">
      <c r="A828" s="1">
        <v>20</v>
      </c>
      <c r="B828" s="1" t="s">
        <v>34</v>
      </c>
      <c r="C828" s="11">
        <v>0</v>
      </c>
      <c r="D828" s="11">
        <v>0</v>
      </c>
      <c r="E828" s="2">
        <f t="shared" si="27"/>
        <v>0</v>
      </c>
      <c r="F828" s="11">
        <v>6.7000000000000004E-2</v>
      </c>
      <c r="G828" s="3" t="e">
        <f t="shared" si="28"/>
        <v>#DIV/0!</v>
      </c>
    </row>
    <row r="829" spans="1:7" hidden="1">
      <c r="A829" s="1">
        <v>21</v>
      </c>
      <c r="B829" s="1" t="s">
        <v>34</v>
      </c>
      <c r="C829" s="11">
        <v>0</v>
      </c>
      <c r="D829" s="11">
        <v>0</v>
      </c>
      <c r="E829" s="2">
        <f t="shared" si="27"/>
        <v>0</v>
      </c>
      <c r="F829" s="11">
        <v>5.7000000000000002E-2</v>
      </c>
      <c r="G829" s="3" t="e">
        <f t="shared" si="28"/>
        <v>#DIV/0!</v>
      </c>
    </row>
    <row r="830" spans="1:7" hidden="1">
      <c r="A830" s="1">
        <v>22</v>
      </c>
      <c r="B830" s="1" t="s">
        <v>34</v>
      </c>
      <c r="C830" s="11">
        <v>15</v>
      </c>
      <c r="D830" s="11">
        <v>14.81</v>
      </c>
      <c r="E830" s="2">
        <f t="shared" si="27"/>
        <v>0.1899999999999995</v>
      </c>
      <c r="F830" s="11">
        <v>4.3999999999999997E-2</v>
      </c>
      <c r="G830" s="3">
        <f t="shared" si="28"/>
        <v>1.5599999999999966E-2</v>
      </c>
    </row>
    <row r="831" spans="1:7" hidden="1">
      <c r="A831" s="1">
        <v>23</v>
      </c>
      <c r="B831" s="1" t="s">
        <v>34</v>
      </c>
      <c r="C831" s="11">
        <v>15</v>
      </c>
      <c r="D831" s="11">
        <v>14.81</v>
      </c>
      <c r="E831" s="2">
        <f t="shared" si="27"/>
        <v>0.1899999999999995</v>
      </c>
      <c r="F831" s="11">
        <v>9.1999999999999998E-2</v>
      </c>
      <c r="G831" s="3">
        <f t="shared" si="28"/>
        <v>1.8799999999999966E-2</v>
      </c>
    </row>
    <row r="832" spans="1:7" hidden="1">
      <c r="A832" s="1">
        <v>24</v>
      </c>
      <c r="B832" s="1" t="s">
        <v>34</v>
      </c>
      <c r="C832" s="11">
        <v>0</v>
      </c>
      <c r="D832" s="11">
        <v>0</v>
      </c>
      <c r="E832" s="2">
        <f t="shared" si="27"/>
        <v>0</v>
      </c>
      <c r="F832" s="11">
        <v>5.6000000000000001E-2</v>
      </c>
      <c r="G832" s="3" t="e">
        <f t="shared" si="28"/>
        <v>#DIV/0!</v>
      </c>
    </row>
    <row r="833" spans="1:7" hidden="1">
      <c r="A833" s="1">
        <v>25</v>
      </c>
      <c r="B833" s="1" t="s">
        <v>34</v>
      </c>
      <c r="C833" s="11">
        <v>20</v>
      </c>
      <c r="D833" s="11">
        <v>19.809999999999999</v>
      </c>
      <c r="E833" s="2">
        <f t="shared" si="27"/>
        <v>0.19000000000000128</v>
      </c>
      <c r="F833" s="11">
        <v>0.06</v>
      </c>
      <c r="G833" s="3">
        <f t="shared" si="28"/>
        <v>1.2500000000000063E-2</v>
      </c>
    </row>
    <row r="834" spans="1:7" hidden="1">
      <c r="A834" s="1">
        <v>26</v>
      </c>
      <c r="B834" s="1" t="s">
        <v>34</v>
      </c>
      <c r="C834" s="11">
        <v>0</v>
      </c>
      <c r="D834" s="11">
        <v>0</v>
      </c>
      <c r="E834" s="2">
        <f t="shared" si="27"/>
        <v>0</v>
      </c>
      <c r="F834" s="11">
        <v>6.6000000000000003E-2</v>
      </c>
      <c r="G834" s="3" t="e">
        <f t="shared" si="28"/>
        <v>#DIV/0!</v>
      </c>
    </row>
    <row r="835" spans="1:7" hidden="1">
      <c r="A835" s="1">
        <v>27</v>
      </c>
      <c r="B835" s="1" t="s">
        <v>34</v>
      </c>
      <c r="C835" s="11">
        <v>0</v>
      </c>
      <c r="D835" s="11">
        <v>0</v>
      </c>
      <c r="E835" s="2">
        <f t="shared" si="27"/>
        <v>0</v>
      </c>
      <c r="F835" s="11">
        <v>6.2E-2</v>
      </c>
      <c r="G835" s="3" t="e">
        <f t="shared" si="28"/>
        <v>#DIV/0!</v>
      </c>
    </row>
    <row r="836" spans="1:7" hidden="1">
      <c r="A836" s="1">
        <v>28</v>
      </c>
      <c r="B836" s="1" t="s">
        <v>34</v>
      </c>
      <c r="C836" s="11">
        <v>10</v>
      </c>
      <c r="D836" s="11">
        <v>9.6199999999999992</v>
      </c>
      <c r="E836" s="2">
        <f t="shared" ref="E836:E899" si="29">C836-D836</f>
        <v>0.38000000000000078</v>
      </c>
      <c r="F836" s="11">
        <v>6.5000000000000002E-2</v>
      </c>
      <c r="G836" s="3">
        <f t="shared" si="28"/>
        <v>4.4500000000000081E-2</v>
      </c>
    </row>
    <row r="837" spans="1:7" hidden="1">
      <c r="A837" s="1">
        <v>29</v>
      </c>
      <c r="B837" s="1" t="s">
        <v>34</v>
      </c>
      <c r="C837" s="11">
        <v>10</v>
      </c>
      <c r="D837" s="11">
        <v>9.6199999999999992</v>
      </c>
      <c r="E837" s="2">
        <f t="shared" si="29"/>
        <v>0.38000000000000078</v>
      </c>
      <c r="F837" s="11">
        <v>6.3E-2</v>
      </c>
      <c r="G837" s="3">
        <f t="shared" si="28"/>
        <v>4.4300000000000075E-2</v>
      </c>
    </row>
    <row r="838" spans="1:7" hidden="1">
      <c r="A838" s="1">
        <v>30</v>
      </c>
      <c r="B838" s="1" t="s">
        <v>34</v>
      </c>
      <c r="C838" s="11">
        <v>0</v>
      </c>
      <c r="D838" s="11">
        <v>0</v>
      </c>
      <c r="E838" s="2">
        <f t="shared" si="29"/>
        <v>0</v>
      </c>
      <c r="F838" s="11">
        <v>4.3999999999999997E-2</v>
      </c>
      <c r="G838" s="3" t="e">
        <f t="shared" si="28"/>
        <v>#DIV/0!</v>
      </c>
    </row>
    <row r="839" spans="1:7" hidden="1">
      <c r="A839" s="1">
        <v>31</v>
      </c>
      <c r="B839" s="1" t="s">
        <v>34</v>
      </c>
      <c r="C839" s="11">
        <v>15</v>
      </c>
      <c r="D839" s="11">
        <v>14.85</v>
      </c>
      <c r="E839" s="2">
        <f t="shared" si="29"/>
        <v>0.15000000000000036</v>
      </c>
      <c r="F839" s="11">
        <v>4.2999999999999997E-2</v>
      </c>
      <c r="G839" s="3">
        <f t="shared" si="28"/>
        <v>1.2866666666666689E-2</v>
      </c>
    </row>
    <row r="840" spans="1:7" hidden="1">
      <c r="A840" s="1">
        <v>1</v>
      </c>
      <c r="B840" s="1" t="s">
        <v>35</v>
      </c>
      <c r="C840" s="11">
        <v>0</v>
      </c>
      <c r="D840" s="11">
        <v>0</v>
      </c>
      <c r="E840" s="2">
        <f t="shared" si="29"/>
        <v>0</v>
      </c>
      <c r="F840" s="11">
        <v>0.21299999999999999</v>
      </c>
      <c r="G840" s="3" t="e">
        <f t="shared" si="28"/>
        <v>#DIV/0!</v>
      </c>
    </row>
    <row r="841" spans="1:7" hidden="1">
      <c r="A841" s="1">
        <v>2</v>
      </c>
      <c r="B841" s="1" t="s">
        <v>35</v>
      </c>
      <c r="C841" s="11">
        <v>20</v>
      </c>
      <c r="D841" s="11">
        <v>19.79</v>
      </c>
      <c r="E841" s="2">
        <f t="shared" si="29"/>
        <v>0.21000000000000085</v>
      </c>
      <c r="F841" s="11">
        <v>0.16800000000000001</v>
      </c>
      <c r="G841" s="3">
        <f t="shared" si="28"/>
        <v>1.8900000000000045E-2</v>
      </c>
    </row>
    <row r="842" spans="1:7" hidden="1">
      <c r="A842" s="1">
        <v>3</v>
      </c>
      <c r="B842" s="1" t="s">
        <v>35</v>
      </c>
      <c r="C842" s="11">
        <v>0</v>
      </c>
      <c r="D842" s="11">
        <v>0</v>
      </c>
      <c r="E842" s="2">
        <f t="shared" si="29"/>
        <v>0</v>
      </c>
      <c r="F842" s="11">
        <v>0.10299999999999999</v>
      </c>
      <c r="G842" s="3" t="e">
        <f t="shared" si="28"/>
        <v>#DIV/0!</v>
      </c>
    </row>
    <row r="843" spans="1:7" hidden="1">
      <c r="A843" s="1">
        <v>4</v>
      </c>
      <c r="B843" s="1" t="s">
        <v>35</v>
      </c>
      <c r="C843" s="11">
        <v>0</v>
      </c>
      <c r="D843" s="11">
        <v>0</v>
      </c>
      <c r="E843" s="2">
        <f t="shared" si="29"/>
        <v>0</v>
      </c>
      <c r="F843" s="11">
        <v>0.21</v>
      </c>
      <c r="G843" s="3" t="e">
        <f t="shared" si="28"/>
        <v>#DIV/0!</v>
      </c>
    </row>
    <row r="844" spans="1:7" hidden="1">
      <c r="A844" s="1">
        <v>5</v>
      </c>
      <c r="B844" s="1" t="s">
        <v>35</v>
      </c>
      <c r="C844" s="11">
        <v>20</v>
      </c>
      <c r="D844" s="11">
        <v>19.760000000000002</v>
      </c>
      <c r="E844" s="2">
        <f t="shared" si="29"/>
        <v>0.23999999999999844</v>
      </c>
      <c r="F844" s="11">
        <v>9.5000000000000001E-2</v>
      </c>
      <c r="G844" s="3">
        <f t="shared" si="28"/>
        <v>1.6749999999999921E-2</v>
      </c>
    </row>
    <row r="845" spans="1:7" hidden="1">
      <c r="A845" s="1">
        <v>6</v>
      </c>
      <c r="B845" s="1" t="s">
        <v>35</v>
      </c>
      <c r="C845" s="11">
        <v>0</v>
      </c>
      <c r="D845" s="11">
        <v>0</v>
      </c>
      <c r="E845" s="2">
        <f t="shared" si="29"/>
        <v>0</v>
      </c>
      <c r="F845" s="11">
        <v>0.182</v>
      </c>
      <c r="G845" s="3" t="e">
        <f t="shared" si="28"/>
        <v>#DIV/0!</v>
      </c>
    </row>
    <row r="846" spans="1:7" hidden="1">
      <c r="A846" s="1">
        <v>7</v>
      </c>
      <c r="B846" s="1" t="s">
        <v>35</v>
      </c>
      <c r="C846" s="11">
        <v>20</v>
      </c>
      <c r="D846" s="11">
        <v>19.7</v>
      </c>
      <c r="E846" s="2">
        <f t="shared" si="29"/>
        <v>0.30000000000000071</v>
      </c>
      <c r="F846" s="11">
        <v>0.107</v>
      </c>
      <c r="G846" s="3">
        <f t="shared" si="28"/>
        <v>2.0350000000000035E-2</v>
      </c>
    </row>
    <row r="847" spans="1:7" hidden="1">
      <c r="A847" s="1">
        <v>10</v>
      </c>
      <c r="B847" s="1" t="s">
        <v>35</v>
      </c>
      <c r="C847" s="11">
        <v>0</v>
      </c>
      <c r="D847" s="11">
        <v>0</v>
      </c>
      <c r="E847" s="2">
        <f t="shared" si="29"/>
        <v>0</v>
      </c>
      <c r="F847" s="11">
        <v>0.20899999999999999</v>
      </c>
      <c r="G847" s="3" t="e">
        <f t="shared" si="28"/>
        <v>#DIV/0!</v>
      </c>
    </row>
    <row r="848" spans="1:7" hidden="1">
      <c r="A848" s="1">
        <v>8</v>
      </c>
      <c r="B848" s="1" t="s">
        <v>35</v>
      </c>
      <c r="C848" s="11">
        <v>0</v>
      </c>
      <c r="D848" s="11">
        <v>0</v>
      </c>
      <c r="E848" s="2">
        <f t="shared" si="29"/>
        <v>0</v>
      </c>
      <c r="F848" s="11">
        <v>0.13700000000000001</v>
      </c>
      <c r="G848" s="3" t="e">
        <f t="shared" si="28"/>
        <v>#DIV/0!</v>
      </c>
    </row>
    <row r="849" spans="1:7" hidden="1">
      <c r="A849" s="1">
        <v>9</v>
      </c>
      <c r="B849" s="1" t="s">
        <v>35</v>
      </c>
      <c r="C849" s="11">
        <v>40</v>
      </c>
      <c r="D849" s="11">
        <v>39.799999999999997</v>
      </c>
      <c r="E849" s="2">
        <f t="shared" si="29"/>
        <v>0.20000000000000284</v>
      </c>
      <c r="F849" s="11">
        <v>0.214</v>
      </c>
      <c r="G849" s="3">
        <f t="shared" si="28"/>
        <v>1.0350000000000071E-2</v>
      </c>
    </row>
    <row r="850" spans="1:7" hidden="1">
      <c r="A850" s="1">
        <v>11</v>
      </c>
      <c r="B850" s="1" t="s">
        <v>35</v>
      </c>
      <c r="C850" s="11">
        <v>0</v>
      </c>
      <c r="D850" s="11">
        <v>0</v>
      </c>
      <c r="E850" s="2">
        <f t="shared" si="29"/>
        <v>0</v>
      </c>
      <c r="F850" s="11">
        <v>0.21</v>
      </c>
      <c r="G850" s="3" t="e">
        <f t="shared" si="28"/>
        <v>#DIV/0!</v>
      </c>
    </row>
    <row r="851" spans="1:7" hidden="1">
      <c r="A851" s="1">
        <v>12</v>
      </c>
      <c r="B851" s="1" t="s">
        <v>35</v>
      </c>
      <c r="C851" s="11">
        <v>0</v>
      </c>
      <c r="D851" s="11">
        <v>0</v>
      </c>
      <c r="E851" s="2">
        <f t="shared" si="29"/>
        <v>0</v>
      </c>
      <c r="F851" s="11">
        <v>0.113</v>
      </c>
      <c r="G851" s="3" t="e">
        <f t="shared" si="28"/>
        <v>#DIV/0!</v>
      </c>
    </row>
    <row r="852" spans="1:7" hidden="1">
      <c r="A852" s="1">
        <v>13</v>
      </c>
      <c r="B852" s="1" t="s">
        <v>35</v>
      </c>
      <c r="C852" s="11">
        <v>0</v>
      </c>
      <c r="D852" s="11">
        <v>0</v>
      </c>
      <c r="E852" s="2">
        <f t="shared" si="29"/>
        <v>0</v>
      </c>
      <c r="F852" s="11">
        <v>0.13</v>
      </c>
      <c r="G852" s="3" t="e">
        <f t="shared" si="28"/>
        <v>#DIV/0!</v>
      </c>
    </row>
    <row r="853" spans="1:7" hidden="1">
      <c r="A853" s="1">
        <v>14</v>
      </c>
      <c r="B853" s="1" t="s">
        <v>35</v>
      </c>
      <c r="C853" s="11">
        <v>0</v>
      </c>
      <c r="D853" s="11">
        <v>0</v>
      </c>
      <c r="E853" s="2">
        <f t="shared" si="29"/>
        <v>0</v>
      </c>
      <c r="F853" s="11">
        <v>0.121</v>
      </c>
      <c r="G853" s="3" t="e">
        <f t="shared" si="28"/>
        <v>#DIV/0!</v>
      </c>
    </row>
    <row r="854" spans="1:7" hidden="1">
      <c r="A854" s="1">
        <v>15</v>
      </c>
      <c r="B854" s="1" t="s">
        <v>35</v>
      </c>
      <c r="C854" s="11">
        <v>0</v>
      </c>
      <c r="D854" s="11">
        <v>0</v>
      </c>
      <c r="E854" s="2">
        <f t="shared" si="29"/>
        <v>0</v>
      </c>
      <c r="F854" s="11">
        <v>0.10199999999999999</v>
      </c>
      <c r="G854" s="3" t="e">
        <f t="shared" si="28"/>
        <v>#DIV/0!</v>
      </c>
    </row>
    <row r="855" spans="1:7" hidden="1">
      <c r="A855" s="1">
        <v>16</v>
      </c>
      <c r="B855" s="1" t="s">
        <v>35</v>
      </c>
      <c r="C855" s="11">
        <v>0</v>
      </c>
      <c r="D855" s="11">
        <v>0</v>
      </c>
      <c r="E855" s="2">
        <f t="shared" si="29"/>
        <v>0</v>
      </c>
      <c r="F855" s="11">
        <v>0.108</v>
      </c>
      <c r="G855" s="3" t="e">
        <f t="shared" si="28"/>
        <v>#DIV/0!</v>
      </c>
    </row>
    <row r="856" spans="1:7" hidden="1">
      <c r="A856" s="1">
        <v>17</v>
      </c>
      <c r="B856" s="1" t="s">
        <v>35</v>
      </c>
      <c r="C856" s="11">
        <v>0</v>
      </c>
      <c r="D856" s="11">
        <v>0</v>
      </c>
      <c r="E856" s="2">
        <f t="shared" si="29"/>
        <v>0</v>
      </c>
      <c r="F856" s="11">
        <v>0.121</v>
      </c>
      <c r="G856" s="3" t="e">
        <f t="shared" si="28"/>
        <v>#DIV/0!</v>
      </c>
    </row>
    <row r="857" spans="1:7" hidden="1">
      <c r="A857" s="1">
        <v>18</v>
      </c>
      <c r="B857" s="1" t="s">
        <v>35</v>
      </c>
      <c r="C857" s="11">
        <v>0</v>
      </c>
      <c r="D857" s="11">
        <v>0</v>
      </c>
      <c r="E857" s="2">
        <f t="shared" si="29"/>
        <v>0</v>
      </c>
      <c r="F857" s="11">
        <v>0.16300000000000001</v>
      </c>
      <c r="G857" s="3" t="e">
        <f t="shared" si="28"/>
        <v>#DIV/0!</v>
      </c>
    </row>
    <row r="858" spans="1:7" hidden="1">
      <c r="A858" s="1">
        <v>19</v>
      </c>
      <c r="B858" s="1" t="s">
        <v>35</v>
      </c>
      <c r="C858" s="11">
        <v>0</v>
      </c>
      <c r="D858" s="11">
        <v>0</v>
      </c>
      <c r="E858" s="2">
        <f t="shared" si="29"/>
        <v>0</v>
      </c>
      <c r="F858" s="11">
        <v>0.13800000000000001</v>
      </c>
      <c r="G858" s="3" t="e">
        <f t="shared" si="28"/>
        <v>#DIV/0!</v>
      </c>
    </row>
    <row r="859" spans="1:7" hidden="1">
      <c r="A859" s="1">
        <v>20</v>
      </c>
      <c r="B859" s="1" t="s">
        <v>35</v>
      </c>
      <c r="C859" s="11">
        <v>0</v>
      </c>
      <c r="D859" s="11">
        <v>0</v>
      </c>
      <c r="E859" s="2">
        <f t="shared" si="29"/>
        <v>0</v>
      </c>
      <c r="F859" s="11">
        <v>0.11799999999999999</v>
      </c>
      <c r="G859" s="3" t="e">
        <f t="shared" si="28"/>
        <v>#DIV/0!</v>
      </c>
    </row>
    <row r="860" spans="1:7" hidden="1">
      <c r="A860" s="1">
        <v>21</v>
      </c>
      <c r="B860" s="1" t="s">
        <v>35</v>
      </c>
      <c r="C860" s="11">
        <v>20</v>
      </c>
      <c r="D860" s="11">
        <v>19.77</v>
      </c>
      <c r="E860" s="2">
        <f t="shared" si="29"/>
        <v>0.23000000000000043</v>
      </c>
      <c r="F860" s="11">
        <v>0.222</v>
      </c>
      <c r="G860" s="3">
        <f t="shared" si="28"/>
        <v>2.2600000000000019E-2</v>
      </c>
    </row>
    <row r="861" spans="1:7" hidden="1">
      <c r="A861" s="1">
        <v>22</v>
      </c>
      <c r="B861" s="1" t="s">
        <v>35</v>
      </c>
      <c r="C861" s="11">
        <v>0</v>
      </c>
      <c r="D861" s="11">
        <v>0</v>
      </c>
      <c r="E861" s="2">
        <f t="shared" si="29"/>
        <v>0</v>
      </c>
      <c r="F861" s="11">
        <v>0.29399999999999998</v>
      </c>
      <c r="G861" s="3" t="e">
        <f t="shared" si="28"/>
        <v>#DIV/0!</v>
      </c>
    </row>
    <row r="862" spans="1:7" hidden="1">
      <c r="A862" s="1">
        <v>23</v>
      </c>
      <c r="B862" s="1" t="s">
        <v>35</v>
      </c>
      <c r="C862" s="11">
        <v>0</v>
      </c>
      <c r="D862" s="11">
        <v>0</v>
      </c>
      <c r="E862" s="2">
        <f t="shared" si="29"/>
        <v>0</v>
      </c>
      <c r="F862" s="11">
        <v>0.26600000000000001</v>
      </c>
      <c r="G862" s="3" t="e">
        <f t="shared" si="28"/>
        <v>#DIV/0!</v>
      </c>
    </row>
    <row r="863" spans="1:7" hidden="1">
      <c r="A863" s="1">
        <v>24</v>
      </c>
      <c r="B863" s="1" t="s">
        <v>35</v>
      </c>
      <c r="C863" s="11">
        <v>0</v>
      </c>
      <c r="D863" s="11">
        <v>0</v>
      </c>
      <c r="E863" s="2">
        <f t="shared" si="29"/>
        <v>0</v>
      </c>
      <c r="F863" s="11">
        <v>0.22600000000000001</v>
      </c>
      <c r="G863" s="3" t="e">
        <f t="shared" si="28"/>
        <v>#DIV/0!</v>
      </c>
    </row>
    <row r="864" spans="1:7" hidden="1">
      <c r="A864" s="1">
        <v>25</v>
      </c>
      <c r="B864" s="1" t="s">
        <v>35</v>
      </c>
      <c r="C864" s="11">
        <v>0</v>
      </c>
      <c r="D864" s="11">
        <v>0</v>
      </c>
      <c r="E864" s="2">
        <f t="shared" si="29"/>
        <v>0</v>
      </c>
      <c r="F864" s="11">
        <v>0.29399999999999998</v>
      </c>
      <c r="G864" s="3" t="e">
        <f t="shared" si="28"/>
        <v>#DIV/0!</v>
      </c>
    </row>
    <row r="865" spans="1:7" hidden="1">
      <c r="A865" s="1">
        <v>26</v>
      </c>
      <c r="B865" s="1" t="s">
        <v>35</v>
      </c>
      <c r="C865" s="11">
        <v>20</v>
      </c>
      <c r="D865" s="11">
        <v>19.75</v>
      </c>
      <c r="E865" s="2">
        <f t="shared" si="29"/>
        <v>0.25</v>
      </c>
      <c r="F865" s="11">
        <v>0.14899999999999999</v>
      </c>
      <c r="G865" s="3">
        <f t="shared" si="28"/>
        <v>1.9950000000000002E-2</v>
      </c>
    </row>
    <row r="866" spans="1:7" hidden="1">
      <c r="A866" s="1">
        <v>27</v>
      </c>
      <c r="B866" s="1" t="s">
        <v>35</v>
      </c>
      <c r="C866" s="11">
        <v>20</v>
      </c>
      <c r="D866" s="11">
        <v>19.78</v>
      </c>
      <c r="E866" s="2">
        <f t="shared" si="29"/>
        <v>0.21999999999999886</v>
      </c>
      <c r="F866" s="11">
        <v>0.193</v>
      </c>
      <c r="G866" s="3">
        <f t="shared" si="28"/>
        <v>2.0649999999999943E-2</v>
      </c>
    </row>
    <row r="867" spans="1:7" hidden="1">
      <c r="A867" s="1">
        <v>28</v>
      </c>
      <c r="B867" s="1" t="s">
        <v>35</v>
      </c>
      <c r="C867" s="11">
        <v>0</v>
      </c>
      <c r="D867" s="11">
        <v>0</v>
      </c>
      <c r="E867" s="2">
        <f t="shared" si="29"/>
        <v>0</v>
      </c>
      <c r="F867" s="11">
        <v>0.19800000000000001</v>
      </c>
      <c r="G867" s="3" t="e">
        <f t="shared" si="28"/>
        <v>#DIV/0!</v>
      </c>
    </row>
    <row r="868" spans="1:7" hidden="1">
      <c r="A868" s="1">
        <v>29</v>
      </c>
      <c r="B868" s="1" t="s">
        <v>35</v>
      </c>
      <c r="C868" s="11">
        <v>0</v>
      </c>
      <c r="D868" s="11">
        <v>0</v>
      </c>
      <c r="E868" s="2">
        <f t="shared" si="29"/>
        <v>0</v>
      </c>
      <c r="F868" s="11">
        <v>0.189</v>
      </c>
      <c r="G868" s="3" t="e">
        <f t="shared" si="28"/>
        <v>#DIV/0!</v>
      </c>
    </row>
    <row r="869" spans="1:7" hidden="1">
      <c r="A869" s="1">
        <v>30</v>
      </c>
      <c r="B869" s="1" t="s">
        <v>35</v>
      </c>
      <c r="C869" s="11">
        <v>20</v>
      </c>
      <c r="D869" s="11">
        <v>19.850000000000001</v>
      </c>
      <c r="E869" s="2">
        <f t="shared" si="29"/>
        <v>0.14999999999999858</v>
      </c>
      <c r="F869" s="11">
        <v>0.22</v>
      </c>
      <c r="G869" s="3">
        <f t="shared" ref="G869:G932" si="30">(E869+F869)/C869</f>
        <v>1.8499999999999926E-2</v>
      </c>
    </row>
    <row r="870" spans="1:7" hidden="1">
      <c r="A870" s="1">
        <v>31</v>
      </c>
      <c r="B870" s="1" t="s">
        <v>35</v>
      </c>
      <c r="C870" s="11">
        <v>0</v>
      </c>
      <c r="D870" s="11">
        <v>0</v>
      </c>
      <c r="E870" s="2">
        <f t="shared" si="29"/>
        <v>0</v>
      </c>
      <c r="F870" s="11">
        <v>0.17299999999999999</v>
      </c>
      <c r="G870" s="3" t="e">
        <f t="shared" si="30"/>
        <v>#DIV/0!</v>
      </c>
    </row>
    <row r="871" spans="1:7" hidden="1">
      <c r="A871" s="1">
        <v>1</v>
      </c>
      <c r="B871" s="1" t="s">
        <v>36</v>
      </c>
      <c r="C871" s="11">
        <v>0</v>
      </c>
      <c r="D871" s="11">
        <v>0</v>
      </c>
      <c r="E871" s="2">
        <f t="shared" si="29"/>
        <v>0</v>
      </c>
      <c r="F871" s="11">
        <v>0.23</v>
      </c>
      <c r="G871" s="3" t="e">
        <f t="shared" si="30"/>
        <v>#DIV/0!</v>
      </c>
    </row>
    <row r="872" spans="1:7" hidden="1">
      <c r="A872" s="1">
        <v>2</v>
      </c>
      <c r="B872" s="1" t="s">
        <v>36</v>
      </c>
      <c r="C872" s="11">
        <v>20</v>
      </c>
      <c r="D872" s="11">
        <v>19.899999999999999</v>
      </c>
      <c r="E872" s="2">
        <f t="shared" si="29"/>
        <v>0.10000000000000142</v>
      </c>
      <c r="F872" s="11">
        <v>0.01</v>
      </c>
      <c r="G872" s="3">
        <f t="shared" si="30"/>
        <v>5.5000000000000708E-3</v>
      </c>
    </row>
    <row r="873" spans="1:7" hidden="1">
      <c r="A873" s="1">
        <v>3</v>
      </c>
      <c r="B873" s="1" t="s">
        <v>36</v>
      </c>
      <c r="C873" s="11">
        <v>30.15</v>
      </c>
      <c r="D873" s="11">
        <v>30.02</v>
      </c>
      <c r="E873" s="2">
        <f t="shared" si="29"/>
        <v>0.12999999999999901</v>
      </c>
      <c r="F873" s="11">
        <v>9.5000000000000001E-2</v>
      </c>
      <c r="G873" s="3">
        <f t="shared" si="30"/>
        <v>7.4626865671641469E-3</v>
      </c>
    </row>
    <row r="874" spans="1:7" hidden="1">
      <c r="A874" s="1">
        <v>4</v>
      </c>
      <c r="B874" s="1" t="s">
        <v>36</v>
      </c>
      <c r="C874" s="11">
        <v>0</v>
      </c>
      <c r="D874" s="11">
        <v>0</v>
      </c>
      <c r="E874" s="2">
        <f t="shared" si="29"/>
        <v>0</v>
      </c>
      <c r="F874" s="11">
        <v>0.11</v>
      </c>
      <c r="G874" s="3" t="e">
        <f t="shared" si="30"/>
        <v>#DIV/0!</v>
      </c>
    </row>
    <row r="875" spans="1:7" hidden="1">
      <c r="A875" s="1">
        <v>5</v>
      </c>
      <c r="B875" s="1" t="s">
        <v>36</v>
      </c>
      <c r="C875" s="11">
        <v>0</v>
      </c>
      <c r="D875" s="11">
        <v>0</v>
      </c>
      <c r="E875" s="2">
        <f t="shared" si="29"/>
        <v>0</v>
      </c>
      <c r="F875" s="11">
        <v>0.14499999999999999</v>
      </c>
      <c r="G875" s="3" t="e">
        <f t="shared" si="30"/>
        <v>#DIV/0!</v>
      </c>
    </row>
    <row r="876" spans="1:7" hidden="1">
      <c r="A876" s="1">
        <v>6</v>
      </c>
      <c r="B876" s="1" t="s">
        <v>36</v>
      </c>
      <c r="C876" s="11">
        <v>0</v>
      </c>
      <c r="D876" s="11">
        <v>0</v>
      </c>
      <c r="E876" s="2">
        <f t="shared" si="29"/>
        <v>0</v>
      </c>
      <c r="F876" s="11">
        <v>0.12</v>
      </c>
      <c r="G876" s="3" t="e">
        <f t="shared" si="30"/>
        <v>#DIV/0!</v>
      </c>
    </row>
    <row r="877" spans="1:7" hidden="1">
      <c r="A877" s="1">
        <v>7</v>
      </c>
      <c r="B877" s="1" t="s">
        <v>36</v>
      </c>
      <c r="C877" s="11">
        <v>0</v>
      </c>
      <c r="D877" s="11">
        <v>0</v>
      </c>
      <c r="E877" s="2">
        <f t="shared" si="29"/>
        <v>0</v>
      </c>
      <c r="F877" s="11">
        <v>0.06</v>
      </c>
      <c r="G877" s="3" t="e">
        <f t="shared" si="30"/>
        <v>#DIV/0!</v>
      </c>
    </row>
    <row r="878" spans="1:7" hidden="1">
      <c r="A878" s="1">
        <v>10</v>
      </c>
      <c r="B878" s="1" t="s">
        <v>36</v>
      </c>
      <c r="C878" s="11">
        <v>20</v>
      </c>
      <c r="D878" s="11">
        <v>20</v>
      </c>
      <c r="E878" s="2">
        <f t="shared" si="29"/>
        <v>0</v>
      </c>
      <c r="F878" s="11">
        <v>0</v>
      </c>
      <c r="G878" s="3">
        <f t="shared" si="30"/>
        <v>0</v>
      </c>
    </row>
    <row r="879" spans="1:7" hidden="1">
      <c r="A879" s="1">
        <v>8</v>
      </c>
      <c r="B879" s="1" t="s">
        <v>36</v>
      </c>
      <c r="C879" s="11">
        <v>32.255000000000003</v>
      </c>
      <c r="D879" s="11">
        <v>30.82</v>
      </c>
      <c r="E879" s="2">
        <f t="shared" si="29"/>
        <v>1.4350000000000023</v>
      </c>
      <c r="F879" s="11">
        <v>0</v>
      </c>
      <c r="G879" s="3">
        <f t="shared" si="30"/>
        <v>4.4489226476515334E-2</v>
      </c>
    </row>
    <row r="880" spans="1:7" hidden="1">
      <c r="A880" s="1">
        <v>9</v>
      </c>
      <c r="B880" s="1" t="s">
        <v>36</v>
      </c>
      <c r="C880" s="11">
        <v>20</v>
      </c>
      <c r="D880" s="11">
        <v>20</v>
      </c>
      <c r="E880" s="2">
        <f t="shared" si="29"/>
        <v>0</v>
      </c>
      <c r="F880" s="11">
        <v>0.01</v>
      </c>
      <c r="G880" s="3">
        <f t="shared" si="30"/>
        <v>5.0000000000000001E-4</v>
      </c>
    </row>
    <row r="881" spans="1:7" hidden="1">
      <c r="A881" s="1">
        <v>11</v>
      </c>
      <c r="B881" s="1" t="s">
        <v>36</v>
      </c>
      <c r="C881" s="11">
        <v>40</v>
      </c>
      <c r="D881" s="11">
        <v>39.75</v>
      </c>
      <c r="E881" s="2">
        <f t="shared" si="29"/>
        <v>0.25</v>
      </c>
      <c r="F881" s="11">
        <v>-0.17</v>
      </c>
      <c r="G881" s="3">
        <f t="shared" si="30"/>
        <v>1.9999999999999996E-3</v>
      </c>
    </row>
    <row r="882" spans="1:7" hidden="1">
      <c r="A882" s="1">
        <v>12</v>
      </c>
      <c r="B882" s="1" t="s">
        <v>36</v>
      </c>
      <c r="C882" s="11">
        <v>0</v>
      </c>
      <c r="D882" s="11">
        <v>0</v>
      </c>
      <c r="E882" s="2">
        <f t="shared" si="29"/>
        <v>0</v>
      </c>
      <c r="F882" s="11">
        <v>-6.0449999999999999</v>
      </c>
      <c r="G882" s="3" t="e">
        <f t="shared" si="30"/>
        <v>#DIV/0!</v>
      </c>
    </row>
    <row r="883" spans="1:7" hidden="1">
      <c r="A883" s="1">
        <v>13</v>
      </c>
      <c r="B883" s="1" t="s">
        <v>36</v>
      </c>
      <c r="C883" s="11">
        <v>40</v>
      </c>
      <c r="D883" s="11">
        <v>40.15</v>
      </c>
      <c r="E883" s="2">
        <f t="shared" si="29"/>
        <v>-0.14999999999999858</v>
      </c>
      <c r="F883" s="11">
        <v>0.63</v>
      </c>
      <c r="G883" s="3">
        <f t="shared" si="30"/>
        <v>1.2000000000000035E-2</v>
      </c>
    </row>
    <row r="884" spans="1:7" hidden="1">
      <c r="A884" s="1">
        <v>14</v>
      </c>
      <c r="B884" s="1" t="s">
        <v>36</v>
      </c>
      <c r="C884" s="11">
        <v>7.85</v>
      </c>
      <c r="D884" s="11">
        <v>7.8</v>
      </c>
      <c r="E884" s="2">
        <f t="shared" si="29"/>
        <v>4.9999999999999822E-2</v>
      </c>
      <c r="F884" s="11">
        <v>0</v>
      </c>
      <c r="G884" s="3">
        <f t="shared" si="30"/>
        <v>6.3694267515923345E-3</v>
      </c>
    </row>
    <row r="885" spans="1:7" hidden="1">
      <c r="A885" s="1">
        <v>15</v>
      </c>
      <c r="B885" s="1" t="s">
        <v>36</v>
      </c>
      <c r="C885" s="11">
        <v>0</v>
      </c>
      <c r="D885" s="11">
        <v>0</v>
      </c>
      <c r="E885" s="2">
        <f t="shared" si="29"/>
        <v>0</v>
      </c>
      <c r="F885" s="11">
        <v>0.115</v>
      </c>
      <c r="G885" s="3" t="e">
        <f t="shared" si="30"/>
        <v>#DIV/0!</v>
      </c>
    </row>
    <row r="886" spans="1:7" hidden="1">
      <c r="A886" s="1">
        <v>16</v>
      </c>
      <c r="B886" s="1" t="s">
        <v>36</v>
      </c>
      <c r="C886" s="11">
        <v>0</v>
      </c>
      <c r="D886" s="11">
        <v>0</v>
      </c>
      <c r="E886" s="2">
        <f t="shared" si="29"/>
        <v>0</v>
      </c>
      <c r="F886" s="11">
        <v>0.06</v>
      </c>
      <c r="G886" s="3" t="e">
        <f t="shared" si="30"/>
        <v>#DIV/0!</v>
      </c>
    </row>
    <row r="887" spans="1:7" hidden="1">
      <c r="A887" s="1">
        <v>17</v>
      </c>
      <c r="B887" s="1" t="s">
        <v>36</v>
      </c>
      <c r="C887" s="11">
        <v>0</v>
      </c>
      <c r="D887" s="11">
        <v>0</v>
      </c>
      <c r="E887" s="2">
        <f t="shared" si="29"/>
        <v>0</v>
      </c>
      <c r="F887" s="11">
        <v>0.29499999999999998</v>
      </c>
      <c r="G887" s="3" t="e">
        <f t="shared" si="30"/>
        <v>#DIV/0!</v>
      </c>
    </row>
    <row r="888" spans="1:7" hidden="1">
      <c r="A888" s="1">
        <v>18</v>
      </c>
      <c r="B888" s="1" t="s">
        <v>36</v>
      </c>
      <c r="C888" s="11">
        <v>80</v>
      </c>
      <c r="D888" s="11">
        <v>81.05</v>
      </c>
      <c r="E888" s="2">
        <f t="shared" si="29"/>
        <v>-1.0499999999999972</v>
      </c>
      <c r="F888" s="11">
        <v>0.77500000000000924</v>
      </c>
      <c r="G888" s="3">
        <f t="shared" si="30"/>
        <v>-3.4374999999998491E-3</v>
      </c>
    </row>
    <row r="889" spans="1:7" hidden="1">
      <c r="A889" s="1">
        <v>19</v>
      </c>
      <c r="B889" s="1" t="s">
        <v>36</v>
      </c>
      <c r="C889" s="11">
        <v>0</v>
      </c>
      <c r="D889" s="11">
        <v>0</v>
      </c>
      <c r="E889" s="2">
        <f t="shared" si="29"/>
        <v>0</v>
      </c>
      <c r="F889" s="11">
        <v>0.34499999999999997</v>
      </c>
      <c r="G889" s="3" t="e">
        <f t="shared" si="30"/>
        <v>#DIV/0!</v>
      </c>
    </row>
    <row r="890" spans="1:7" hidden="1">
      <c r="A890" s="1">
        <v>20</v>
      </c>
      <c r="B890" s="1" t="s">
        <v>36</v>
      </c>
      <c r="C890" s="11">
        <v>20</v>
      </c>
      <c r="D890" s="11">
        <v>20</v>
      </c>
      <c r="E890" s="2">
        <f t="shared" si="29"/>
        <v>0</v>
      </c>
      <c r="F890" s="11">
        <v>0.19</v>
      </c>
      <c r="G890" s="3">
        <f t="shared" si="30"/>
        <v>9.4999999999999998E-3</v>
      </c>
    </row>
    <row r="891" spans="1:7" hidden="1">
      <c r="A891" s="1">
        <v>21</v>
      </c>
      <c r="B891" s="1" t="s">
        <v>36</v>
      </c>
      <c r="C891" s="11">
        <v>0</v>
      </c>
      <c r="D891" s="11">
        <v>0</v>
      </c>
      <c r="E891" s="2">
        <f t="shared" si="29"/>
        <v>0</v>
      </c>
      <c r="F891" s="11">
        <v>0.20499999999999999</v>
      </c>
      <c r="G891" s="3" t="e">
        <f t="shared" si="30"/>
        <v>#DIV/0!</v>
      </c>
    </row>
    <row r="892" spans="1:7" hidden="1">
      <c r="A892" s="1">
        <v>22</v>
      </c>
      <c r="B892" s="1" t="s">
        <v>36</v>
      </c>
      <c r="C892" s="11">
        <v>20</v>
      </c>
      <c r="D892" s="11">
        <v>20.05</v>
      </c>
      <c r="E892" s="2">
        <f t="shared" si="29"/>
        <v>-5.0000000000000711E-2</v>
      </c>
      <c r="F892" s="11">
        <v>2.6249999999999964</v>
      </c>
      <c r="G892" s="3">
        <f t="shared" si="30"/>
        <v>0.12874999999999978</v>
      </c>
    </row>
    <row r="893" spans="1:7" hidden="1">
      <c r="A893" s="1">
        <v>23</v>
      </c>
      <c r="B893" s="1" t="s">
        <v>36</v>
      </c>
      <c r="C893" s="11">
        <v>0</v>
      </c>
      <c r="D893" s="11">
        <v>0</v>
      </c>
      <c r="E893" s="2">
        <f t="shared" si="29"/>
        <v>0</v>
      </c>
      <c r="F893" s="11">
        <v>0</v>
      </c>
      <c r="G893" s="3" t="e">
        <f t="shared" si="30"/>
        <v>#DIV/0!</v>
      </c>
    </row>
    <row r="894" spans="1:7" hidden="1">
      <c r="A894" s="1">
        <v>24</v>
      </c>
      <c r="B894" s="1" t="s">
        <v>36</v>
      </c>
      <c r="C894" s="11">
        <v>25</v>
      </c>
      <c r="D894" s="11">
        <v>24.95</v>
      </c>
      <c r="E894" s="2">
        <f t="shared" si="29"/>
        <v>5.0000000000000711E-2</v>
      </c>
      <c r="F894" s="11">
        <v>0.255</v>
      </c>
      <c r="G894" s="3">
        <f t="shared" si="30"/>
        <v>1.2200000000000029E-2</v>
      </c>
    </row>
    <row r="895" spans="1:7" hidden="1">
      <c r="A895" s="1">
        <v>25</v>
      </c>
      <c r="B895" s="1" t="s">
        <v>36</v>
      </c>
      <c r="C895" s="11">
        <v>0</v>
      </c>
      <c r="D895" s="11">
        <v>0</v>
      </c>
      <c r="E895" s="2">
        <f t="shared" si="29"/>
        <v>0</v>
      </c>
      <c r="F895" s="11">
        <v>0.19500000000000001</v>
      </c>
      <c r="G895" s="3" t="e">
        <f t="shared" si="30"/>
        <v>#DIV/0!</v>
      </c>
    </row>
    <row r="896" spans="1:7" hidden="1">
      <c r="A896" s="1">
        <v>26</v>
      </c>
      <c r="B896" s="1" t="s">
        <v>36</v>
      </c>
      <c r="C896" s="11">
        <v>25</v>
      </c>
      <c r="D896" s="11">
        <v>24.97</v>
      </c>
      <c r="E896" s="2">
        <f t="shared" si="29"/>
        <v>3.0000000000001137E-2</v>
      </c>
      <c r="F896" s="11">
        <v>0.215</v>
      </c>
      <c r="G896" s="3">
        <f t="shared" si="30"/>
        <v>9.8000000000000448E-3</v>
      </c>
    </row>
    <row r="897" spans="1:7" hidden="1">
      <c r="A897" s="1">
        <v>27</v>
      </c>
      <c r="B897" s="1" t="s">
        <v>36</v>
      </c>
      <c r="C897" s="11">
        <v>20</v>
      </c>
      <c r="D897" s="11">
        <v>19.899999999999999</v>
      </c>
      <c r="E897" s="2">
        <f t="shared" si="29"/>
        <v>0.10000000000000142</v>
      </c>
      <c r="F897" s="11">
        <v>0.245</v>
      </c>
      <c r="G897" s="3">
        <f t="shared" si="30"/>
        <v>1.7250000000000071E-2</v>
      </c>
    </row>
    <row r="898" spans="1:7" hidden="1">
      <c r="A898" s="1">
        <v>28</v>
      </c>
      <c r="B898" s="1" t="s">
        <v>36</v>
      </c>
      <c r="C898" s="11">
        <v>20</v>
      </c>
      <c r="D898" s="11">
        <v>19.95</v>
      </c>
      <c r="E898" s="2">
        <f t="shared" si="29"/>
        <v>5.0000000000000711E-2</v>
      </c>
      <c r="F898" s="11">
        <v>0.27500000000000002</v>
      </c>
      <c r="G898" s="3">
        <f t="shared" si="30"/>
        <v>1.6250000000000035E-2</v>
      </c>
    </row>
    <row r="899" spans="1:7" hidden="1">
      <c r="A899" s="1">
        <v>29</v>
      </c>
      <c r="B899" s="1" t="s">
        <v>36</v>
      </c>
      <c r="C899" s="11">
        <v>20</v>
      </c>
      <c r="D899" s="11">
        <v>20</v>
      </c>
      <c r="E899" s="2">
        <f t="shared" si="29"/>
        <v>0</v>
      </c>
      <c r="F899" s="11">
        <v>0.19</v>
      </c>
      <c r="G899" s="3">
        <f t="shared" si="30"/>
        <v>9.4999999999999998E-3</v>
      </c>
    </row>
    <row r="900" spans="1:7" hidden="1">
      <c r="A900" s="1">
        <v>30</v>
      </c>
      <c r="B900" s="1" t="s">
        <v>36</v>
      </c>
      <c r="C900" s="11">
        <v>0</v>
      </c>
      <c r="D900" s="11">
        <v>0</v>
      </c>
      <c r="E900" s="2">
        <f t="shared" ref="E900:E963" si="31">C900-D900</f>
        <v>0</v>
      </c>
      <c r="F900" s="11">
        <v>3.5000000000000003E-2</v>
      </c>
      <c r="G900" s="3" t="e">
        <f t="shared" si="30"/>
        <v>#DIV/0!</v>
      </c>
    </row>
    <row r="901" spans="1:7" hidden="1">
      <c r="A901" s="1">
        <v>31</v>
      </c>
      <c r="B901" s="1" t="s">
        <v>36</v>
      </c>
      <c r="C901" s="11">
        <v>20</v>
      </c>
      <c r="D901" s="11">
        <v>20.05</v>
      </c>
      <c r="E901" s="2">
        <f t="shared" si="31"/>
        <v>-5.0000000000000711E-2</v>
      </c>
      <c r="F901" s="11">
        <v>0.17</v>
      </c>
      <c r="G901" s="3">
        <f t="shared" si="30"/>
        <v>5.9999999999999654E-3</v>
      </c>
    </row>
    <row r="902" spans="1:7" hidden="1">
      <c r="A902" s="1">
        <v>1</v>
      </c>
      <c r="B902" s="1" t="s">
        <v>37</v>
      </c>
      <c r="C902" s="11">
        <v>0</v>
      </c>
      <c r="D902" s="11">
        <v>0</v>
      </c>
      <c r="E902" s="2">
        <f t="shared" si="31"/>
        <v>0</v>
      </c>
      <c r="F902" s="11">
        <v>0</v>
      </c>
      <c r="G902" s="3" t="e">
        <f t="shared" si="30"/>
        <v>#DIV/0!</v>
      </c>
    </row>
    <row r="903" spans="1:7" hidden="1">
      <c r="A903" s="1">
        <v>2</v>
      </c>
      <c r="B903" s="1" t="s">
        <v>37</v>
      </c>
      <c r="C903" s="11">
        <v>0</v>
      </c>
      <c r="D903" s="11">
        <v>0</v>
      </c>
      <c r="E903" s="2">
        <f t="shared" si="31"/>
        <v>0</v>
      </c>
      <c r="F903" s="11">
        <v>0</v>
      </c>
      <c r="G903" s="3" t="e">
        <f t="shared" si="30"/>
        <v>#DIV/0!</v>
      </c>
    </row>
    <row r="904" spans="1:7" hidden="1">
      <c r="A904" s="1">
        <v>3</v>
      </c>
      <c r="B904" s="1" t="s">
        <v>37</v>
      </c>
      <c r="C904" s="11">
        <v>20</v>
      </c>
      <c r="D904" s="11">
        <v>19.899999999999999</v>
      </c>
      <c r="E904" s="2">
        <f t="shared" si="31"/>
        <v>0.10000000000000142</v>
      </c>
      <c r="F904" s="11">
        <v>0.313</v>
      </c>
      <c r="G904" s="3">
        <f t="shared" si="30"/>
        <v>2.0650000000000071E-2</v>
      </c>
    </row>
    <row r="905" spans="1:7" hidden="1">
      <c r="A905" s="1">
        <v>4</v>
      </c>
      <c r="B905" s="1" t="s">
        <v>37</v>
      </c>
      <c r="C905" s="11">
        <v>0</v>
      </c>
      <c r="D905" s="11">
        <v>0</v>
      </c>
      <c r="E905" s="2">
        <f t="shared" si="31"/>
        <v>0</v>
      </c>
      <c r="F905" s="11">
        <v>0.29799999999999999</v>
      </c>
      <c r="G905" s="3" t="e">
        <f t="shared" si="30"/>
        <v>#DIV/0!</v>
      </c>
    </row>
    <row r="906" spans="1:7" hidden="1">
      <c r="A906" s="1">
        <v>5</v>
      </c>
      <c r="B906" s="1" t="s">
        <v>37</v>
      </c>
      <c r="C906" s="11">
        <v>20</v>
      </c>
      <c r="D906" s="11">
        <v>19.97</v>
      </c>
      <c r="E906" s="2">
        <f t="shared" si="31"/>
        <v>3.0000000000001137E-2</v>
      </c>
      <c r="F906" s="11">
        <v>9.5000000000000001E-2</v>
      </c>
      <c r="G906" s="3">
        <f t="shared" si="30"/>
        <v>6.2500000000000567E-3</v>
      </c>
    </row>
    <row r="907" spans="1:7" hidden="1">
      <c r="A907" s="1">
        <v>6</v>
      </c>
      <c r="B907" s="1" t="s">
        <v>37</v>
      </c>
      <c r="C907" s="11">
        <v>0</v>
      </c>
      <c r="D907" s="11">
        <v>0</v>
      </c>
      <c r="E907" s="2">
        <f t="shared" si="31"/>
        <v>0</v>
      </c>
      <c r="F907" s="11">
        <v>0</v>
      </c>
      <c r="G907" s="3" t="e">
        <f t="shared" si="30"/>
        <v>#DIV/0!</v>
      </c>
    </row>
    <row r="908" spans="1:7" hidden="1">
      <c r="A908" s="1">
        <v>7</v>
      </c>
      <c r="B908" s="1" t="s">
        <v>37</v>
      </c>
      <c r="C908" s="11">
        <v>0</v>
      </c>
      <c r="D908" s="11">
        <v>0</v>
      </c>
      <c r="E908" s="2">
        <f t="shared" si="31"/>
        <v>0</v>
      </c>
      <c r="F908" s="11">
        <v>0</v>
      </c>
      <c r="G908" s="3" t="e">
        <f t="shared" si="30"/>
        <v>#DIV/0!</v>
      </c>
    </row>
    <row r="909" spans="1:7" hidden="1">
      <c r="A909" s="1">
        <v>10</v>
      </c>
      <c r="B909" s="1" t="s">
        <v>37</v>
      </c>
      <c r="C909" s="11">
        <v>0</v>
      </c>
      <c r="D909" s="11">
        <v>0</v>
      </c>
      <c r="E909" s="2">
        <f t="shared" si="31"/>
        <v>0</v>
      </c>
      <c r="F909" s="11">
        <v>0</v>
      </c>
      <c r="G909" s="3" t="e">
        <f t="shared" si="30"/>
        <v>#DIV/0!</v>
      </c>
    </row>
    <row r="910" spans="1:7" hidden="1">
      <c r="A910" s="1">
        <v>8</v>
      </c>
      <c r="B910" s="1" t="s">
        <v>37</v>
      </c>
      <c r="C910" s="11">
        <v>0</v>
      </c>
      <c r="D910" s="11">
        <v>0</v>
      </c>
      <c r="E910" s="2">
        <f t="shared" si="31"/>
        <v>0</v>
      </c>
      <c r="F910" s="11">
        <v>0</v>
      </c>
      <c r="G910" s="3" t="e">
        <f t="shared" si="30"/>
        <v>#DIV/0!</v>
      </c>
    </row>
    <row r="911" spans="1:7" hidden="1">
      <c r="A911" s="1">
        <v>9</v>
      </c>
      <c r="B911" s="1" t="s">
        <v>37</v>
      </c>
      <c r="C911" s="11">
        <v>0</v>
      </c>
      <c r="D911" s="11">
        <v>0</v>
      </c>
      <c r="E911" s="2">
        <f t="shared" si="31"/>
        <v>0</v>
      </c>
      <c r="F911" s="11">
        <v>0</v>
      </c>
      <c r="G911" s="3" t="e">
        <f t="shared" si="30"/>
        <v>#DIV/0!</v>
      </c>
    </row>
    <row r="912" spans="1:7" hidden="1">
      <c r="A912" s="1">
        <v>11</v>
      </c>
      <c r="B912" s="1" t="s">
        <v>37</v>
      </c>
      <c r="C912" s="11">
        <v>20</v>
      </c>
      <c r="D912" s="11">
        <v>19.89</v>
      </c>
      <c r="E912" s="2">
        <f t="shared" si="31"/>
        <v>0.10999999999999943</v>
      </c>
      <c r="F912" s="11">
        <v>0</v>
      </c>
      <c r="G912" s="3">
        <f t="shared" si="30"/>
        <v>5.4999999999999719E-3</v>
      </c>
    </row>
    <row r="913" spans="1:7" hidden="1">
      <c r="A913" s="1">
        <v>12</v>
      </c>
      <c r="B913" s="1" t="s">
        <v>37</v>
      </c>
      <c r="C913" s="11">
        <v>0</v>
      </c>
      <c r="D913" s="11">
        <v>0</v>
      </c>
      <c r="E913" s="2">
        <f t="shared" si="31"/>
        <v>0</v>
      </c>
      <c r="F913" s="11">
        <v>0</v>
      </c>
      <c r="G913" s="3" t="e">
        <f t="shared" si="30"/>
        <v>#DIV/0!</v>
      </c>
    </row>
    <row r="914" spans="1:7" hidden="1">
      <c r="A914" s="1">
        <v>13</v>
      </c>
      <c r="B914" s="1" t="s">
        <v>37</v>
      </c>
      <c r="C914" s="11">
        <v>0</v>
      </c>
      <c r="D914" s="11">
        <v>0</v>
      </c>
      <c r="E914" s="2">
        <f t="shared" si="31"/>
        <v>0</v>
      </c>
      <c r="F914" s="11">
        <v>0</v>
      </c>
      <c r="G914" s="3" t="e">
        <f t="shared" si="30"/>
        <v>#DIV/0!</v>
      </c>
    </row>
    <row r="915" spans="1:7" hidden="1">
      <c r="A915" s="1">
        <v>14</v>
      </c>
      <c r="B915" s="1" t="s">
        <v>37</v>
      </c>
      <c r="C915" s="11">
        <v>20</v>
      </c>
      <c r="D915" s="11">
        <v>19.899999999999999</v>
      </c>
      <c r="E915" s="2">
        <f t="shared" si="31"/>
        <v>0.10000000000000142</v>
      </c>
      <c r="F915" s="11">
        <v>0</v>
      </c>
      <c r="G915" s="3">
        <f t="shared" si="30"/>
        <v>5.0000000000000712E-3</v>
      </c>
    </row>
    <row r="916" spans="1:7" hidden="1">
      <c r="A916" s="1">
        <v>15</v>
      </c>
      <c r="B916" s="1" t="s">
        <v>37</v>
      </c>
      <c r="C916" s="11">
        <v>0</v>
      </c>
      <c r="D916" s="11">
        <v>0</v>
      </c>
      <c r="E916" s="2">
        <f t="shared" si="31"/>
        <v>0</v>
      </c>
      <c r="F916" s="11">
        <v>0</v>
      </c>
      <c r="G916" s="3" t="e">
        <f t="shared" si="30"/>
        <v>#DIV/0!</v>
      </c>
    </row>
    <row r="917" spans="1:7" hidden="1">
      <c r="A917" s="1">
        <v>16</v>
      </c>
      <c r="B917" s="1" t="s">
        <v>37</v>
      </c>
      <c r="C917" s="11">
        <v>20</v>
      </c>
      <c r="D917" s="11">
        <v>19.95</v>
      </c>
      <c r="E917" s="2">
        <f t="shared" si="31"/>
        <v>5.0000000000000711E-2</v>
      </c>
      <c r="F917" s="11">
        <v>0</v>
      </c>
      <c r="G917" s="3">
        <f t="shared" si="30"/>
        <v>2.5000000000000356E-3</v>
      </c>
    </row>
    <row r="918" spans="1:7" hidden="1">
      <c r="A918" s="1">
        <v>17</v>
      </c>
      <c r="B918" s="1" t="s">
        <v>37</v>
      </c>
      <c r="C918" s="11">
        <v>0</v>
      </c>
      <c r="D918" s="11">
        <v>0</v>
      </c>
      <c r="E918" s="2">
        <f t="shared" si="31"/>
        <v>0</v>
      </c>
      <c r="F918" s="11">
        <v>0</v>
      </c>
      <c r="G918" s="3" t="e">
        <f t="shared" si="30"/>
        <v>#DIV/0!</v>
      </c>
    </row>
    <row r="919" spans="1:7" hidden="1">
      <c r="A919" s="1">
        <v>18</v>
      </c>
      <c r="B919" s="1" t="s">
        <v>37</v>
      </c>
      <c r="C919" s="11">
        <v>0</v>
      </c>
      <c r="D919" s="11">
        <v>0</v>
      </c>
      <c r="E919" s="2">
        <f t="shared" si="31"/>
        <v>0</v>
      </c>
      <c r="F919" s="11">
        <v>0</v>
      </c>
      <c r="G919" s="3" t="e">
        <f t="shared" si="30"/>
        <v>#DIV/0!</v>
      </c>
    </row>
    <row r="920" spans="1:7" hidden="1">
      <c r="A920" s="1">
        <v>19</v>
      </c>
      <c r="B920" s="1" t="s">
        <v>37</v>
      </c>
      <c r="C920" s="11">
        <v>25</v>
      </c>
      <c r="D920" s="11">
        <v>24.91</v>
      </c>
      <c r="E920" s="2">
        <f t="shared" si="31"/>
        <v>8.9999999999999858E-2</v>
      </c>
      <c r="F920" s="11">
        <v>0.25900000000000001</v>
      </c>
      <c r="G920" s="3">
        <f t="shared" si="30"/>
        <v>1.3959999999999995E-2</v>
      </c>
    </row>
    <row r="921" spans="1:7" hidden="1">
      <c r="A921" s="1">
        <v>20</v>
      </c>
      <c r="B921" s="1" t="s">
        <v>37</v>
      </c>
      <c r="C921" s="11">
        <v>0</v>
      </c>
      <c r="D921" s="11">
        <v>0</v>
      </c>
      <c r="E921" s="2">
        <f t="shared" si="31"/>
        <v>0</v>
      </c>
      <c r="F921" s="11">
        <v>0</v>
      </c>
      <c r="G921" s="3" t="e">
        <f t="shared" si="30"/>
        <v>#DIV/0!</v>
      </c>
    </row>
    <row r="922" spans="1:7" hidden="1">
      <c r="A922" s="1">
        <v>21</v>
      </c>
      <c r="B922" s="1" t="s">
        <v>37</v>
      </c>
      <c r="C922" s="11">
        <v>0</v>
      </c>
      <c r="D922" s="11">
        <v>0</v>
      </c>
      <c r="E922" s="2">
        <f t="shared" si="31"/>
        <v>0</v>
      </c>
      <c r="F922" s="11">
        <v>0.29499999999999998</v>
      </c>
      <c r="G922" s="3" t="e">
        <f t="shared" si="30"/>
        <v>#DIV/0!</v>
      </c>
    </row>
    <row r="923" spans="1:7" hidden="1">
      <c r="A923" s="1">
        <v>22</v>
      </c>
      <c r="B923" s="1" t="s">
        <v>37</v>
      </c>
      <c r="C923" s="11">
        <v>0</v>
      </c>
      <c r="D923" s="11">
        <v>0</v>
      </c>
      <c r="E923" s="2">
        <f t="shared" si="31"/>
        <v>0</v>
      </c>
      <c r="F923" s="11">
        <v>0</v>
      </c>
      <c r="G923" s="3" t="e">
        <f t="shared" si="30"/>
        <v>#DIV/0!</v>
      </c>
    </row>
    <row r="924" spans="1:7" hidden="1">
      <c r="A924" s="1">
        <v>23</v>
      </c>
      <c r="B924" s="1" t="s">
        <v>37</v>
      </c>
      <c r="C924" s="11">
        <v>0</v>
      </c>
      <c r="D924" s="11">
        <v>0</v>
      </c>
      <c r="E924" s="2">
        <f t="shared" si="31"/>
        <v>0</v>
      </c>
      <c r="F924" s="11">
        <v>0</v>
      </c>
      <c r="G924" s="3" t="e">
        <f t="shared" si="30"/>
        <v>#DIV/0!</v>
      </c>
    </row>
    <row r="925" spans="1:7" hidden="1">
      <c r="A925" s="1">
        <v>24</v>
      </c>
      <c r="B925" s="1" t="s">
        <v>37</v>
      </c>
      <c r="C925" s="11">
        <v>0</v>
      </c>
      <c r="D925" s="11">
        <v>0</v>
      </c>
      <c r="E925" s="2">
        <f t="shared" si="31"/>
        <v>0</v>
      </c>
      <c r="F925" s="11">
        <v>0</v>
      </c>
      <c r="G925" s="3" t="e">
        <f t="shared" si="30"/>
        <v>#DIV/0!</v>
      </c>
    </row>
    <row r="926" spans="1:7" hidden="1">
      <c r="A926" s="1">
        <v>25</v>
      </c>
      <c r="B926" s="1" t="s">
        <v>37</v>
      </c>
      <c r="C926" s="11">
        <v>0</v>
      </c>
      <c r="D926" s="11">
        <v>0</v>
      </c>
      <c r="E926" s="2">
        <f t="shared" si="31"/>
        <v>0</v>
      </c>
      <c r="F926" s="11">
        <v>0.16200000000000001</v>
      </c>
      <c r="G926" s="3" t="e">
        <f t="shared" si="30"/>
        <v>#DIV/0!</v>
      </c>
    </row>
    <row r="927" spans="1:7" hidden="1">
      <c r="A927" s="1">
        <v>26</v>
      </c>
      <c r="B927" s="1" t="s">
        <v>37</v>
      </c>
      <c r="C927" s="11">
        <v>0</v>
      </c>
      <c r="D927" s="11">
        <v>0</v>
      </c>
      <c r="E927" s="2">
        <f t="shared" si="31"/>
        <v>0</v>
      </c>
      <c r="F927" s="11">
        <v>0</v>
      </c>
      <c r="G927" s="3" t="e">
        <f t="shared" si="30"/>
        <v>#DIV/0!</v>
      </c>
    </row>
    <row r="928" spans="1:7" hidden="1">
      <c r="A928" s="1">
        <v>27</v>
      </c>
      <c r="B928" s="1" t="s">
        <v>37</v>
      </c>
      <c r="C928" s="11">
        <v>0</v>
      </c>
      <c r="D928" s="11">
        <v>0</v>
      </c>
      <c r="E928" s="2">
        <f t="shared" si="31"/>
        <v>0</v>
      </c>
      <c r="F928" s="11">
        <v>0.43099999999999999</v>
      </c>
      <c r="G928" s="3" t="e">
        <f t="shared" si="30"/>
        <v>#DIV/0!</v>
      </c>
    </row>
    <row r="929" spans="1:7" hidden="1">
      <c r="A929" s="1">
        <v>28</v>
      </c>
      <c r="B929" s="1" t="s">
        <v>37</v>
      </c>
      <c r="C929" s="11">
        <v>0</v>
      </c>
      <c r="D929" s="11">
        <v>0</v>
      </c>
      <c r="E929" s="2">
        <f t="shared" si="31"/>
        <v>0</v>
      </c>
      <c r="F929" s="11">
        <v>0</v>
      </c>
      <c r="G929" s="3" t="e">
        <f t="shared" si="30"/>
        <v>#DIV/0!</v>
      </c>
    </row>
    <row r="930" spans="1:7" hidden="1">
      <c r="A930" s="1">
        <v>29</v>
      </c>
      <c r="B930" s="1" t="s">
        <v>37</v>
      </c>
      <c r="C930" s="11">
        <v>0</v>
      </c>
      <c r="D930" s="11">
        <v>0</v>
      </c>
      <c r="E930" s="2">
        <f t="shared" si="31"/>
        <v>0</v>
      </c>
      <c r="F930" s="11">
        <v>0</v>
      </c>
      <c r="G930" s="3" t="e">
        <f t="shared" si="30"/>
        <v>#DIV/0!</v>
      </c>
    </row>
    <row r="931" spans="1:7" hidden="1">
      <c r="A931" s="1">
        <v>30</v>
      </c>
      <c r="B931" s="1" t="s">
        <v>37</v>
      </c>
      <c r="C931" s="11">
        <v>25</v>
      </c>
      <c r="D931" s="11">
        <v>24.94</v>
      </c>
      <c r="E931" s="2">
        <f t="shared" si="31"/>
        <v>5.9999999999998721E-2</v>
      </c>
      <c r="F931" s="11">
        <v>0.29499999999999998</v>
      </c>
      <c r="G931" s="3">
        <f t="shared" si="30"/>
        <v>1.4199999999999949E-2</v>
      </c>
    </row>
    <row r="932" spans="1:7" hidden="1">
      <c r="A932" s="1">
        <v>31</v>
      </c>
      <c r="B932" s="1" t="s">
        <v>37</v>
      </c>
      <c r="C932" s="11">
        <v>0</v>
      </c>
      <c r="D932" s="11">
        <v>0</v>
      </c>
      <c r="E932" s="2">
        <f t="shared" si="31"/>
        <v>0</v>
      </c>
      <c r="F932" s="11">
        <v>0</v>
      </c>
      <c r="G932" s="3" t="e">
        <f t="shared" si="30"/>
        <v>#DIV/0!</v>
      </c>
    </row>
    <row r="933" spans="1:7" hidden="1">
      <c r="A933" s="1">
        <v>1</v>
      </c>
      <c r="B933" s="1" t="s">
        <v>38</v>
      </c>
      <c r="C933" s="11">
        <v>0</v>
      </c>
      <c r="D933" s="11">
        <v>0</v>
      </c>
      <c r="E933" s="2">
        <f t="shared" si="31"/>
        <v>0</v>
      </c>
      <c r="F933" s="11">
        <v>0.245</v>
      </c>
      <c r="G933" s="3" t="e">
        <f t="shared" ref="G933:G1120" si="32">(E933+F933)/C933</f>
        <v>#DIV/0!</v>
      </c>
    </row>
    <row r="934" spans="1:7" hidden="1">
      <c r="A934" s="1">
        <v>2</v>
      </c>
      <c r="B934" s="1" t="s">
        <v>38</v>
      </c>
      <c r="C934" s="11">
        <v>0</v>
      </c>
      <c r="D934" s="11">
        <v>0</v>
      </c>
      <c r="E934" s="2">
        <f t="shared" si="31"/>
        <v>0</v>
      </c>
      <c r="F934" s="11">
        <v>0.122</v>
      </c>
      <c r="G934" s="3" t="e">
        <f t="shared" si="32"/>
        <v>#DIV/0!</v>
      </c>
    </row>
    <row r="935" spans="1:7" hidden="1">
      <c r="A935" s="1">
        <v>3</v>
      </c>
      <c r="B935" s="1" t="s">
        <v>38</v>
      </c>
      <c r="C935" s="11">
        <v>0</v>
      </c>
      <c r="D935" s="11">
        <v>0</v>
      </c>
      <c r="E935" s="2">
        <f t="shared" si="31"/>
        <v>0</v>
      </c>
      <c r="F935" s="11">
        <v>0.155</v>
      </c>
      <c r="G935" s="3" t="e">
        <f t="shared" si="32"/>
        <v>#DIV/0!</v>
      </c>
    </row>
    <row r="936" spans="1:7" hidden="1">
      <c r="A936" s="1">
        <v>4</v>
      </c>
      <c r="B936" s="1" t="s">
        <v>38</v>
      </c>
      <c r="C936" s="11">
        <v>0</v>
      </c>
      <c r="D936" s="11">
        <v>0</v>
      </c>
      <c r="E936" s="2">
        <f t="shared" si="31"/>
        <v>0</v>
      </c>
      <c r="F936" s="11">
        <v>0.22</v>
      </c>
      <c r="G936" s="3" t="e">
        <f t="shared" si="32"/>
        <v>#DIV/0!</v>
      </c>
    </row>
    <row r="937" spans="1:7" hidden="1">
      <c r="A937" s="1">
        <v>5</v>
      </c>
      <c r="B937" s="1" t="s">
        <v>38</v>
      </c>
      <c r="C937" s="11">
        <v>20</v>
      </c>
      <c r="D937" s="11">
        <v>19.739999999999998</v>
      </c>
      <c r="E937" s="2">
        <f t="shared" si="31"/>
        <v>0.26000000000000156</v>
      </c>
      <c r="F937" s="11">
        <v>0.09</v>
      </c>
      <c r="G937" s="3">
        <f t="shared" si="32"/>
        <v>1.7500000000000078E-2</v>
      </c>
    </row>
    <row r="938" spans="1:7" hidden="1">
      <c r="A938" s="1">
        <v>6</v>
      </c>
      <c r="B938" s="1" t="s">
        <v>38</v>
      </c>
      <c r="C938" s="11">
        <v>0</v>
      </c>
      <c r="D938" s="11">
        <v>0</v>
      </c>
      <c r="E938" s="2">
        <f t="shared" si="31"/>
        <v>0</v>
      </c>
      <c r="F938" s="11">
        <v>0.28000000000000003</v>
      </c>
      <c r="G938" s="3" t="e">
        <f t="shared" si="32"/>
        <v>#DIV/0!</v>
      </c>
    </row>
    <row r="939" spans="1:7" hidden="1">
      <c r="A939" s="1">
        <v>7</v>
      </c>
      <c r="B939" s="1" t="s">
        <v>38</v>
      </c>
      <c r="C939" s="11">
        <v>0</v>
      </c>
      <c r="D939" s="11">
        <v>0</v>
      </c>
      <c r="E939" s="2">
        <f t="shared" si="31"/>
        <v>0</v>
      </c>
      <c r="F939" s="11">
        <v>0.20799999999999999</v>
      </c>
      <c r="G939" s="3" t="e">
        <f t="shared" si="32"/>
        <v>#DIV/0!</v>
      </c>
    </row>
    <row r="940" spans="1:7" hidden="1">
      <c r="A940" s="1">
        <v>10</v>
      </c>
      <c r="B940" s="1" t="s">
        <v>38</v>
      </c>
      <c r="C940" s="11">
        <v>20</v>
      </c>
      <c r="D940" s="11">
        <v>19.61</v>
      </c>
      <c r="E940" s="2">
        <f t="shared" si="31"/>
        <v>0.39000000000000057</v>
      </c>
      <c r="F940" s="11">
        <v>0.246</v>
      </c>
      <c r="G940" s="3">
        <f t="shared" si="32"/>
        <v>3.180000000000003E-2</v>
      </c>
    </row>
    <row r="941" spans="1:7" hidden="1">
      <c r="A941" s="1">
        <v>8</v>
      </c>
      <c r="B941" s="1" t="s">
        <v>38</v>
      </c>
      <c r="C941" s="11">
        <v>0</v>
      </c>
      <c r="D941" s="11">
        <v>0</v>
      </c>
      <c r="E941" s="2">
        <f t="shared" si="31"/>
        <v>0</v>
      </c>
      <c r="F941" s="11">
        <v>0.105</v>
      </c>
      <c r="G941" s="3" t="e">
        <f t="shared" si="32"/>
        <v>#DIV/0!</v>
      </c>
    </row>
    <row r="942" spans="1:7" hidden="1">
      <c r="A942" s="1">
        <v>9</v>
      </c>
      <c r="B942" s="1" t="s">
        <v>38</v>
      </c>
      <c r="C942" s="11">
        <v>0</v>
      </c>
      <c r="D942" s="11">
        <v>0</v>
      </c>
      <c r="E942" s="2">
        <f t="shared" si="31"/>
        <v>0</v>
      </c>
      <c r="F942" s="11">
        <v>0.217</v>
      </c>
      <c r="G942" s="3" t="e">
        <f t="shared" si="32"/>
        <v>#DIV/0!</v>
      </c>
    </row>
    <row r="943" spans="1:7" hidden="1">
      <c r="A943" s="1">
        <v>11</v>
      </c>
      <c r="B943" s="1" t="s">
        <v>38</v>
      </c>
      <c r="C943" s="11">
        <v>0</v>
      </c>
      <c r="D943" s="11">
        <v>0</v>
      </c>
      <c r="E943" s="2">
        <f t="shared" si="31"/>
        <v>0</v>
      </c>
      <c r="F943" s="11">
        <v>0.113</v>
      </c>
      <c r="G943" s="3" t="e">
        <f t="shared" si="32"/>
        <v>#DIV/0!</v>
      </c>
    </row>
    <row r="944" spans="1:7" hidden="1">
      <c r="A944" s="1">
        <v>12</v>
      </c>
      <c r="B944" s="1" t="s">
        <v>38</v>
      </c>
      <c r="C944" s="11">
        <v>0</v>
      </c>
      <c r="D944" s="11">
        <v>0</v>
      </c>
      <c r="E944" s="2">
        <f t="shared" si="31"/>
        <v>0</v>
      </c>
      <c r="F944" s="11">
        <v>0.18</v>
      </c>
      <c r="G944" s="3" t="e">
        <f t="shared" si="32"/>
        <v>#DIV/0!</v>
      </c>
    </row>
    <row r="945" spans="1:7" hidden="1">
      <c r="A945" s="1">
        <v>13</v>
      </c>
      <c r="B945" s="1" t="s">
        <v>38</v>
      </c>
      <c r="C945" s="11">
        <v>0</v>
      </c>
      <c r="D945" s="11">
        <v>0</v>
      </c>
      <c r="E945" s="2">
        <f t="shared" si="31"/>
        <v>0</v>
      </c>
      <c r="F945" s="11">
        <v>8.1000000000000003E-2</v>
      </c>
      <c r="G945" s="3" t="e">
        <f t="shared" si="32"/>
        <v>#DIV/0!</v>
      </c>
    </row>
    <row r="946" spans="1:7" hidden="1">
      <c r="A946" s="1">
        <v>14</v>
      </c>
      <c r="B946" s="1" t="s">
        <v>38</v>
      </c>
      <c r="C946" s="11">
        <v>0</v>
      </c>
      <c r="D946" s="11">
        <v>0</v>
      </c>
      <c r="E946" s="2">
        <f t="shared" si="31"/>
        <v>0</v>
      </c>
      <c r="F946" s="11">
        <v>0.17899999999999999</v>
      </c>
      <c r="G946" s="3" t="e">
        <f t="shared" si="32"/>
        <v>#DIV/0!</v>
      </c>
    </row>
    <row r="947" spans="1:7" hidden="1">
      <c r="A947" s="1">
        <v>15</v>
      </c>
      <c r="B947" s="1" t="s">
        <v>38</v>
      </c>
      <c r="C947" s="11">
        <v>0</v>
      </c>
      <c r="D947" s="11">
        <v>0</v>
      </c>
      <c r="E947" s="2">
        <f t="shared" si="31"/>
        <v>0</v>
      </c>
      <c r="F947" s="11">
        <v>0.121</v>
      </c>
      <c r="G947" s="3" t="e">
        <f t="shared" si="32"/>
        <v>#DIV/0!</v>
      </c>
    </row>
    <row r="948" spans="1:7" hidden="1">
      <c r="A948" s="1">
        <v>16</v>
      </c>
      <c r="B948" s="1" t="s">
        <v>38</v>
      </c>
      <c r="C948" s="11">
        <v>0</v>
      </c>
      <c r="D948" s="11">
        <v>0</v>
      </c>
      <c r="E948" s="2">
        <f t="shared" si="31"/>
        <v>0</v>
      </c>
      <c r="F948" s="11">
        <v>9.0999999999999998E-2</v>
      </c>
      <c r="G948" s="3" t="e">
        <f t="shared" si="32"/>
        <v>#DIV/0!</v>
      </c>
    </row>
    <row r="949" spans="1:7" hidden="1">
      <c r="A949" s="1">
        <v>17</v>
      </c>
      <c r="B949" s="1" t="s">
        <v>38</v>
      </c>
      <c r="C949" s="11">
        <v>0</v>
      </c>
      <c r="D949" s="11">
        <v>0</v>
      </c>
      <c r="E949" s="2">
        <f t="shared" si="31"/>
        <v>0</v>
      </c>
      <c r="F949" s="11">
        <v>0.185</v>
      </c>
      <c r="G949" s="3" t="e">
        <f t="shared" si="32"/>
        <v>#DIV/0!</v>
      </c>
    </row>
    <row r="950" spans="1:7" hidden="1">
      <c r="A950" s="1">
        <v>18</v>
      </c>
      <c r="B950" s="1" t="s">
        <v>38</v>
      </c>
      <c r="C950" s="11">
        <v>0</v>
      </c>
      <c r="D950" s="11">
        <v>0</v>
      </c>
      <c r="E950" s="2">
        <f t="shared" si="31"/>
        <v>0</v>
      </c>
      <c r="F950" s="11">
        <v>0.26500000000000001</v>
      </c>
      <c r="G950" s="3" t="e">
        <f t="shared" si="32"/>
        <v>#DIV/0!</v>
      </c>
    </row>
    <row r="951" spans="1:7" hidden="1">
      <c r="A951" s="1">
        <v>19</v>
      </c>
      <c r="B951" s="1" t="s">
        <v>38</v>
      </c>
      <c r="C951" s="11">
        <v>20</v>
      </c>
      <c r="D951" s="11">
        <v>19.649999999999999</v>
      </c>
      <c r="E951" s="2">
        <f t="shared" si="31"/>
        <v>0.35000000000000142</v>
      </c>
      <c r="F951" s="11">
        <v>0.10299999999999999</v>
      </c>
      <c r="G951" s="3">
        <f t="shared" si="32"/>
        <v>2.2650000000000069E-2</v>
      </c>
    </row>
    <row r="952" spans="1:7" hidden="1">
      <c r="A952" s="1">
        <v>20</v>
      </c>
      <c r="B952" s="1" t="s">
        <v>38</v>
      </c>
      <c r="C952" s="11">
        <v>0</v>
      </c>
      <c r="D952" s="11">
        <v>0</v>
      </c>
      <c r="E952" s="2">
        <f t="shared" si="31"/>
        <v>0</v>
      </c>
      <c r="F952" s="11">
        <v>0.24199999999999999</v>
      </c>
      <c r="G952" s="3" t="e">
        <f t="shared" si="32"/>
        <v>#DIV/0!</v>
      </c>
    </row>
    <row r="953" spans="1:7" hidden="1">
      <c r="A953" s="1">
        <v>21</v>
      </c>
      <c r="B953" s="1" t="s">
        <v>38</v>
      </c>
      <c r="C953" s="11">
        <v>0</v>
      </c>
      <c r="D953" s="11">
        <v>0</v>
      </c>
      <c r="E953" s="2">
        <f t="shared" si="31"/>
        <v>0</v>
      </c>
      <c r="F953" s="11">
        <v>0.17499999999999999</v>
      </c>
      <c r="G953" s="3" t="e">
        <f t="shared" si="32"/>
        <v>#DIV/0!</v>
      </c>
    </row>
    <row r="954" spans="1:7" hidden="1">
      <c r="A954" s="1">
        <v>22</v>
      </c>
      <c r="B954" s="1" t="s">
        <v>38</v>
      </c>
      <c r="C954" s="11">
        <v>0</v>
      </c>
      <c r="D954" s="11">
        <v>0</v>
      </c>
      <c r="E954" s="2">
        <f t="shared" si="31"/>
        <v>0</v>
      </c>
      <c r="F954" s="11">
        <v>0.126</v>
      </c>
      <c r="G954" s="3" t="e">
        <f t="shared" si="32"/>
        <v>#DIV/0!</v>
      </c>
    </row>
    <row r="955" spans="1:7" hidden="1">
      <c r="A955" s="1">
        <v>23</v>
      </c>
      <c r="B955" s="1" t="s">
        <v>38</v>
      </c>
      <c r="C955" s="11">
        <v>0</v>
      </c>
      <c r="D955" s="11">
        <v>0</v>
      </c>
      <c r="E955" s="2">
        <f t="shared" si="31"/>
        <v>0</v>
      </c>
      <c r="F955" s="11">
        <v>0.121</v>
      </c>
      <c r="G955" s="3" t="e">
        <f t="shared" si="32"/>
        <v>#DIV/0!</v>
      </c>
    </row>
    <row r="956" spans="1:7" hidden="1">
      <c r="A956" s="1">
        <v>24</v>
      </c>
      <c r="B956" s="1" t="s">
        <v>38</v>
      </c>
      <c r="C956" s="11">
        <v>0</v>
      </c>
      <c r="D956" s="11">
        <v>0</v>
      </c>
      <c r="E956" s="2">
        <f t="shared" si="31"/>
        <v>0</v>
      </c>
      <c r="F956" s="11">
        <v>0.121</v>
      </c>
      <c r="G956" s="3" t="e">
        <f t="shared" si="32"/>
        <v>#DIV/0!</v>
      </c>
    </row>
    <row r="957" spans="1:7" hidden="1">
      <c r="A957" s="1">
        <v>25</v>
      </c>
      <c r="B957" s="1" t="s">
        <v>38</v>
      </c>
      <c r="C957" s="11">
        <v>0</v>
      </c>
      <c r="D957" s="11">
        <v>0</v>
      </c>
      <c r="E957" s="2">
        <f t="shared" si="31"/>
        <v>0</v>
      </c>
      <c r="F957" s="11">
        <v>9.8000000000000004E-2</v>
      </c>
      <c r="G957" s="3" t="e">
        <f t="shared" si="32"/>
        <v>#DIV/0!</v>
      </c>
    </row>
    <row r="958" spans="1:7" hidden="1">
      <c r="A958" s="1">
        <v>26</v>
      </c>
      <c r="B958" s="1" t="s">
        <v>38</v>
      </c>
      <c r="C958" s="11">
        <v>20</v>
      </c>
      <c r="D958" s="11">
        <v>19.64</v>
      </c>
      <c r="E958" s="2">
        <f t="shared" si="31"/>
        <v>0.35999999999999943</v>
      </c>
      <c r="F958" s="11">
        <v>0.10299999999999999</v>
      </c>
      <c r="G958" s="3">
        <f t="shared" si="32"/>
        <v>2.3149999999999969E-2</v>
      </c>
    </row>
    <row r="959" spans="1:7" hidden="1">
      <c r="A959" s="1">
        <v>27</v>
      </c>
      <c r="B959" s="1" t="s">
        <v>38</v>
      </c>
      <c r="C959" s="11">
        <v>0</v>
      </c>
      <c r="D959" s="11">
        <v>0</v>
      </c>
      <c r="E959" s="2">
        <f t="shared" si="31"/>
        <v>0</v>
      </c>
      <c r="F959" s="11">
        <v>0.11700000000000001</v>
      </c>
      <c r="G959" s="3" t="e">
        <f t="shared" si="32"/>
        <v>#DIV/0!</v>
      </c>
    </row>
    <row r="960" spans="1:7" hidden="1">
      <c r="A960" s="1">
        <v>28</v>
      </c>
      <c r="B960" s="1" t="s">
        <v>38</v>
      </c>
      <c r="C960" s="11">
        <v>0</v>
      </c>
      <c r="D960" s="11">
        <v>0</v>
      </c>
      <c r="E960" s="2">
        <f t="shared" si="31"/>
        <v>0</v>
      </c>
      <c r="F960" s="11">
        <v>0.10100000000000001</v>
      </c>
      <c r="G960" s="3" t="e">
        <f t="shared" si="32"/>
        <v>#DIV/0!</v>
      </c>
    </row>
    <row r="961" spans="1:7" hidden="1">
      <c r="A961" s="1">
        <v>29</v>
      </c>
      <c r="B961" s="1" t="s">
        <v>38</v>
      </c>
      <c r="C961" s="11">
        <v>0</v>
      </c>
      <c r="D961" s="11">
        <v>0</v>
      </c>
      <c r="E961" s="2">
        <f t="shared" si="31"/>
        <v>0</v>
      </c>
      <c r="F961" s="11">
        <v>9.1999999999999998E-2</v>
      </c>
      <c r="G961" s="3" t="e">
        <f t="shared" si="32"/>
        <v>#DIV/0!</v>
      </c>
    </row>
    <row r="962" spans="1:7" hidden="1">
      <c r="A962" s="1">
        <v>30</v>
      </c>
      <c r="B962" s="1" t="s">
        <v>38</v>
      </c>
      <c r="C962" s="11">
        <v>0</v>
      </c>
      <c r="D962" s="11">
        <v>0</v>
      </c>
      <c r="E962" s="2">
        <f t="shared" si="31"/>
        <v>0</v>
      </c>
      <c r="F962" s="11">
        <v>7.0000000000000007E-2</v>
      </c>
      <c r="G962" s="3" t="e">
        <f t="shared" si="32"/>
        <v>#DIV/0!</v>
      </c>
    </row>
    <row r="963" spans="1:7" hidden="1">
      <c r="A963" s="1">
        <v>31</v>
      </c>
      <c r="B963" s="1" t="s">
        <v>38</v>
      </c>
      <c r="C963" s="11">
        <v>0</v>
      </c>
      <c r="D963" s="11">
        <v>0</v>
      </c>
      <c r="E963" s="2">
        <f t="shared" si="31"/>
        <v>0</v>
      </c>
      <c r="F963" s="11">
        <v>0</v>
      </c>
      <c r="G963" s="3" t="e">
        <f t="shared" si="32"/>
        <v>#DIV/0!</v>
      </c>
    </row>
    <row r="964" spans="1:7" hidden="1">
      <c r="A964" s="1">
        <v>1</v>
      </c>
      <c r="B964" s="1" t="s">
        <v>39</v>
      </c>
      <c r="C964" s="11">
        <v>0</v>
      </c>
      <c r="D964" s="11">
        <v>0</v>
      </c>
      <c r="E964" s="2">
        <f t="shared" ref="E964:E1027" si="33">C964-D964</f>
        <v>0</v>
      </c>
      <c r="F964" s="11">
        <v>0.20599999999999999</v>
      </c>
      <c r="G964" s="3" t="e">
        <f t="shared" si="32"/>
        <v>#DIV/0!</v>
      </c>
    </row>
    <row r="965" spans="1:7" hidden="1">
      <c r="A965" s="1">
        <v>2</v>
      </c>
      <c r="B965" s="1" t="s">
        <v>39</v>
      </c>
      <c r="C965" s="11">
        <v>40</v>
      </c>
      <c r="D965" s="11">
        <v>39.549999999999997</v>
      </c>
      <c r="E965" s="2">
        <f t="shared" si="33"/>
        <v>0.45000000000000284</v>
      </c>
      <c r="F965" s="11">
        <v>0.224</v>
      </c>
      <c r="G965" s="3">
        <f t="shared" si="32"/>
        <v>1.685000000000007E-2</v>
      </c>
    </row>
    <row r="966" spans="1:7" hidden="1">
      <c r="A966" s="1">
        <v>3</v>
      </c>
      <c r="B966" s="1" t="s">
        <v>39</v>
      </c>
      <c r="C966" s="11">
        <v>0</v>
      </c>
      <c r="D966" s="11">
        <v>0</v>
      </c>
      <c r="E966" s="2">
        <f t="shared" si="33"/>
        <v>0</v>
      </c>
      <c r="F966" s="11">
        <v>0.10199999999999999</v>
      </c>
      <c r="G966" s="3" t="e">
        <f t="shared" si="32"/>
        <v>#DIV/0!</v>
      </c>
    </row>
    <row r="967" spans="1:7" hidden="1">
      <c r="A967" s="1">
        <v>4</v>
      </c>
      <c r="B967" s="1" t="s">
        <v>39</v>
      </c>
      <c r="C967" s="11">
        <v>0</v>
      </c>
      <c r="D967" s="11">
        <v>0</v>
      </c>
      <c r="E967" s="2">
        <f t="shared" si="33"/>
        <v>0</v>
      </c>
      <c r="F967" s="11">
        <v>0.191</v>
      </c>
      <c r="G967" s="3" t="e">
        <f t="shared" si="32"/>
        <v>#DIV/0!</v>
      </c>
    </row>
    <row r="968" spans="1:7" hidden="1">
      <c r="A968" s="1">
        <v>5</v>
      </c>
      <c r="B968" s="1" t="s">
        <v>39</v>
      </c>
      <c r="C968" s="11">
        <v>0</v>
      </c>
      <c r="D968" s="11">
        <v>0</v>
      </c>
      <c r="E968" s="2">
        <f t="shared" si="33"/>
        <v>0</v>
      </c>
      <c r="F968" s="11">
        <v>0.16500000000000001</v>
      </c>
      <c r="G968" s="3" t="e">
        <f t="shared" si="32"/>
        <v>#DIV/0!</v>
      </c>
    </row>
    <row r="969" spans="1:7" hidden="1">
      <c r="A969" s="1">
        <v>6</v>
      </c>
      <c r="B969" s="1" t="s">
        <v>39</v>
      </c>
      <c r="C969" s="11">
        <v>0</v>
      </c>
      <c r="D969" s="11">
        <v>0</v>
      </c>
      <c r="E969" s="2">
        <f t="shared" si="33"/>
        <v>0</v>
      </c>
      <c r="F969" s="11">
        <v>0</v>
      </c>
      <c r="G969" s="3" t="e">
        <f t="shared" si="32"/>
        <v>#DIV/0!</v>
      </c>
    </row>
    <row r="970" spans="1:7" hidden="1">
      <c r="A970" s="1">
        <v>7</v>
      </c>
      <c r="B970" s="1" t="s">
        <v>39</v>
      </c>
      <c r="C970" s="11">
        <v>0</v>
      </c>
      <c r="D970" s="11">
        <v>0</v>
      </c>
      <c r="E970" s="2">
        <f t="shared" si="33"/>
        <v>0</v>
      </c>
      <c r="F970" s="11">
        <v>0</v>
      </c>
      <c r="G970" s="3" t="e">
        <f t="shared" si="32"/>
        <v>#DIV/0!</v>
      </c>
    </row>
    <row r="971" spans="1:7" hidden="1">
      <c r="A971" s="1">
        <v>10</v>
      </c>
      <c r="B971" s="1" t="s">
        <v>39</v>
      </c>
      <c r="C971" s="11">
        <v>0</v>
      </c>
      <c r="D971" s="11">
        <v>0</v>
      </c>
      <c r="E971" s="2">
        <f t="shared" si="33"/>
        <v>0</v>
      </c>
      <c r="F971" s="11">
        <v>0.34</v>
      </c>
      <c r="G971" s="3" t="e">
        <f t="shared" si="32"/>
        <v>#DIV/0!</v>
      </c>
    </row>
    <row r="972" spans="1:7" hidden="1">
      <c r="A972" s="1">
        <v>8</v>
      </c>
      <c r="B972" s="1" t="s">
        <v>39</v>
      </c>
      <c r="C972" s="11">
        <v>0</v>
      </c>
      <c r="D972" s="11">
        <v>0</v>
      </c>
      <c r="E972" s="2">
        <f t="shared" si="33"/>
        <v>0</v>
      </c>
      <c r="F972" s="11">
        <v>0</v>
      </c>
      <c r="G972" s="3" t="e">
        <f t="shared" si="32"/>
        <v>#DIV/0!</v>
      </c>
    </row>
    <row r="973" spans="1:7" hidden="1">
      <c r="A973" s="1">
        <v>9</v>
      </c>
      <c r="B973" s="1" t="s">
        <v>39</v>
      </c>
      <c r="C973" s="11">
        <v>0</v>
      </c>
      <c r="D973" s="11">
        <v>0</v>
      </c>
      <c r="E973" s="2">
        <f t="shared" si="33"/>
        <v>0</v>
      </c>
      <c r="F973" s="11">
        <v>0</v>
      </c>
      <c r="G973" s="3" t="e">
        <f t="shared" si="32"/>
        <v>#DIV/0!</v>
      </c>
    </row>
    <row r="974" spans="1:7" hidden="1">
      <c r="A974" s="1">
        <v>11</v>
      </c>
      <c r="B974" s="1" t="s">
        <v>39</v>
      </c>
      <c r="C974" s="11">
        <v>12</v>
      </c>
      <c r="D974" s="11">
        <v>12.3</v>
      </c>
      <c r="E974" s="2">
        <f t="shared" si="33"/>
        <v>-0.30000000000000071</v>
      </c>
      <c r="F974" s="11">
        <v>0.3</v>
      </c>
      <c r="G974" s="3">
        <f t="shared" si="32"/>
        <v>-6.0137080500529308E-17</v>
      </c>
    </row>
    <row r="975" spans="1:7" hidden="1">
      <c r="A975" s="1">
        <v>12</v>
      </c>
      <c r="B975" s="1" t="s">
        <v>39</v>
      </c>
      <c r="C975" s="11">
        <v>10</v>
      </c>
      <c r="D975" s="11">
        <v>9.92</v>
      </c>
      <c r="E975" s="2">
        <f t="shared" si="33"/>
        <v>8.0000000000000071E-2</v>
      </c>
      <c r="F975" s="11">
        <v>0.312</v>
      </c>
      <c r="G975" s="3">
        <f t="shared" si="32"/>
        <v>3.9200000000000006E-2</v>
      </c>
    </row>
    <row r="976" spans="1:7" hidden="1">
      <c r="A976" s="1">
        <v>13</v>
      </c>
      <c r="B976" s="1" t="s">
        <v>39</v>
      </c>
      <c r="C976" s="11">
        <v>0</v>
      </c>
      <c r="D976" s="11">
        <v>0</v>
      </c>
      <c r="E976" s="2">
        <f t="shared" si="33"/>
        <v>0</v>
      </c>
      <c r="F976" s="11">
        <v>0.193</v>
      </c>
      <c r="G976" s="3" t="e">
        <f t="shared" si="32"/>
        <v>#DIV/0!</v>
      </c>
    </row>
    <row r="977" spans="1:7" hidden="1">
      <c r="A977" s="1">
        <v>14</v>
      </c>
      <c r="B977" s="1" t="s">
        <v>39</v>
      </c>
      <c r="C977" s="11">
        <v>0</v>
      </c>
      <c r="D977" s="11">
        <v>0</v>
      </c>
      <c r="E977" s="2">
        <f t="shared" si="33"/>
        <v>0</v>
      </c>
      <c r="F977" s="11">
        <v>0.23499999999999999</v>
      </c>
      <c r="G977" s="3" t="e">
        <f t="shared" si="32"/>
        <v>#DIV/0!</v>
      </c>
    </row>
    <row r="978" spans="1:7" hidden="1">
      <c r="A978" s="1">
        <v>15</v>
      </c>
      <c r="B978" s="1" t="s">
        <v>39</v>
      </c>
      <c r="C978" s="11">
        <v>0</v>
      </c>
      <c r="D978" s="11">
        <v>0</v>
      </c>
      <c r="E978" s="2">
        <f t="shared" si="33"/>
        <v>0</v>
      </c>
      <c r="F978" s="11">
        <v>0.36</v>
      </c>
      <c r="G978" s="3" t="e">
        <f t="shared" si="32"/>
        <v>#DIV/0!</v>
      </c>
    </row>
    <row r="979" spans="1:7" hidden="1">
      <c r="A979" s="1">
        <v>16</v>
      </c>
      <c r="B979" s="1" t="s">
        <v>39</v>
      </c>
      <c r="C979" s="11">
        <v>0</v>
      </c>
      <c r="D979" s="11">
        <v>0</v>
      </c>
      <c r="E979" s="2">
        <f t="shared" si="33"/>
        <v>0</v>
      </c>
      <c r="F979" s="11">
        <v>0.34300000000000003</v>
      </c>
      <c r="G979" s="3" t="e">
        <f t="shared" si="32"/>
        <v>#DIV/0!</v>
      </c>
    </row>
    <row r="980" spans="1:7" hidden="1">
      <c r="A980" s="1">
        <v>17</v>
      </c>
      <c r="B980" s="1" t="s">
        <v>39</v>
      </c>
      <c r="C980" s="11">
        <v>5</v>
      </c>
      <c r="D980" s="11">
        <v>4.91</v>
      </c>
      <c r="E980" s="2">
        <f t="shared" si="33"/>
        <v>8.9999999999999858E-2</v>
      </c>
      <c r="F980" s="11">
        <v>0.14699999999999999</v>
      </c>
      <c r="G980" s="3">
        <f t="shared" si="32"/>
        <v>4.739999999999997E-2</v>
      </c>
    </row>
    <row r="981" spans="1:7" hidden="1">
      <c r="A981" s="1">
        <v>18</v>
      </c>
      <c r="B981" s="1" t="s">
        <v>39</v>
      </c>
      <c r="C981" s="11">
        <v>25</v>
      </c>
      <c r="D981" s="11">
        <v>24.6</v>
      </c>
      <c r="E981" s="2">
        <f t="shared" si="33"/>
        <v>0.39999999999999858</v>
      </c>
      <c r="F981" s="11">
        <v>0.14399999999999999</v>
      </c>
      <c r="G981" s="3">
        <f t="shared" si="32"/>
        <v>2.1759999999999943E-2</v>
      </c>
    </row>
    <row r="982" spans="1:7" hidden="1">
      <c r="A982" s="1">
        <v>19</v>
      </c>
      <c r="B982" s="1" t="s">
        <v>39</v>
      </c>
      <c r="C982" s="11">
        <v>25</v>
      </c>
      <c r="D982" s="11">
        <v>24.98</v>
      </c>
      <c r="E982" s="2">
        <f t="shared" si="33"/>
        <v>1.9999999999999574E-2</v>
      </c>
      <c r="F982" s="11">
        <v>0.33300000000000002</v>
      </c>
      <c r="G982" s="3">
        <f t="shared" si="32"/>
        <v>1.4119999999999983E-2</v>
      </c>
    </row>
    <row r="983" spans="1:7" hidden="1">
      <c r="A983" s="1">
        <v>20</v>
      </c>
      <c r="B983" s="1" t="s">
        <v>39</v>
      </c>
      <c r="C983" s="11">
        <v>0</v>
      </c>
      <c r="D983" s="11">
        <v>0</v>
      </c>
      <c r="E983" s="2">
        <f t="shared" si="33"/>
        <v>0</v>
      </c>
      <c r="F983" s="11">
        <v>0.158</v>
      </c>
      <c r="G983" s="3" t="e">
        <f t="shared" si="32"/>
        <v>#DIV/0!</v>
      </c>
    </row>
    <row r="984" spans="1:7" hidden="1">
      <c r="A984" s="1">
        <v>21</v>
      </c>
      <c r="B984" s="1" t="s">
        <v>39</v>
      </c>
      <c r="C984" s="11">
        <v>6</v>
      </c>
      <c r="D984" s="11">
        <v>5.93</v>
      </c>
      <c r="E984" s="2">
        <f t="shared" si="33"/>
        <v>7.0000000000000284E-2</v>
      </c>
      <c r="F984" s="11">
        <v>0.16600000000000001</v>
      </c>
      <c r="G984" s="3">
        <f t="shared" si="32"/>
        <v>3.933333333333338E-2</v>
      </c>
    </row>
    <row r="985" spans="1:7" hidden="1">
      <c r="A985" s="1">
        <v>22</v>
      </c>
      <c r="B985" s="1" t="s">
        <v>39</v>
      </c>
      <c r="C985" s="11">
        <v>0</v>
      </c>
      <c r="D985" s="11">
        <v>0</v>
      </c>
      <c r="E985" s="2">
        <f t="shared" si="33"/>
        <v>0</v>
      </c>
      <c r="F985" s="11">
        <v>0.184</v>
      </c>
      <c r="G985" s="3" t="e">
        <f t="shared" si="32"/>
        <v>#DIV/0!</v>
      </c>
    </row>
    <row r="986" spans="1:7" hidden="1">
      <c r="A986" s="1">
        <v>23</v>
      </c>
      <c r="B986" s="1" t="s">
        <v>39</v>
      </c>
      <c r="C986" s="11">
        <v>0</v>
      </c>
      <c r="D986" s="11">
        <v>0</v>
      </c>
      <c r="E986" s="2">
        <f t="shared" si="33"/>
        <v>0</v>
      </c>
      <c r="F986" s="11">
        <v>0.13800000000000001</v>
      </c>
      <c r="G986" s="3" t="e">
        <f t="shared" si="32"/>
        <v>#DIV/0!</v>
      </c>
    </row>
    <row r="987" spans="1:7" hidden="1">
      <c r="A987" s="1">
        <v>24</v>
      </c>
      <c r="B987" s="1" t="s">
        <v>39</v>
      </c>
      <c r="C987" s="11">
        <v>0</v>
      </c>
      <c r="D987" s="11">
        <v>0</v>
      </c>
      <c r="E987" s="2">
        <f t="shared" si="33"/>
        <v>0</v>
      </c>
      <c r="F987" s="11">
        <v>0.14000000000000001</v>
      </c>
      <c r="G987" s="3" t="e">
        <f t="shared" si="32"/>
        <v>#DIV/0!</v>
      </c>
    </row>
    <row r="988" spans="1:7" hidden="1">
      <c r="A988" s="1">
        <v>25</v>
      </c>
      <c r="B988" s="1" t="s">
        <v>39</v>
      </c>
      <c r="C988" s="11">
        <v>0</v>
      </c>
      <c r="D988" s="11">
        <v>0</v>
      </c>
      <c r="E988" s="2">
        <f t="shared" si="33"/>
        <v>0</v>
      </c>
      <c r="F988" s="11">
        <v>0.157</v>
      </c>
      <c r="G988" s="3" t="e">
        <f t="shared" si="32"/>
        <v>#DIV/0!</v>
      </c>
    </row>
    <row r="989" spans="1:7" hidden="1">
      <c r="A989" s="1">
        <v>26</v>
      </c>
      <c r="B989" s="1" t="s">
        <v>39</v>
      </c>
      <c r="C989" s="11">
        <v>0</v>
      </c>
      <c r="D989" s="11">
        <v>0</v>
      </c>
      <c r="E989" s="2">
        <f t="shared" si="33"/>
        <v>0</v>
      </c>
      <c r="F989" s="11">
        <v>0.25700000000000001</v>
      </c>
      <c r="G989" s="3" t="e">
        <f t="shared" si="32"/>
        <v>#DIV/0!</v>
      </c>
    </row>
    <row r="990" spans="1:7" hidden="1">
      <c r="A990" s="1">
        <v>27</v>
      </c>
      <c r="B990" s="1" t="s">
        <v>39</v>
      </c>
      <c r="C990" s="11">
        <v>20</v>
      </c>
      <c r="D990" s="11">
        <v>19.22</v>
      </c>
      <c r="E990" s="2">
        <f t="shared" si="33"/>
        <v>0.78000000000000114</v>
      </c>
      <c r="F990" s="11">
        <v>0.1579999999999977</v>
      </c>
      <c r="G990" s="3">
        <f t="shared" si="32"/>
        <v>4.6899999999999942E-2</v>
      </c>
    </row>
    <row r="991" spans="1:7" hidden="1">
      <c r="A991" s="1">
        <v>28</v>
      </c>
      <c r="B991" s="1" t="s">
        <v>39</v>
      </c>
      <c r="C991" s="11">
        <v>0</v>
      </c>
      <c r="D991" s="11">
        <v>0</v>
      </c>
      <c r="E991" s="2">
        <f t="shared" si="33"/>
        <v>0</v>
      </c>
      <c r="F991" s="11">
        <v>0.17799999999999999</v>
      </c>
      <c r="G991" s="3" t="e">
        <f t="shared" si="32"/>
        <v>#DIV/0!</v>
      </c>
    </row>
    <row r="992" spans="1:7" hidden="1">
      <c r="A992" s="1">
        <v>29</v>
      </c>
      <c r="B992" s="1" t="s">
        <v>39</v>
      </c>
      <c r="C992" s="11">
        <v>0</v>
      </c>
      <c r="D992" s="11">
        <v>0</v>
      </c>
      <c r="E992" s="2">
        <f t="shared" si="33"/>
        <v>0</v>
      </c>
      <c r="F992" s="11">
        <v>0.216</v>
      </c>
      <c r="G992" s="3" t="e">
        <f t="shared" si="32"/>
        <v>#DIV/0!</v>
      </c>
    </row>
    <row r="993" spans="1:7" hidden="1">
      <c r="A993" s="1">
        <v>30</v>
      </c>
      <c r="B993" s="1" t="s">
        <v>39</v>
      </c>
      <c r="C993" s="11">
        <v>5</v>
      </c>
      <c r="D993" s="11">
        <v>4.95</v>
      </c>
      <c r="E993" s="2">
        <f t="shared" si="33"/>
        <v>4.9999999999999822E-2</v>
      </c>
      <c r="F993" s="11">
        <v>0.21099999999999999</v>
      </c>
      <c r="G993" s="3">
        <f t="shared" si="32"/>
        <v>5.2199999999999955E-2</v>
      </c>
    </row>
    <row r="994" spans="1:7" hidden="1">
      <c r="A994" s="1">
        <v>31</v>
      </c>
      <c r="B994" s="1" t="s">
        <v>39</v>
      </c>
      <c r="C994" s="11">
        <v>0</v>
      </c>
      <c r="D994" s="11">
        <v>0</v>
      </c>
      <c r="E994" s="2">
        <f t="shared" si="33"/>
        <v>0</v>
      </c>
      <c r="F994" s="11">
        <v>0.14599999999999999</v>
      </c>
      <c r="G994" s="3" t="e">
        <f t="shared" si="32"/>
        <v>#DIV/0!</v>
      </c>
    </row>
    <row r="995" spans="1:7" hidden="1">
      <c r="A995" s="1">
        <v>1</v>
      </c>
      <c r="B995" s="1" t="s">
        <v>66</v>
      </c>
      <c r="C995" s="11">
        <v>0</v>
      </c>
      <c r="D995" s="11">
        <v>0</v>
      </c>
      <c r="E995" s="2">
        <f t="shared" si="33"/>
        <v>0</v>
      </c>
      <c r="F995" s="11">
        <v>3.1E-2</v>
      </c>
      <c r="G995" s="3" t="e">
        <f t="shared" ref="G995:G1058" si="34">(E995+F995)/C995</f>
        <v>#DIV/0!</v>
      </c>
    </row>
    <row r="996" spans="1:7" hidden="1">
      <c r="A996" s="1">
        <v>2</v>
      </c>
      <c r="B996" s="1" t="s">
        <v>66</v>
      </c>
      <c r="C996" s="11">
        <v>5</v>
      </c>
      <c r="D996" s="11">
        <v>4.83</v>
      </c>
      <c r="E996" s="2">
        <f t="shared" si="33"/>
        <v>0.16999999999999993</v>
      </c>
      <c r="F996" s="11">
        <v>5.5E-2</v>
      </c>
      <c r="G996" s="3">
        <f t="shared" si="34"/>
        <v>4.4999999999999984E-2</v>
      </c>
    </row>
    <row r="997" spans="1:7" hidden="1">
      <c r="A997" s="1">
        <v>3</v>
      </c>
      <c r="B997" s="1" t="s">
        <v>66</v>
      </c>
      <c r="C997" s="11">
        <v>5</v>
      </c>
      <c r="D997" s="11">
        <v>4.84</v>
      </c>
      <c r="E997" s="2">
        <f t="shared" si="33"/>
        <v>0.16000000000000014</v>
      </c>
      <c r="F997" s="11">
        <v>3.4000000000000002E-2</v>
      </c>
      <c r="G997" s="3">
        <f t="shared" si="34"/>
        <v>3.8800000000000029E-2</v>
      </c>
    </row>
    <row r="998" spans="1:7" hidden="1">
      <c r="A998" s="1">
        <v>4</v>
      </c>
      <c r="B998" s="1" t="s">
        <v>66</v>
      </c>
      <c r="C998" s="11">
        <v>0</v>
      </c>
      <c r="D998" s="11">
        <v>0</v>
      </c>
      <c r="E998" s="2">
        <f t="shared" si="33"/>
        <v>0</v>
      </c>
      <c r="F998" s="11">
        <v>8.0000000000000002E-3</v>
      </c>
      <c r="G998" s="3" t="e">
        <f t="shared" si="34"/>
        <v>#DIV/0!</v>
      </c>
    </row>
    <row r="999" spans="1:7" hidden="1">
      <c r="A999" s="1">
        <v>5</v>
      </c>
      <c r="B999" s="1" t="s">
        <v>66</v>
      </c>
      <c r="C999" s="11">
        <v>5</v>
      </c>
      <c r="D999" s="11">
        <v>4.84</v>
      </c>
      <c r="E999" s="2">
        <f t="shared" si="33"/>
        <v>0.16000000000000014</v>
      </c>
      <c r="F999" s="11">
        <v>7.0000000000000001E-3</v>
      </c>
      <c r="G999" s="3">
        <f t="shared" si="34"/>
        <v>3.3400000000000027E-2</v>
      </c>
    </row>
    <row r="1000" spans="1:7" hidden="1">
      <c r="A1000" s="1">
        <v>6</v>
      </c>
      <c r="B1000" s="1" t="s">
        <v>66</v>
      </c>
      <c r="C1000" s="11">
        <v>5</v>
      </c>
      <c r="D1000" s="11">
        <v>4.79</v>
      </c>
      <c r="E1000" s="2">
        <f t="shared" si="33"/>
        <v>0.20999999999999996</v>
      </c>
      <c r="F1000" s="11">
        <v>1.6E-2</v>
      </c>
      <c r="G1000" s="3">
        <f t="shared" si="34"/>
        <v>4.5199999999999997E-2</v>
      </c>
    </row>
    <row r="1001" spans="1:7" hidden="1">
      <c r="A1001" s="1">
        <v>7</v>
      </c>
      <c r="B1001" s="1" t="s">
        <v>66</v>
      </c>
      <c r="C1001" s="11">
        <v>5</v>
      </c>
      <c r="D1001" s="11">
        <v>4.8499999999999996</v>
      </c>
      <c r="E1001" s="2">
        <f t="shared" si="33"/>
        <v>0.15000000000000036</v>
      </c>
      <c r="F1001" s="11">
        <v>8.0000000000000002E-3</v>
      </c>
      <c r="G1001" s="3">
        <f t="shared" si="34"/>
        <v>3.1600000000000072E-2</v>
      </c>
    </row>
    <row r="1002" spans="1:7" hidden="1">
      <c r="A1002" s="1">
        <v>10</v>
      </c>
      <c r="B1002" s="1" t="s">
        <v>66</v>
      </c>
      <c r="C1002" s="11">
        <v>0</v>
      </c>
      <c r="D1002" s="11">
        <v>0</v>
      </c>
      <c r="E1002" s="2">
        <f t="shared" si="33"/>
        <v>0</v>
      </c>
      <c r="F1002" s="11">
        <v>2E-3</v>
      </c>
      <c r="G1002" s="3" t="e">
        <f t="shared" si="34"/>
        <v>#DIV/0!</v>
      </c>
    </row>
    <row r="1003" spans="1:7" hidden="1">
      <c r="A1003" s="1">
        <v>8</v>
      </c>
      <c r="B1003" s="1" t="s">
        <v>66</v>
      </c>
      <c r="C1003" s="11">
        <v>10</v>
      </c>
      <c r="D1003" s="11">
        <v>9.76</v>
      </c>
      <c r="E1003" s="2">
        <f t="shared" si="33"/>
        <v>0.24000000000000021</v>
      </c>
      <c r="F1003" s="11">
        <v>1.2E-2</v>
      </c>
      <c r="G1003" s="3">
        <f t="shared" si="34"/>
        <v>2.5200000000000021E-2</v>
      </c>
    </row>
    <row r="1004" spans="1:7" hidden="1">
      <c r="A1004" s="1">
        <v>9</v>
      </c>
      <c r="B1004" s="1" t="s">
        <v>66</v>
      </c>
      <c r="C1004" s="11">
        <v>0</v>
      </c>
      <c r="D1004" s="11">
        <v>0</v>
      </c>
      <c r="E1004" s="2">
        <f t="shared" si="33"/>
        <v>0</v>
      </c>
      <c r="F1004" s="11">
        <v>9.9999999999997868E-3</v>
      </c>
      <c r="G1004" s="3" t="e">
        <f t="shared" si="34"/>
        <v>#DIV/0!</v>
      </c>
    </row>
    <row r="1005" spans="1:7" hidden="1">
      <c r="A1005" s="1">
        <v>11</v>
      </c>
      <c r="B1005" s="1" t="s">
        <v>66</v>
      </c>
      <c r="C1005" s="11">
        <v>5</v>
      </c>
      <c r="D1005" s="11">
        <v>4.8</v>
      </c>
      <c r="E1005" s="2">
        <f t="shared" si="33"/>
        <v>0.20000000000000018</v>
      </c>
      <c r="F1005" s="11">
        <v>1.1000000000000121E-2</v>
      </c>
      <c r="G1005" s="3">
        <f t="shared" si="34"/>
        <v>4.2200000000000057E-2</v>
      </c>
    </row>
    <row r="1006" spans="1:7" hidden="1">
      <c r="A1006" s="1">
        <v>12</v>
      </c>
      <c r="B1006" s="1" t="s">
        <v>66</v>
      </c>
      <c r="C1006" s="11">
        <v>10</v>
      </c>
      <c r="D1006" s="11">
        <v>9.94</v>
      </c>
      <c r="E1006" s="2">
        <f t="shared" si="33"/>
        <v>6.0000000000000497E-2</v>
      </c>
      <c r="F1006" s="11">
        <v>3.3000000000000002E-2</v>
      </c>
      <c r="G1006" s="3">
        <f t="shared" si="34"/>
        <v>9.3000000000000495E-3</v>
      </c>
    </row>
    <row r="1007" spans="1:7" hidden="1">
      <c r="A1007" s="1">
        <v>13</v>
      </c>
      <c r="B1007" s="1" t="s">
        <v>66</v>
      </c>
      <c r="C1007" s="11">
        <v>0</v>
      </c>
      <c r="D1007" s="11">
        <v>0</v>
      </c>
      <c r="E1007" s="2">
        <f t="shared" si="33"/>
        <v>0</v>
      </c>
      <c r="F1007" s="11">
        <v>1.4999999999999999E-2</v>
      </c>
      <c r="G1007" s="3" t="e">
        <f t="shared" si="34"/>
        <v>#DIV/0!</v>
      </c>
    </row>
    <row r="1008" spans="1:7" hidden="1">
      <c r="A1008" s="1">
        <v>14</v>
      </c>
      <c r="B1008" s="1" t="s">
        <v>66</v>
      </c>
      <c r="C1008" s="11">
        <v>10</v>
      </c>
      <c r="D1008" s="11">
        <v>9.93</v>
      </c>
      <c r="E1008" s="2">
        <f t="shared" si="33"/>
        <v>7.0000000000000284E-2</v>
      </c>
      <c r="F1008" s="11">
        <v>9.9999999999980105E-3</v>
      </c>
      <c r="G1008" s="3">
        <f t="shared" si="34"/>
        <v>7.9999999999998302E-3</v>
      </c>
    </row>
    <row r="1009" spans="1:7" hidden="1">
      <c r="A1009" s="1">
        <v>15</v>
      </c>
      <c r="B1009" s="1" t="s">
        <v>66</v>
      </c>
      <c r="C1009" s="11">
        <v>0</v>
      </c>
      <c r="D1009" s="11">
        <v>0</v>
      </c>
      <c r="E1009" s="2">
        <f t="shared" si="33"/>
        <v>0</v>
      </c>
      <c r="F1009" s="11">
        <v>2.3E-2</v>
      </c>
      <c r="G1009" s="3" t="e">
        <f t="shared" si="34"/>
        <v>#DIV/0!</v>
      </c>
    </row>
    <row r="1010" spans="1:7" hidden="1">
      <c r="A1010" s="1">
        <v>16</v>
      </c>
      <c r="B1010" s="1" t="s">
        <v>66</v>
      </c>
      <c r="C1010" s="11">
        <v>0</v>
      </c>
      <c r="D1010" s="11">
        <v>0</v>
      </c>
      <c r="E1010" s="2">
        <f t="shared" si="33"/>
        <v>0</v>
      </c>
      <c r="F1010" s="11">
        <v>8.9999999999999993E-3</v>
      </c>
      <c r="G1010" s="3" t="e">
        <f t="shared" si="34"/>
        <v>#DIV/0!</v>
      </c>
    </row>
    <row r="1011" spans="1:7" hidden="1">
      <c r="A1011" s="1">
        <v>17</v>
      </c>
      <c r="B1011" s="1" t="s">
        <v>66</v>
      </c>
      <c r="C1011" s="11">
        <v>0</v>
      </c>
      <c r="D1011" s="11">
        <v>0</v>
      </c>
      <c r="E1011" s="2">
        <f t="shared" si="33"/>
        <v>0</v>
      </c>
      <c r="F1011" s="11">
        <v>3.1E-2</v>
      </c>
      <c r="G1011" s="3" t="e">
        <f t="shared" si="34"/>
        <v>#DIV/0!</v>
      </c>
    </row>
    <row r="1012" spans="1:7" hidden="1">
      <c r="A1012" s="1">
        <v>18</v>
      </c>
      <c r="B1012" s="1" t="s">
        <v>66</v>
      </c>
      <c r="C1012" s="11">
        <v>3.09</v>
      </c>
      <c r="D1012" s="11">
        <v>2.91</v>
      </c>
      <c r="E1012" s="2">
        <f t="shared" si="33"/>
        <v>0.17999999999999972</v>
      </c>
      <c r="F1012" s="11">
        <v>2.1999999999999999E-2</v>
      </c>
      <c r="G1012" s="3">
        <f t="shared" si="34"/>
        <v>6.5372168284789547E-2</v>
      </c>
    </row>
    <row r="1013" spans="1:7" hidden="1">
      <c r="A1013" s="1">
        <v>19</v>
      </c>
      <c r="B1013" s="1" t="s">
        <v>66</v>
      </c>
      <c r="C1013" s="11">
        <v>5</v>
      </c>
      <c r="D1013" s="11">
        <v>4.96</v>
      </c>
      <c r="E1013" s="2">
        <f t="shared" si="33"/>
        <v>4.0000000000000036E-2</v>
      </c>
      <c r="F1013" s="11">
        <v>2.8000000000000001E-2</v>
      </c>
      <c r="G1013" s="3">
        <f t="shared" si="34"/>
        <v>1.3600000000000006E-2</v>
      </c>
    </row>
    <row r="1014" spans="1:7" hidden="1">
      <c r="A1014" s="1">
        <v>20</v>
      </c>
      <c r="B1014" s="1" t="s">
        <v>66</v>
      </c>
      <c r="C1014" s="11">
        <v>0</v>
      </c>
      <c r="D1014" s="11">
        <v>0</v>
      </c>
      <c r="E1014" s="2">
        <f t="shared" si="33"/>
        <v>0</v>
      </c>
      <c r="F1014" s="11">
        <v>6.0000000000000001E-3</v>
      </c>
      <c r="G1014" s="3" t="e">
        <f t="shared" si="34"/>
        <v>#DIV/0!</v>
      </c>
    </row>
    <row r="1015" spans="1:7" hidden="1">
      <c r="A1015" s="1">
        <v>21</v>
      </c>
      <c r="B1015" s="1" t="s">
        <v>66</v>
      </c>
      <c r="C1015" s="11">
        <v>2</v>
      </c>
      <c r="D1015" s="11">
        <v>1.96</v>
      </c>
      <c r="E1015" s="2">
        <f t="shared" si="33"/>
        <v>4.0000000000000036E-2</v>
      </c>
      <c r="F1015" s="11">
        <v>1.9E-2</v>
      </c>
      <c r="G1015" s="3">
        <f t="shared" si="34"/>
        <v>2.9500000000000019E-2</v>
      </c>
    </row>
    <row r="1016" spans="1:7" hidden="1">
      <c r="A1016" s="1">
        <v>22</v>
      </c>
      <c r="B1016" s="1" t="s">
        <v>66</v>
      </c>
      <c r="C1016" s="11">
        <v>8</v>
      </c>
      <c r="D1016" s="11">
        <v>7.86</v>
      </c>
      <c r="E1016" s="2">
        <f t="shared" si="33"/>
        <v>0.13999999999999968</v>
      </c>
      <c r="F1016" s="11">
        <v>1.4999999999999999E-2</v>
      </c>
      <c r="G1016" s="3">
        <f t="shared" si="34"/>
        <v>1.9374999999999962E-2</v>
      </c>
    </row>
    <row r="1017" spans="1:7" hidden="1">
      <c r="A1017" s="1">
        <v>23</v>
      </c>
      <c r="B1017" s="1" t="s">
        <v>66</v>
      </c>
      <c r="C1017" s="11">
        <v>5</v>
      </c>
      <c r="D1017" s="11">
        <v>4.8499999999999996</v>
      </c>
      <c r="E1017" s="2">
        <f t="shared" si="33"/>
        <v>0.15000000000000036</v>
      </c>
      <c r="F1017" s="11">
        <v>1.2999999999999999E-2</v>
      </c>
      <c r="G1017" s="3">
        <f t="shared" si="34"/>
        <v>3.2600000000000073E-2</v>
      </c>
    </row>
    <row r="1018" spans="1:7" hidden="1">
      <c r="A1018" s="1">
        <v>24</v>
      </c>
      <c r="B1018" s="1" t="s">
        <v>66</v>
      </c>
      <c r="C1018" s="11">
        <v>5</v>
      </c>
      <c r="D1018" s="11">
        <v>4.87</v>
      </c>
      <c r="E1018" s="2">
        <f t="shared" si="33"/>
        <v>0.12999999999999989</v>
      </c>
      <c r="F1018" s="11">
        <v>6.0999999999999999E-2</v>
      </c>
      <c r="G1018" s="3">
        <f t="shared" si="34"/>
        <v>3.8199999999999977E-2</v>
      </c>
    </row>
    <row r="1019" spans="1:7" hidden="1">
      <c r="A1019" s="1">
        <v>25</v>
      </c>
      <c r="B1019" s="1" t="s">
        <v>66</v>
      </c>
      <c r="C1019" s="11">
        <v>5</v>
      </c>
      <c r="D1019" s="11">
        <v>4.74</v>
      </c>
      <c r="E1019" s="2">
        <f t="shared" si="33"/>
        <v>0.25999999999999979</v>
      </c>
      <c r="F1019" s="11">
        <v>2.7E-2</v>
      </c>
      <c r="G1019" s="3">
        <f t="shared" si="34"/>
        <v>5.7399999999999965E-2</v>
      </c>
    </row>
    <row r="1020" spans="1:7" hidden="1">
      <c r="A1020" s="1">
        <v>26</v>
      </c>
      <c r="B1020" s="1" t="s">
        <v>66</v>
      </c>
      <c r="C1020" s="11">
        <v>0</v>
      </c>
      <c r="D1020" s="11">
        <v>0</v>
      </c>
      <c r="E1020" s="2">
        <f t="shared" si="33"/>
        <v>0</v>
      </c>
      <c r="F1020" s="11">
        <v>6.5000000000000002E-2</v>
      </c>
      <c r="G1020" s="3" t="e">
        <f t="shared" si="34"/>
        <v>#DIV/0!</v>
      </c>
    </row>
    <row r="1021" spans="1:7" hidden="1">
      <c r="A1021" s="1">
        <v>27</v>
      </c>
      <c r="B1021" s="1" t="s">
        <v>66</v>
      </c>
      <c r="C1021" s="11">
        <v>7</v>
      </c>
      <c r="D1021" s="11">
        <v>6.85</v>
      </c>
      <c r="E1021" s="2">
        <f t="shared" si="33"/>
        <v>0.15000000000000036</v>
      </c>
      <c r="F1021" s="11">
        <v>1.6E-2</v>
      </c>
      <c r="G1021" s="3">
        <f t="shared" si="34"/>
        <v>2.3714285714285768E-2</v>
      </c>
    </row>
    <row r="1022" spans="1:7" hidden="1">
      <c r="A1022" s="1">
        <v>28</v>
      </c>
      <c r="B1022" s="1" t="s">
        <v>66</v>
      </c>
      <c r="C1022" s="11">
        <v>4</v>
      </c>
      <c r="D1022" s="11">
        <v>3.94</v>
      </c>
      <c r="E1022" s="2">
        <f t="shared" si="33"/>
        <v>6.0000000000000053E-2</v>
      </c>
      <c r="F1022" s="11">
        <v>5.6000000000000001E-2</v>
      </c>
      <c r="G1022" s="3">
        <f t="shared" si="34"/>
        <v>2.9000000000000012E-2</v>
      </c>
    </row>
    <row r="1023" spans="1:7" hidden="1">
      <c r="A1023" s="1">
        <v>29</v>
      </c>
      <c r="B1023" s="1" t="s">
        <v>66</v>
      </c>
      <c r="C1023" s="11">
        <v>5</v>
      </c>
      <c r="D1023" s="11">
        <v>4.9000000000000004</v>
      </c>
      <c r="E1023" s="2">
        <f t="shared" si="33"/>
        <v>9.9999999999999645E-2</v>
      </c>
      <c r="F1023" s="11">
        <v>0.21199999999999999</v>
      </c>
      <c r="G1023" s="3">
        <f t="shared" si="34"/>
        <v>6.2399999999999921E-2</v>
      </c>
    </row>
    <row r="1024" spans="1:7" hidden="1">
      <c r="A1024" s="1">
        <v>30</v>
      </c>
      <c r="B1024" s="1" t="s">
        <v>66</v>
      </c>
      <c r="C1024" s="11">
        <v>4</v>
      </c>
      <c r="D1024" s="11">
        <v>3.92</v>
      </c>
      <c r="E1024" s="2">
        <f t="shared" si="33"/>
        <v>8.0000000000000071E-2</v>
      </c>
      <c r="F1024" s="11">
        <v>4.8000000000000001E-2</v>
      </c>
      <c r="G1024" s="3">
        <f t="shared" si="34"/>
        <v>3.2000000000000015E-2</v>
      </c>
    </row>
    <row r="1025" spans="1:7" hidden="1">
      <c r="A1025" s="1">
        <v>31</v>
      </c>
      <c r="B1025" s="1" t="s">
        <v>66</v>
      </c>
      <c r="C1025" s="11">
        <v>4</v>
      </c>
      <c r="D1025" s="11">
        <v>3.9</v>
      </c>
      <c r="E1025" s="2">
        <f t="shared" si="33"/>
        <v>0.10000000000000009</v>
      </c>
      <c r="F1025" s="11">
        <v>4.0000000000000001E-3</v>
      </c>
      <c r="G1025" s="3">
        <f t="shared" si="34"/>
        <v>2.6000000000000023E-2</v>
      </c>
    </row>
    <row r="1026" spans="1:7" hidden="1">
      <c r="A1026" s="1">
        <v>1</v>
      </c>
      <c r="B1026" s="1" t="s">
        <v>67</v>
      </c>
      <c r="C1026" s="11">
        <v>0</v>
      </c>
      <c r="D1026" s="11">
        <v>0</v>
      </c>
      <c r="E1026" s="2">
        <f t="shared" si="33"/>
        <v>0</v>
      </c>
      <c r="F1026" s="11">
        <v>0.105</v>
      </c>
      <c r="G1026" s="3" t="e">
        <f t="shared" si="34"/>
        <v>#DIV/0!</v>
      </c>
    </row>
    <row r="1027" spans="1:7" hidden="1">
      <c r="A1027" s="1">
        <v>2</v>
      </c>
      <c r="B1027" s="1" t="s">
        <v>67</v>
      </c>
      <c r="C1027" s="11">
        <v>0</v>
      </c>
      <c r="D1027" s="11">
        <v>0</v>
      </c>
      <c r="E1027" s="2">
        <f t="shared" si="33"/>
        <v>0</v>
      </c>
      <c r="F1027" s="11">
        <v>0.15</v>
      </c>
      <c r="G1027" s="3" t="e">
        <f t="shared" si="34"/>
        <v>#DIV/0!</v>
      </c>
    </row>
    <row r="1028" spans="1:7" hidden="1">
      <c r="A1028" s="1">
        <v>3</v>
      </c>
      <c r="B1028" s="1" t="s">
        <v>67</v>
      </c>
      <c r="C1028" s="11">
        <v>20</v>
      </c>
      <c r="D1028" s="11">
        <v>19.649999999999999</v>
      </c>
      <c r="E1028" s="2">
        <f t="shared" ref="E1028:E1091" si="35">C1028-D1028</f>
        <v>0.35000000000000142</v>
      </c>
      <c r="F1028" s="11">
        <v>1.4999999999999999E-2</v>
      </c>
      <c r="G1028" s="3">
        <f t="shared" si="34"/>
        <v>1.8250000000000072E-2</v>
      </c>
    </row>
    <row r="1029" spans="1:7" hidden="1">
      <c r="A1029" s="1">
        <v>4</v>
      </c>
      <c r="B1029" s="1" t="s">
        <v>67</v>
      </c>
      <c r="C1029" s="11">
        <v>0</v>
      </c>
      <c r="D1029" s="11">
        <v>0</v>
      </c>
      <c r="E1029" s="2">
        <f t="shared" si="35"/>
        <v>0</v>
      </c>
      <c r="F1029" s="11">
        <v>0.2</v>
      </c>
      <c r="G1029" s="3" t="e">
        <f t="shared" si="34"/>
        <v>#DIV/0!</v>
      </c>
    </row>
    <row r="1030" spans="1:7" hidden="1">
      <c r="A1030" s="1">
        <v>5</v>
      </c>
      <c r="B1030" s="1" t="s">
        <v>67</v>
      </c>
      <c r="C1030" s="11">
        <v>0</v>
      </c>
      <c r="D1030" s="11">
        <v>0</v>
      </c>
      <c r="E1030" s="2">
        <f t="shared" si="35"/>
        <v>0</v>
      </c>
      <c r="F1030" s="11">
        <v>0.13500000000000001</v>
      </c>
      <c r="G1030" s="3" t="e">
        <f t="shared" si="34"/>
        <v>#DIV/0!</v>
      </c>
    </row>
    <row r="1031" spans="1:7" hidden="1">
      <c r="A1031" s="1">
        <v>6</v>
      </c>
      <c r="B1031" s="1" t="s">
        <v>67</v>
      </c>
      <c r="C1031" s="11">
        <v>20</v>
      </c>
      <c r="D1031" s="11">
        <v>19.670000000000002</v>
      </c>
      <c r="E1031" s="2">
        <f t="shared" si="35"/>
        <v>0.32999999999999829</v>
      </c>
      <c r="F1031" s="11">
        <v>6.5000000000000002E-2</v>
      </c>
      <c r="G1031" s="3">
        <f t="shared" si="34"/>
        <v>1.9749999999999913E-2</v>
      </c>
    </row>
    <row r="1032" spans="1:7" hidden="1">
      <c r="A1032" s="1">
        <v>7</v>
      </c>
      <c r="B1032" s="1" t="s">
        <v>67</v>
      </c>
      <c r="C1032" s="11">
        <v>0</v>
      </c>
      <c r="D1032" s="11">
        <v>0</v>
      </c>
      <c r="E1032" s="2">
        <f t="shared" si="35"/>
        <v>0</v>
      </c>
      <c r="F1032" s="11">
        <v>0.21</v>
      </c>
      <c r="G1032" s="3" t="e">
        <f t="shared" si="34"/>
        <v>#DIV/0!</v>
      </c>
    </row>
    <row r="1033" spans="1:7" hidden="1">
      <c r="A1033" s="1">
        <v>10</v>
      </c>
      <c r="B1033" s="1" t="s">
        <v>67</v>
      </c>
      <c r="C1033" s="11">
        <v>20</v>
      </c>
      <c r="D1033" s="11">
        <v>19.82</v>
      </c>
      <c r="E1033" s="2">
        <f t="shared" si="35"/>
        <v>0.17999999999999972</v>
      </c>
      <c r="F1033" s="11">
        <v>0.14000000000000001</v>
      </c>
      <c r="G1033" s="3">
        <f t="shared" si="34"/>
        <v>1.5999999999999986E-2</v>
      </c>
    </row>
    <row r="1034" spans="1:7" hidden="1">
      <c r="A1034" s="1">
        <v>8</v>
      </c>
      <c r="B1034" s="1" t="s">
        <v>67</v>
      </c>
      <c r="C1034" s="11">
        <v>0</v>
      </c>
      <c r="D1034" s="11">
        <v>0</v>
      </c>
      <c r="E1034" s="2">
        <f t="shared" si="35"/>
        <v>0</v>
      </c>
      <c r="F1034" s="11">
        <v>0.19500000000000001</v>
      </c>
      <c r="G1034" s="3" t="e">
        <f t="shared" si="34"/>
        <v>#DIV/0!</v>
      </c>
    </row>
    <row r="1035" spans="1:7" hidden="1">
      <c r="A1035" s="1">
        <v>9</v>
      </c>
      <c r="B1035" s="1" t="s">
        <v>67</v>
      </c>
      <c r="C1035" s="11">
        <v>0</v>
      </c>
      <c r="D1035" s="11">
        <v>0</v>
      </c>
      <c r="E1035" s="2">
        <f t="shared" si="35"/>
        <v>0</v>
      </c>
      <c r="F1035" s="11">
        <v>0.115</v>
      </c>
      <c r="G1035" s="3" t="e">
        <f t="shared" si="34"/>
        <v>#DIV/0!</v>
      </c>
    </row>
    <row r="1036" spans="1:7" hidden="1">
      <c r="A1036" s="1">
        <v>11</v>
      </c>
      <c r="B1036" s="1" t="s">
        <v>67</v>
      </c>
      <c r="C1036" s="11">
        <v>0</v>
      </c>
      <c r="D1036" s="11">
        <v>0</v>
      </c>
      <c r="E1036" s="2">
        <f t="shared" si="35"/>
        <v>0</v>
      </c>
      <c r="F1036" s="11">
        <v>0.315</v>
      </c>
      <c r="G1036" s="3" t="e">
        <f t="shared" si="34"/>
        <v>#DIV/0!</v>
      </c>
    </row>
    <row r="1037" spans="1:7" hidden="1">
      <c r="A1037" s="1">
        <v>12</v>
      </c>
      <c r="B1037" s="1" t="s">
        <v>67</v>
      </c>
      <c r="C1037" s="11"/>
      <c r="D1037" s="11"/>
      <c r="E1037" s="2">
        <f t="shared" si="35"/>
        <v>0</v>
      </c>
      <c r="F1037" s="11">
        <v>0.315</v>
      </c>
      <c r="G1037" s="3" t="e">
        <f t="shared" si="34"/>
        <v>#DIV/0!</v>
      </c>
    </row>
    <row r="1038" spans="1:7" ht="14.4" hidden="1" customHeight="1">
      <c r="A1038" s="1">
        <v>13</v>
      </c>
      <c r="B1038" s="1" t="s">
        <v>67</v>
      </c>
      <c r="C1038" s="11">
        <v>0</v>
      </c>
      <c r="D1038" s="11">
        <v>0</v>
      </c>
      <c r="E1038" s="2">
        <f t="shared" si="35"/>
        <v>0</v>
      </c>
      <c r="F1038" s="11">
        <v>0.18</v>
      </c>
      <c r="G1038" s="3" t="e">
        <f t="shared" si="34"/>
        <v>#DIV/0!</v>
      </c>
    </row>
    <row r="1039" spans="1:7" hidden="1">
      <c r="A1039" s="1">
        <v>14</v>
      </c>
      <c r="B1039" s="1" t="s">
        <v>67</v>
      </c>
      <c r="C1039" s="11">
        <v>0</v>
      </c>
      <c r="D1039" s="11">
        <v>0</v>
      </c>
      <c r="E1039" s="2">
        <f t="shared" si="35"/>
        <v>0</v>
      </c>
      <c r="F1039" s="11">
        <v>0.14499999999999999</v>
      </c>
      <c r="G1039" s="3" t="e">
        <f t="shared" si="34"/>
        <v>#DIV/0!</v>
      </c>
    </row>
    <row r="1040" spans="1:7" hidden="1">
      <c r="A1040" s="1">
        <v>15</v>
      </c>
      <c r="B1040" s="1" t="s">
        <v>67</v>
      </c>
      <c r="C1040" s="11">
        <v>0</v>
      </c>
      <c r="D1040" s="11">
        <v>0</v>
      </c>
      <c r="E1040" s="2">
        <f t="shared" si="35"/>
        <v>0</v>
      </c>
      <c r="F1040" s="11">
        <v>0.115</v>
      </c>
      <c r="G1040" s="3" t="e">
        <f t="shared" si="34"/>
        <v>#DIV/0!</v>
      </c>
    </row>
    <row r="1041" spans="1:7" hidden="1">
      <c r="A1041" s="1">
        <v>16</v>
      </c>
      <c r="B1041" s="1" t="s">
        <v>67</v>
      </c>
      <c r="C1041" s="11">
        <v>20</v>
      </c>
      <c r="D1041" s="11">
        <v>19.989999999999998</v>
      </c>
      <c r="E1041" s="2">
        <f t="shared" si="35"/>
        <v>1.0000000000001563E-2</v>
      </c>
      <c r="F1041" s="11">
        <v>0.33500000000000002</v>
      </c>
      <c r="G1041" s="3">
        <f t="shared" si="34"/>
        <v>1.7250000000000078E-2</v>
      </c>
    </row>
    <row r="1042" spans="1:7" hidden="1">
      <c r="A1042" s="1">
        <v>17</v>
      </c>
      <c r="B1042" s="1" t="s">
        <v>67</v>
      </c>
      <c r="C1042" s="11">
        <v>0</v>
      </c>
      <c r="D1042" s="11">
        <v>0</v>
      </c>
      <c r="E1042" s="2">
        <f t="shared" si="35"/>
        <v>0</v>
      </c>
      <c r="F1042" s="11">
        <v>0.23499999999999999</v>
      </c>
      <c r="G1042" s="3" t="e">
        <f t="shared" si="34"/>
        <v>#DIV/0!</v>
      </c>
    </row>
    <row r="1043" spans="1:7" hidden="1">
      <c r="A1043" s="1">
        <v>18</v>
      </c>
      <c r="B1043" s="1" t="s">
        <v>67</v>
      </c>
      <c r="C1043" s="11">
        <v>20</v>
      </c>
      <c r="D1043" s="11">
        <v>19.95</v>
      </c>
      <c r="E1043" s="2">
        <f t="shared" si="35"/>
        <v>5.0000000000000711E-2</v>
      </c>
      <c r="F1043" s="11">
        <v>0.255</v>
      </c>
      <c r="G1043" s="3">
        <f t="shared" si="34"/>
        <v>1.5250000000000036E-2</v>
      </c>
    </row>
    <row r="1044" spans="1:7" hidden="1">
      <c r="A1044" s="1">
        <v>19</v>
      </c>
      <c r="B1044" s="1" t="s">
        <v>67</v>
      </c>
      <c r="C1044" s="11">
        <v>0</v>
      </c>
      <c r="D1044" s="11">
        <v>0</v>
      </c>
      <c r="E1044" s="2">
        <f t="shared" si="35"/>
        <v>0</v>
      </c>
      <c r="F1044" s="11">
        <v>0.17</v>
      </c>
      <c r="G1044" s="3" t="e">
        <f t="shared" si="34"/>
        <v>#DIV/0!</v>
      </c>
    </row>
    <row r="1045" spans="1:7" hidden="1">
      <c r="A1045" s="1">
        <v>20</v>
      </c>
      <c r="B1045" s="1" t="s">
        <v>67</v>
      </c>
      <c r="C1045" s="11">
        <v>20</v>
      </c>
      <c r="D1045" s="11">
        <v>19.68</v>
      </c>
      <c r="E1045" s="2">
        <f t="shared" si="35"/>
        <v>0.32000000000000028</v>
      </c>
      <c r="F1045" s="11">
        <v>0.05</v>
      </c>
      <c r="G1045" s="3">
        <f t="shared" si="34"/>
        <v>1.8500000000000013E-2</v>
      </c>
    </row>
    <row r="1046" spans="1:7" hidden="1">
      <c r="A1046" s="1">
        <v>21</v>
      </c>
      <c r="B1046" s="1" t="s">
        <v>67</v>
      </c>
      <c r="C1046" s="11">
        <v>0</v>
      </c>
      <c r="D1046" s="11">
        <v>0</v>
      </c>
      <c r="E1046" s="2">
        <f t="shared" si="35"/>
        <v>0</v>
      </c>
      <c r="F1046" s="11">
        <v>0.35</v>
      </c>
      <c r="G1046" s="3" t="e">
        <f t="shared" si="34"/>
        <v>#DIV/0!</v>
      </c>
    </row>
    <row r="1047" spans="1:7" hidden="1">
      <c r="A1047" s="1">
        <v>22</v>
      </c>
      <c r="B1047" s="1" t="s">
        <v>67</v>
      </c>
      <c r="C1047" s="11">
        <v>0</v>
      </c>
      <c r="D1047" s="11">
        <v>0</v>
      </c>
      <c r="E1047" s="2">
        <f t="shared" si="35"/>
        <v>0</v>
      </c>
      <c r="F1047" s="11">
        <v>0.24</v>
      </c>
      <c r="G1047" s="3" t="e">
        <f t="shared" si="34"/>
        <v>#DIV/0!</v>
      </c>
    </row>
    <row r="1048" spans="1:7" hidden="1">
      <c r="A1048" s="1">
        <v>23</v>
      </c>
      <c r="B1048" s="1" t="s">
        <v>67</v>
      </c>
      <c r="C1048" s="11">
        <v>20</v>
      </c>
      <c r="D1048" s="11">
        <v>19.97</v>
      </c>
      <c r="E1048" s="2">
        <f t="shared" si="35"/>
        <v>3.0000000000001137E-2</v>
      </c>
      <c r="F1048" s="11">
        <v>0.3</v>
      </c>
      <c r="G1048" s="3">
        <f t="shared" si="34"/>
        <v>1.6500000000000056E-2</v>
      </c>
    </row>
    <row r="1049" spans="1:7" hidden="1">
      <c r="A1049" s="1">
        <v>24</v>
      </c>
      <c r="B1049" s="1" t="s">
        <v>67</v>
      </c>
      <c r="C1049" s="11">
        <v>0</v>
      </c>
      <c r="D1049" s="11">
        <v>0</v>
      </c>
      <c r="E1049" s="2">
        <f t="shared" si="35"/>
        <v>0</v>
      </c>
      <c r="F1049" s="11">
        <v>0.20499999999999999</v>
      </c>
      <c r="G1049" s="3" t="e">
        <f t="shared" si="34"/>
        <v>#DIV/0!</v>
      </c>
    </row>
    <row r="1050" spans="1:7" hidden="1">
      <c r="A1050" s="1">
        <v>25</v>
      </c>
      <c r="B1050" s="1" t="s">
        <v>67</v>
      </c>
      <c r="C1050" s="11">
        <v>25</v>
      </c>
      <c r="D1050" s="11">
        <v>24.49</v>
      </c>
      <c r="E1050" s="2">
        <f t="shared" si="35"/>
        <v>0.51000000000000156</v>
      </c>
      <c r="F1050" s="11">
        <v>0</v>
      </c>
      <c r="G1050" s="3">
        <f t="shared" si="34"/>
        <v>2.0400000000000064E-2</v>
      </c>
    </row>
    <row r="1051" spans="1:7" hidden="1">
      <c r="A1051" s="1">
        <v>26</v>
      </c>
      <c r="B1051" s="1" t="s">
        <v>67</v>
      </c>
      <c r="C1051" s="11">
        <v>0</v>
      </c>
      <c r="D1051" s="11">
        <v>0</v>
      </c>
      <c r="E1051" s="2">
        <f t="shared" si="35"/>
        <v>0</v>
      </c>
      <c r="F1051" s="11">
        <v>0.20499999999999999</v>
      </c>
      <c r="G1051" s="3" t="e">
        <f t="shared" si="34"/>
        <v>#DIV/0!</v>
      </c>
    </row>
    <row r="1052" spans="1:7" hidden="1">
      <c r="A1052" s="1">
        <v>27</v>
      </c>
      <c r="B1052" s="1" t="s">
        <v>67</v>
      </c>
      <c r="C1052" s="11">
        <v>25</v>
      </c>
      <c r="D1052" s="11">
        <v>25.39</v>
      </c>
      <c r="E1052" s="2">
        <f t="shared" si="35"/>
        <v>-0.39000000000000057</v>
      </c>
      <c r="F1052" s="11">
        <v>0.84499999999999997</v>
      </c>
      <c r="G1052" s="3">
        <f t="shared" si="34"/>
        <v>1.8199999999999977E-2</v>
      </c>
    </row>
    <row r="1053" spans="1:7" hidden="1">
      <c r="A1053" s="1">
        <v>28</v>
      </c>
      <c r="B1053" s="1" t="s">
        <v>67</v>
      </c>
      <c r="C1053" s="11">
        <v>0</v>
      </c>
      <c r="D1053" s="11">
        <v>0</v>
      </c>
      <c r="E1053" s="2">
        <f t="shared" si="35"/>
        <v>0</v>
      </c>
      <c r="F1053" s="11">
        <v>0.34</v>
      </c>
      <c r="G1053" s="3" t="e">
        <f t="shared" si="34"/>
        <v>#DIV/0!</v>
      </c>
    </row>
    <row r="1054" spans="1:7" hidden="1">
      <c r="A1054" s="1">
        <v>29</v>
      </c>
      <c r="B1054" s="1" t="s">
        <v>67</v>
      </c>
      <c r="C1054" s="11">
        <v>15</v>
      </c>
      <c r="D1054" s="11">
        <v>14.88</v>
      </c>
      <c r="E1054" s="2">
        <f t="shared" si="35"/>
        <v>0.11999999999999922</v>
      </c>
      <c r="F1054" s="11">
        <v>0.14499999999999999</v>
      </c>
      <c r="G1054" s="3">
        <f t="shared" si="34"/>
        <v>1.7666666666666615E-2</v>
      </c>
    </row>
    <row r="1055" spans="1:7" hidden="1">
      <c r="A1055" s="1">
        <v>30</v>
      </c>
      <c r="B1055" s="1" t="s">
        <v>67</v>
      </c>
      <c r="C1055" s="11">
        <v>0</v>
      </c>
      <c r="D1055" s="11">
        <v>0</v>
      </c>
      <c r="E1055" s="2">
        <f t="shared" si="35"/>
        <v>0</v>
      </c>
      <c r="F1055" s="11">
        <v>0.28000000000000003</v>
      </c>
      <c r="G1055" s="3" t="e">
        <f t="shared" si="34"/>
        <v>#DIV/0!</v>
      </c>
    </row>
    <row r="1056" spans="1:7" hidden="1">
      <c r="A1056" s="1">
        <v>31</v>
      </c>
      <c r="B1056" s="1" t="s">
        <v>67</v>
      </c>
      <c r="C1056" s="11">
        <v>10</v>
      </c>
      <c r="D1056" s="11">
        <v>9.8699999999999992</v>
      </c>
      <c r="E1056" s="2">
        <f t="shared" si="35"/>
        <v>0.13000000000000078</v>
      </c>
      <c r="F1056" s="11">
        <v>0</v>
      </c>
      <c r="G1056" s="3">
        <f t="shared" si="34"/>
        <v>1.3000000000000077E-2</v>
      </c>
    </row>
    <row r="1057" spans="1:7" hidden="1">
      <c r="A1057" s="1">
        <v>1</v>
      </c>
      <c r="B1057" s="1" t="s">
        <v>118</v>
      </c>
      <c r="C1057" s="11">
        <v>0</v>
      </c>
      <c r="D1057" s="11">
        <v>0</v>
      </c>
      <c r="E1057" s="2">
        <f t="shared" si="35"/>
        <v>0</v>
      </c>
      <c r="F1057" s="11">
        <v>0.112</v>
      </c>
      <c r="G1057" s="3" t="e">
        <f t="shared" si="34"/>
        <v>#DIV/0!</v>
      </c>
    </row>
    <row r="1058" spans="1:7" hidden="1">
      <c r="A1058" s="1">
        <v>2</v>
      </c>
      <c r="B1058" s="1" t="s">
        <v>118</v>
      </c>
      <c r="C1058" s="11">
        <v>0</v>
      </c>
      <c r="D1058" s="11">
        <v>0</v>
      </c>
      <c r="E1058" s="2">
        <f t="shared" si="35"/>
        <v>0</v>
      </c>
      <c r="F1058" s="11">
        <v>9.7000000000000003E-2</v>
      </c>
      <c r="G1058" s="3" t="e">
        <f t="shared" si="34"/>
        <v>#DIV/0!</v>
      </c>
    </row>
    <row r="1059" spans="1:7" hidden="1">
      <c r="A1059" s="1">
        <v>3</v>
      </c>
      <c r="B1059" s="1" t="s">
        <v>118</v>
      </c>
      <c r="C1059" s="11">
        <v>0</v>
      </c>
      <c r="D1059" s="11">
        <v>0</v>
      </c>
      <c r="E1059" s="2">
        <f t="shared" si="35"/>
        <v>0</v>
      </c>
      <c r="F1059" s="11">
        <v>0.14399999999999999</v>
      </c>
      <c r="G1059" s="3" t="e">
        <f t="shared" ref="G1059:G1118" si="36">(E1059+F1059)/C1059</f>
        <v>#DIV/0!</v>
      </c>
    </row>
    <row r="1060" spans="1:7" hidden="1">
      <c r="A1060" s="1">
        <v>4</v>
      </c>
      <c r="B1060" s="1" t="s">
        <v>118</v>
      </c>
      <c r="C1060" s="11">
        <v>0</v>
      </c>
      <c r="D1060" s="11">
        <v>0</v>
      </c>
      <c r="E1060" s="2">
        <f t="shared" si="35"/>
        <v>0</v>
      </c>
      <c r="F1060" s="11">
        <v>0.13700000000000001</v>
      </c>
      <c r="G1060" s="3" t="e">
        <f t="shared" si="36"/>
        <v>#DIV/0!</v>
      </c>
    </row>
    <row r="1061" spans="1:7" hidden="1">
      <c r="A1061" s="1">
        <v>5</v>
      </c>
      <c r="B1061" s="1" t="s">
        <v>118</v>
      </c>
      <c r="C1061" s="11">
        <v>0</v>
      </c>
      <c r="D1061" s="11">
        <v>0</v>
      </c>
      <c r="E1061" s="2">
        <f t="shared" si="35"/>
        <v>0</v>
      </c>
      <c r="F1061" s="11">
        <v>0.115</v>
      </c>
      <c r="G1061" s="3" t="e">
        <f t="shared" si="36"/>
        <v>#DIV/0!</v>
      </c>
    </row>
    <row r="1062" spans="1:7" hidden="1">
      <c r="A1062" s="1">
        <v>6</v>
      </c>
      <c r="B1062" s="1" t="s">
        <v>118</v>
      </c>
      <c r="C1062" s="11">
        <v>0</v>
      </c>
      <c r="D1062" s="11">
        <v>0</v>
      </c>
      <c r="E1062" s="2">
        <f t="shared" si="35"/>
        <v>0</v>
      </c>
      <c r="F1062" s="11">
        <v>5.7000000000000002E-2</v>
      </c>
      <c r="G1062" s="3" t="e">
        <f t="shared" si="36"/>
        <v>#DIV/0!</v>
      </c>
    </row>
    <row r="1063" spans="1:7" hidden="1">
      <c r="A1063" s="1">
        <v>7</v>
      </c>
      <c r="B1063" s="1" t="s">
        <v>118</v>
      </c>
      <c r="C1063" s="11">
        <v>0</v>
      </c>
      <c r="D1063" s="11">
        <v>0</v>
      </c>
      <c r="E1063" s="2">
        <f t="shared" si="35"/>
        <v>0</v>
      </c>
      <c r="F1063" s="11">
        <v>5.3999999999999999E-2</v>
      </c>
      <c r="G1063" s="3" t="e">
        <f t="shared" si="36"/>
        <v>#DIV/0!</v>
      </c>
    </row>
    <row r="1064" spans="1:7" hidden="1">
      <c r="A1064" s="1">
        <v>10</v>
      </c>
      <c r="B1064" s="1" t="s">
        <v>118</v>
      </c>
      <c r="C1064" s="11">
        <v>0</v>
      </c>
      <c r="D1064" s="11">
        <v>0</v>
      </c>
      <c r="E1064" s="2">
        <f t="shared" si="35"/>
        <v>0</v>
      </c>
      <c r="F1064" s="11">
        <v>0.107</v>
      </c>
      <c r="G1064" s="3" t="e">
        <f t="shared" si="36"/>
        <v>#DIV/0!</v>
      </c>
    </row>
    <row r="1065" spans="1:7" hidden="1">
      <c r="A1065" s="1">
        <v>8</v>
      </c>
      <c r="B1065" s="1" t="s">
        <v>118</v>
      </c>
      <c r="C1065" s="11">
        <v>20</v>
      </c>
      <c r="D1065" s="11">
        <v>19.88</v>
      </c>
      <c r="E1065" s="2">
        <f t="shared" si="35"/>
        <v>0.12000000000000099</v>
      </c>
      <c r="F1065" s="11">
        <v>4.5999999999999999E-2</v>
      </c>
      <c r="G1065" s="3">
        <f t="shared" si="36"/>
        <v>8.3000000000000487E-3</v>
      </c>
    </row>
    <row r="1066" spans="1:7" hidden="1">
      <c r="A1066" s="1">
        <v>9</v>
      </c>
      <c r="B1066" s="1" t="s">
        <v>118</v>
      </c>
      <c r="C1066" s="11">
        <v>0</v>
      </c>
      <c r="D1066" s="11">
        <v>0</v>
      </c>
      <c r="E1066" s="2">
        <f t="shared" si="35"/>
        <v>0</v>
      </c>
      <c r="F1066" s="11">
        <v>0.19600000000000001</v>
      </c>
      <c r="G1066" s="3" t="e">
        <f t="shared" si="36"/>
        <v>#DIV/0!</v>
      </c>
    </row>
    <row r="1067" spans="1:7" hidden="1">
      <c r="A1067" s="1">
        <v>11</v>
      </c>
      <c r="B1067" s="1" t="s">
        <v>118</v>
      </c>
      <c r="C1067" s="11">
        <v>0</v>
      </c>
      <c r="D1067" s="11">
        <v>0</v>
      </c>
      <c r="E1067" s="2">
        <f t="shared" si="35"/>
        <v>0</v>
      </c>
      <c r="F1067" s="11">
        <v>4.5999999999999999E-2</v>
      </c>
      <c r="G1067" s="3" t="e">
        <f t="shared" si="36"/>
        <v>#DIV/0!</v>
      </c>
    </row>
    <row r="1068" spans="1:7" hidden="1">
      <c r="A1068" s="1">
        <v>12</v>
      </c>
      <c r="B1068" s="1" t="s">
        <v>118</v>
      </c>
      <c r="C1068" s="11">
        <v>0</v>
      </c>
      <c r="D1068" s="11">
        <v>0</v>
      </c>
      <c r="E1068" s="2">
        <f t="shared" si="35"/>
        <v>0</v>
      </c>
      <c r="F1068" s="11">
        <v>0.02</v>
      </c>
      <c r="G1068" s="3" t="e">
        <f t="shared" si="36"/>
        <v>#DIV/0!</v>
      </c>
    </row>
    <row r="1069" spans="1:7" hidden="1">
      <c r="A1069" s="1">
        <v>13</v>
      </c>
      <c r="B1069" s="1" t="s">
        <v>118</v>
      </c>
      <c r="C1069" s="11">
        <v>0</v>
      </c>
      <c r="D1069" s="11">
        <v>0</v>
      </c>
      <c r="E1069" s="2">
        <f t="shared" si="35"/>
        <v>0</v>
      </c>
      <c r="F1069" s="11">
        <v>0.153</v>
      </c>
      <c r="G1069" s="3" t="e">
        <f t="shared" si="36"/>
        <v>#DIV/0!</v>
      </c>
    </row>
    <row r="1070" spans="1:7" hidden="1">
      <c r="A1070" s="1">
        <v>14</v>
      </c>
      <c r="B1070" s="1" t="s">
        <v>118</v>
      </c>
      <c r="C1070" s="11">
        <v>20</v>
      </c>
      <c r="D1070" s="11">
        <v>19.88</v>
      </c>
      <c r="E1070" s="2">
        <f t="shared" si="35"/>
        <v>0.12000000000000099</v>
      </c>
      <c r="F1070" s="11">
        <v>0.109</v>
      </c>
      <c r="G1070" s="3">
        <f t="shared" si="36"/>
        <v>1.1450000000000049E-2</v>
      </c>
    </row>
    <row r="1071" spans="1:7" hidden="1">
      <c r="A1071" s="1">
        <v>15</v>
      </c>
      <c r="B1071" s="1" t="s">
        <v>118</v>
      </c>
      <c r="C1071" s="11">
        <v>0</v>
      </c>
      <c r="D1071" s="11">
        <v>0</v>
      </c>
      <c r="E1071" s="2">
        <f t="shared" si="35"/>
        <v>0</v>
      </c>
      <c r="F1071" s="11">
        <v>0.13200000000000001</v>
      </c>
      <c r="G1071" s="3" t="e">
        <f t="shared" si="36"/>
        <v>#DIV/0!</v>
      </c>
    </row>
    <row r="1072" spans="1:7" hidden="1">
      <c r="A1072" s="1">
        <v>16</v>
      </c>
      <c r="B1072" s="1" t="s">
        <v>118</v>
      </c>
      <c r="C1072" s="11">
        <v>0</v>
      </c>
      <c r="D1072" s="11">
        <v>0</v>
      </c>
      <c r="E1072" s="2">
        <f t="shared" si="35"/>
        <v>0</v>
      </c>
      <c r="F1072" s="11">
        <v>0.11700000000000001</v>
      </c>
      <c r="G1072" s="3" t="e">
        <f t="shared" si="36"/>
        <v>#DIV/0!</v>
      </c>
    </row>
    <row r="1073" spans="1:7" hidden="1">
      <c r="A1073" s="1">
        <v>17</v>
      </c>
      <c r="B1073" s="1" t="s">
        <v>118</v>
      </c>
      <c r="C1073" s="11">
        <v>0</v>
      </c>
      <c r="D1073" s="11">
        <v>0</v>
      </c>
      <c r="E1073" s="2">
        <f t="shared" si="35"/>
        <v>0</v>
      </c>
      <c r="F1073" s="11">
        <v>0.129</v>
      </c>
      <c r="G1073" s="3" t="e">
        <f t="shared" si="36"/>
        <v>#DIV/0!</v>
      </c>
    </row>
    <row r="1074" spans="1:7" hidden="1">
      <c r="A1074" s="1">
        <v>18</v>
      </c>
      <c r="B1074" s="1" t="s">
        <v>118</v>
      </c>
      <c r="C1074" s="11">
        <v>0</v>
      </c>
      <c r="D1074" s="11">
        <v>0</v>
      </c>
      <c r="E1074" s="2">
        <f t="shared" si="35"/>
        <v>0</v>
      </c>
      <c r="F1074" s="11">
        <v>6.5000000000000002E-2</v>
      </c>
      <c r="G1074" s="3" t="e">
        <f t="shared" si="36"/>
        <v>#DIV/0!</v>
      </c>
    </row>
    <row r="1075" spans="1:7" hidden="1">
      <c r="A1075" s="1">
        <v>19</v>
      </c>
      <c r="B1075" s="1" t="s">
        <v>118</v>
      </c>
      <c r="C1075" s="11">
        <v>0</v>
      </c>
      <c r="D1075" s="11">
        <v>0</v>
      </c>
      <c r="E1075" s="2">
        <f t="shared" si="35"/>
        <v>0</v>
      </c>
      <c r="F1075" s="11">
        <v>0.10299999999999999</v>
      </c>
      <c r="G1075" s="3" t="e">
        <f t="shared" si="36"/>
        <v>#DIV/0!</v>
      </c>
    </row>
    <row r="1076" spans="1:7" hidden="1">
      <c r="A1076" s="1">
        <v>20</v>
      </c>
      <c r="B1076" s="1" t="s">
        <v>118</v>
      </c>
      <c r="C1076" s="11">
        <v>20</v>
      </c>
      <c r="D1076" s="11">
        <v>19.739999999999998</v>
      </c>
      <c r="E1076" s="2">
        <f t="shared" si="35"/>
        <v>0.26000000000000156</v>
      </c>
      <c r="F1076" s="11">
        <v>8.6999999999999994E-2</v>
      </c>
      <c r="G1076" s="3">
        <f t="shared" si="36"/>
        <v>1.7350000000000077E-2</v>
      </c>
    </row>
    <row r="1077" spans="1:7" hidden="1">
      <c r="A1077" s="1">
        <v>21</v>
      </c>
      <c r="B1077" s="1" t="s">
        <v>118</v>
      </c>
      <c r="C1077" s="11">
        <v>0</v>
      </c>
      <c r="D1077" s="11">
        <v>0</v>
      </c>
      <c r="E1077" s="2">
        <f t="shared" si="35"/>
        <v>0</v>
      </c>
      <c r="F1077" s="11">
        <v>8.8999999999999996E-2</v>
      </c>
      <c r="G1077" s="3" t="e">
        <f t="shared" si="36"/>
        <v>#DIV/0!</v>
      </c>
    </row>
    <row r="1078" spans="1:7" hidden="1">
      <c r="A1078" s="1">
        <v>22</v>
      </c>
      <c r="B1078" s="1" t="s">
        <v>118</v>
      </c>
      <c r="C1078" s="11">
        <v>0</v>
      </c>
      <c r="D1078" s="11">
        <v>0</v>
      </c>
      <c r="E1078" s="2">
        <f t="shared" si="35"/>
        <v>0</v>
      </c>
      <c r="F1078" s="11">
        <v>8.2000000000000003E-2</v>
      </c>
      <c r="G1078" s="3" t="e">
        <f t="shared" si="36"/>
        <v>#DIV/0!</v>
      </c>
    </row>
    <row r="1079" spans="1:7" hidden="1">
      <c r="A1079" s="1">
        <v>23</v>
      </c>
      <c r="B1079" s="1" t="s">
        <v>118</v>
      </c>
      <c r="C1079" s="11">
        <v>0</v>
      </c>
      <c r="D1079" s="11">
        <v>0</v>
      </c>
      <c r="E1079" s="2">
        <f t="shared" si="35"/>
        <v>0</v>
      </c>
      <c r="F1079" s="11">
        <v>0.14499999999999999</v>
      </c>
      <c r="G1079" s="3" t="e">
        <f t="shared" si="36"/>
        <v>#DIV/0!</v>
      </c>
    </row>
    <row r="1080" spans="1:7" hidden="1">
      <c r="A1080" s="1">
        <v>24</v>
      </c>
      <c r="B1080" s="1" t="s">
        <v>118</v>
      </c>
      <c r="C1080" s="11">
        <v>0</v>
      </c>
      <c r="D1080" s="11">
        <v>0</v>
      </c>
      <c r="E1080" s="2">
        <f t="shared" si="35"/>
        <v>0</v>
      </c>
      <c r="F1080" s="11">
        <v>6.8000000000000005E-2</v>
      </c>
      <c r="G1080" s="3" t="e">
        <f t="shared" si="36"/>
        <v>#DIV/0!</v>
      </c>
    </row>
    <row r="1081" spans="1:7" hidden="1">
      <c r="A1081" s="1">
        <v>25</v>
      </c>
      <c r="B1081" s="1" t="s">
        <v>118</v>
      </c>
      <c r="C1081" s="11">
        <v>0</v>
      </c>
      <c r="D1081" s="11">
        <v>0</v>
      </c>
      <c r="E1081" s="2">
        <f t="shared" si="35"/>
        <v>0</v>
      </c>
      <c r="F1081" s="11">
        <v>0.129</v>
      </c>
      <c r="G1081" s="3" t="e">
        <f t="shared" si="36"/>
        <v>#DIV/0!</v>
      </c>
    </row>
    <row r="1082" spans="1:7" hidden="1">
      <c r="A1082" s="1">
        <v>26</v>
      </c>
      <c r="B1082" s="1" t="s">
        <v>118</v>
      </c>
      <c r="C1082" s="11">
        <v>0</v>
      </c>
      <c r="D1082" s="11">
        <v>0</v>
      </c>
      <c r="E1082" s="2">
        <f t="shared" si="35"/>
        <v>0</v>
      </c>
      <c r="F1082" s="11">
        <v>5.3999999999999999E-2</v>
      </c>
      <c r="G1082" s="3" t="e">
        <f t="shared" si="36"/>
        <v>#DIV/0!</v>
      </c>
    </row>
    <row r="1083" spans="1:7" hidden="1">
      <c r="A1083" s="1">
        <v>27</v>
      </c>
      <c r="B1083" s="1" t="s">
        <v>118</v>
      </c>
      <c r="C1083" s="11">
        <v>25.24</v>
      </c>
      <c r="D1083" s="11">
        <v>24.92</v>
      </c>
      <c r="E1083" s="2">
        <f t="shared" si="35"/>
        <v>0.31999999999999673</v>
      </c>
      <c r="F1083" s="11">
        <v>7.6999999999999999E-2</v>
      </c>
      <c r="G1083" s="3">
        <f t="shared" si="36"/>
        <v>1.5729001584785927E-2</v>
      </c>
    </row>
    <row r="1084" spans="1:7" hidden="1">
      <c r="A1084" s="1">
        <v>28</v>
      </c>
      <c r="B1084" s="1" t="s">
        <v>118</v>
      </c>
      <c r="C1084" s="11">
        <v>0</v>
      </c>
      <c r="D1084" s="11">
        <v>0</v>
      </c>
      <c r="E1084" s="2">
        <f t="shared" si="35"/>
        <v>0</v>
      </c>
      <c r="F1084" s="11">
        <v>0.154</v>
      </c>
      <c r="G1084" s="3" t="e">
        <f t="shared" si="36"/>
        <v>#DIV/0!</v>
      </c>
    </row>
    <row r="1085" spans="1:7" hidden="1">
      <c r="A1085" s="1">
        <v>29</v>
      </c>
      <c r="B1085" s="1" t="s">
        <v>118</v>
      </c>
      <c r="C1085" s="11">
        <v>0</v>
      </c>
      <c r="D1085" s="11">
        <v>0</v>
      </c>
      <c r="E1085" s="2">
        <f t="shared" si="35"/>
        <v>0</v>
      </c>
      <c r="F1085" s="11">
        <v>9.9000000000000005E-2</v>
      </c>
      <c r="G1085" s="3" t="e">
        <f t="shared" si="36"/>
        <v>#DIV/0!</v>
      </c>
    </row>
    <row r="1086" spans="1:7" hidden="1">
      <c r="A1086" s="1">
        <v>30</v>
      </c>
      <c r="B1086" s="1" t="s">
        <v>118</v>
      </c>
      <c r="C1086" s="11">
        <v>0</v>
      </c>
      <c r="D1086" s="11">
        <v>0</v>
      </c>
      <c r="E1086" s="2">
        <f t="shared" si="35"/>
        <v>0</v>
      </c>
      <c r="F1086" s="11">
        <v>0.09</v>
      </c>
      <c r="G1086" s="3" t="e">
        <f t="shared" si="36"/>
        <v>#DIV/0!</v>
      </c>
    </row>
    <row r="1087" spans="1:7" hidden="1">
      <c r="A1087" s="1">
        <v>31</v>
      </c>
      <c r="B1087" s="1" t="s">
        <v>118</v>
      </c>
      <c r="C1087" s="11">
        <v>0</v>
      </c>
      <c r="D1087" s="11">
        <v>0</v>
      </c>
      <c r="E1087" s="2">
        <f t="shared" si="35"/>
        <v>0</v>
      </c>
      <c r="F1087" s="11">
        <v>0.107</v>
      </c>
      <c r="G1087" s="3" t="e">
        <f t="shared" si="36"/>
        <v>#DIV/0!</v>
      </c>
    </row>
    <row r="1088" spans="1:7" hidden="1">
      <c r="A1088" s="1">
        <v>1</v>
      </c>
      <c r="B1088" s="1" t="s">
        <v>121</v>
      </c>
      <c r="C1088" s="11">
        <v>0</v>
      </c>
      <c r="D1088" s="11">
        <v>0</v>
      </c>
      <c r="E1088" s="2">
        <f t="shared" si="35"/>
        <v>0</v>
      </c>
      <c r="F1088" s="11">
        <v>0.186</v>
      </c>
      <c r="G1088" s="3" t="e">
        <f t="shared" si="36"/>
        <v>#DIV/0!</v>
      </c>
    </row>
    <row r="1089" spans="1:7" hidden="1">
      <c r="A1089" s="1">
        <v>2</v>
      </c>
      <c r="B1089" s="1" t="s">
        <v>121</v>
      </c>
      <c r="C1089" s="11">
        <v>0</v>
      </c>
      <c r="D1089" s="11">
        <v>0</v>
      </c>
      <c r="E1089" s="2">
        <f t="shared" si="35"/>
        <v>0</v>
      </c>
      <c r="F1089" s="11">
        <v>0.08</v>
      </c>
      <c r="G1089" s="3" t="e">
        <f t="shared" si="36"/>
        <v>#DIV/0!</v>
      </c>
    </row>
    <row r="1090" spans="1:7" hidden="1">
      <c r="A1090" s="1">
        <v>3</v>
      </c>
      <c r="B1090" s="1" t="s">
        <v>121</v>
      </c>
      <c r="C1090" s="11">
        <v>0</v>
      </c>
      <c r="D1090" s="11">
        <v>0</v>
      </c>
      <c r="E1090" s="2">
        <f t="shared" si="35"/>
        <v>0</v>
      </c>
      <c r="F1090" s="11">
        <v>7.0000000000000007E-2</v>
      </c>
      <c r="G1090" s="3" t="e">
        <f t="shared" si="36"/>
        <v>#DIV/0!</v>
      </c>
    </row>
    <row r="1091" spans="1:7" hidden="1">
      <c r="A1091" s="1">
        <v>4</v>
      </c>
      <c r="B1091" s="1" t="s">
        <v>121</v>
      </c>
      <c r="C1091" s="11">
        <v>20</v>
      </c>
      <c r="D1091" s="11">
        <v>19.78</v>
      </c>
      <c r="E1091" s="2">
        <f t="shared" si="35"/>
        <v>0.21999999999999886</v>
      </c>
      <c r="F1091" s="11">
        <v>0.17599999999999999</v>
      </c>
      <c r="G1091" s="3">
        <f t="shared" si="36"/>
        <v>1.9799999999999943E-2</v>
      </c>
    </row>
    <row r="1092" spans="1:7" hidden="1">
      <c r="A1092" s="1">
        <v>5</v>
      </c>
      <c r="B1092" s="1" t="s">
        <v>121</v>
      </c>
      <c r="C1092" s="11">
        <v>0</v>
      </c>
      <c r="D1092" s="11">
        <v>0</v>
      </c>
      <c r="E1092" s="2">
        <f t="shared" ref="E1092:E1155" si="37">C1092-D1092</f>
        <v>0</v>
      </c>
      <c r="F1092" s="11">
        <v>0.04</v>
      </c>
      <c r="G1092" s="3" t="e">
        <f t="shared" si="36"/>
        <v>#DIV/0!</v>
      </c>
    </row>
    <row r="1093" spans="1:7" hidden="1">
      <c r="A1093" s="1">
        <v>6</v>
      </c>
      <c r="B1093" s="1" t="s">
        <v>121</v>
      </c>
      <c r="C1093" s="11">
        <v>0</v>
      </c>
      <c r="D1093" s="11">
        <v>0</v>
      </c>
      <c r="E1093" s="2">
        <f t="shared" si="37"/>
        <v>0</v>
      </c>
      <c r="F1093" s="11">
        <v>0.16</v>
      </c>
      <c r="G1093" s="3" t="e">
        <f t="shared" si="36"/>
        <v>#DIV/0!</v>
      </c>
    </row>
    <row r="1094" spans="1:7" hidden="1">
      <c r="A1094" s="1">
        <v>7</v>
      </c>
      <c r="B1094" s="1" t="s">
        <v>121</v>
      </c>
      <c r="C1094" s="11">
        <v>0</v>
      </c>
      <c r="D1094" s="11">
        <v>0</v>
      </c>
      <c r="E1094" s="2">
        <f t="shared" si="37"/>
        <v>0</v>
      </c>
      <c r="F1094" s="11">
        <v>0.193</v>
      </c>
      <c r="G1094" s="3" t="e">
        <f t="shared" si="36"/>
        <v>#DIV/0!</v>
      </c>
    </row>
    <row r="1095" spans="1:7" hidden="1">
      <c r="A1095" s="1">
        <v>10</v>
      </c>
      <c r="B1095" s="1" t="s">
        <v>121</v>
      </c>
      <c r="C1095" s="11">
        <v>0</v>
      </c>
      <c r="D1095" s="11">
        <v>0</v>
      </c>
      <c r="E1095" s="2">
        <f t="shared" si="37"/>
        <v>0</v>
      </c>
      <c r="F1095" s="11">
        <v>6.4999999999999947E-2</v>
      </c>
      <c r="G1095" s="3" t="e">
        <f t="shared" si="36"/>
        <v>#DIV/0!</v>
      </c>
    </row>
    <row r="1096" spans="1:7" hidden="1">
      <c r="A1096" s="1">
        <v>8</v>
      </c>
      <c r="B1096" s="1" t="s">
        <v>121</v>
      </c>
      <c r="C1096" s="11">
        <v>0</v>
      </c>
      <c r="D1096" s="11">
        <v>0</v>
      </c>
      <c r="E1096" s="2">
        <f t="shared" si="37"/>
        <v>0</v>
      </c>
      <c r="F1096" s="11">
        <v>0.12</v>
      </c>
      <c r="G1096" s="3" t="e">
        <f t="shared" si="36"/>
        <v>#DIV/0!</v>
      </c>
    </row>
    <row r="1097" spans="1:7" hidden="1">
      <c r="A1097" s="1">
        <v>9</v>
      </c>
      <c r="B1097" s="1" t="s">
        <v>121</v>
      </c>
      <c r="C1097" s="11">
        <v>0</v>
      </c>
      <c r="D1097" s="11">
        <v>0</v>
      </c>
      <c r="E1097" s="2">
        <f t="shared" si="37"/>
        <v>0</v>
      </c>
      <c r="F1097" s="11">
        <v>6.7000000000000004E-2</v>
      </c>
      <c r="G1097" s="3" t="e">
        <f t="shared" si="36"/>
        <v>#DIV/0!</v>
      </c>
    </row>
    <row r="1098" spans="1:7" hidden="1">
      <c r="A1098" s="1">
        <v>11</v>
      </c>
      <c r="B1098" s="1" t="s">
        <v>121</v>
      </c>
      <c r="C1098" s="11">
        <v>0</v>
      </c>
      <c r="D1098" s="11">
        <v>0</v>
      </c>
      <c r="E1098" s="2">
        <f t="shared" si="37"/>
        <v>0</v>
      </c>
      <c r="F1098" s="11">
        <v>8.5000000000000006E-2</v>
      </c>
      <c r="G1098" s="3" t="e">
        <f t="shared" si="36"/>
        <v>#DIV/0!</v>
      </c>
    </row>
    <row r="1099" spans="1:7" hidden="1">
      <c r="A1099" s="1">
        <v>12</v>
      </c>
      <c r="B1099" s="1" t="s">
        <v>121</v>
      </c>
      <c r="C1099" s="11">
        <v>0</v>
      </c>
      <c r="D1099" s="11">
        <v>0</v>
      </c>
      <c r="E1099" s="2">
        <f t="shared" si="37"/>
        <v>0</v>
      </c>
      <c r="F1099" s="11">
        <v>0.08</v>
      </c>
      <c r="G1099" s="3" t="e">
        <f t="shared" si="36"/>
        <v>#DIV/0!</v>
      </c>
    </row>
    <row r="1100" spans="1:7" hidden="1">
      <c r="A1100" s="1">
        <v>13</v>
      </c>
      <c r="B1100" s="1" t="s">
        <v>121</v>
      </c>
      <c r="C1100" s="11">
        <v>0</v>
      </c>
      <c r="D1100" s="11">
        <v>0</v>
      </c>
      <c r="E1100" s="2">
        <f t="shared" si="37"/>
        <v>0</v>
      </c>
      <c r="F1100" s="11">
        <v>0.05</v>
      </c>
      <c r="G1100" s="3" t="e">
        <f t="shared" si="36"/>
        <v>#DIV/0!</v>
      </c>
    </row>
    <row r="1101" spans="1:7" hidden="1">
      <c r="A1101" s="1">
        <v>14</v>
      </c>
      <c r="B1101" s="1" t="s">
        <v>121</v>
      </c>
      <c r="C1101" s="11">
        <v>20</v>
      </c>
      <c r="D1101" s="11">
        <v>20</v>
      </c>
      <c r="E1101" s="2">
        <f t="shared" si="37"/>
        <v>0</v>
      </c>
      <c r="F1101" s="11">
        <v>0.105</v>
      </c>
      <c r="G1101" s="3">
        <f t="shared" si="36"/>
        <v>5.2499999999999995E-3</v>
      </c>
    </row>
    <row r="1102" spans="1:7" hidden="1">
      <c r="A1102" s="1">
        <v>15</v>
      </c>
      <c r="B1102" s="1" t="s">
        <v>121</v>
      </c>
      <c r="C1102" s="11">
        <v>0</v>
      </c>
      <c r="D1102" s="11">
        <v>0</v>
      </c>
      <c r="E1102" s="2">
        <f t="shared" si="37"/>
        <v>0</v>
      </c>
      <c r="F1102" s="11">
        <v>0.185</v>
      </c>
      <c r="G1102" s="3" t="e">
        <f t="shared" si="36"/>
        <v>#DIV/0!</v>
      </c>
    </row>
    <row r="1103" spans="1:7" hidden="1">
      <c r="A1103" s="1">
        <v>16</v>
      </c>
      <c r="B1103" s="1" t="s">
        <v>121</v>
      </c>
      <c r="C1103" s="11">
        <v>0</v>
      </c>
      <c r="D1103" s="11">
        <v>0</v>
      </c>
      <c r="E1103" s="2">
        <f t="shared" si="37"/>
        <v>0</v>
      </c>
      <c r="F1103" s="11">
        <v>1.4999999999999999E-2</v>
      </c>
      <c r="G1103" s="3" t="e">
        <f t="shared" si="36"/>
        <v>#DIV/0!</v>
      </c>
    </row>
    <row r="1104" spans="1:7" hidden="1">
      <c r="A1104" s="1">
        <v>17</v>
      </c>
      <c r="B1104" s="1" t="s">
        <v>121</v>
      </c>
      <c r="C1104" s="11">
        <v>0</v>
      </c>
      <c r="D1104" s="11">
        <v>0</v>
      </c>
      <c r="E1104" s="2">
        <f t="shared" si="37"/>
        <v>0</v>
      </c>
      <c r="F1104" s="11">
        <v>0.01</v>
      </c>
      <c r="G1104" s="3" t="e">
        <f t="shared" si="36"/>
        <v>#DIV/0!</v>
      </c>
    </row>
    <row r="1105" spans="1:7" hidden="1">
      <c r="A1105" s="1">
        <v>18</v>
      </c>
      <c r="B1105" s="1" t="s">
        <v>121</v>
      </c>
      <c r="C1105" s="11">
        <v>0</v>
      </c>
      <c r="D1105" s="11">
        <v>0</v>
      </c>
      <c r="E1105" s="2">
        <f t="shared" si="37"/>
        <v>0</v>
      </c>
      <c r="F1105" s="11">
        <v>0.105</v>
      </c>
      <c r="G1105" s="3" t="e">
        <f t="shared" si="36"/>
        <v>#DIV/0!</v>
      </c>
    </row>
    <row r="1106" spans="1:7" hidden="1">
      <c r="A1106" s="1">
        <v>19</v>
      </c>
      <c r="B1106" s="1" t="s">
        <v>121</v>
      </c>
      <c r="C1106" s="11">
        <v>0</v>
      </c>
      <c r="D1106" s="11">
        <v>0</v>
      </c>
      <c r="E1106" s="2">
        <f t="shared" si="37"/>
        <v>0</v>
      </c>
      <c r="F1106" s="11">
        <v>4.4999999999999998E-2</v>
      </c>
      <c r="G1106" s="3" t="e">
        <f t="shared" si="36"/>
        <v>#DIV/0!</v>
      </c>
    </row>
    <row r="1107" spans="1:7" hidden="1">
      <c r="A1107" s="1">
        <v>20</v>
      </c>
      <c r="B1107" s="1" t="s">
        <v>121</v>
      </c>
      <c r="C1107" s="11">
        <v>0</v>
      </c>
      <c r="D1107" s="11">
        <v>0</v>
      </c>
      <c r="E1107" s="2">
        <f t="shared" si="37"/>
        <v>0</v>
      </c>
      <c r="F1107" s="11">
        <v>0.13</v>
      </c>
      <c r="G1107" s="3" t="e">
        <f t="shared" si="36"/>
        <v>#DIV/0!</v>
      </c>
    </row>
    <row r="1108" spans="1:7" hidden="1">
      <c r="A1108" s="1">
        <v>21</v>
      </c>
      <c r="B1108" s="1" t="s">
        <v>121</v>
      </c>
      <c r="C1108" s="11">
        <v>0</v>
      </c>
      <c r="D1108" s="11">
        <v>0</v>
      </c>
      <c r="E1108" s="2">
        <f t="shared" si="37"/>
        <v>0</v>
      </c>
      <c r="F1108" s="11">
        <v>0.17</v>
      </c>
      <c r="G1108" s="3" t="e">
        <f t="shared" si="36"/>
        <v>#DIV/0!</v>
      </c>
    </row>
    <row r="1109" spans="1:7" hidden="1">
      <c r="A1109" s="1">
        <v>22</v>
      </c>
      <c r="B1109" s="1" t="s">
        <v>121</v>
      </c>
      <c r="C1109" s="11">
        <v>0</v>
      </c>
      <c r="D1109" s="11">
        <v>0</v>
      </c>
      <c r="E1109" s="2">
        <f t="shared" si="37"/>
        <v>0</v>
      </c>
      <c r="F1109" s="11">
        <v>8.2000000000000003E-2</v>
      </c>
      <c r="G1109" s="3" t="e">
        <f t="shared" si="36"/>
        <v>#DIV/0!</v>
      </c>
    </row>
    <row r="1110" spans="1:7" hidden="1">
      <c r="A1110" s="1">
        <v>23</v>
      </c>
      <c r="B1110" s="1" t="s">
        <v>121</v>
      </c>
      <c r="C1110" s="11">
        <v>0</v>
      </c>
      <c r="D1110" s="11">
        <v>0</v>
      </c>
      <c r="E1110" s="2">
        <f t="shared" si="37"/>
        <v>0</v>
      </c>
      <c r="F1110" s="11">
        <v>0.109</v>
      </c>
      <c r="G1110" s="3" t="e">
        <f t="shared" si="36"/>
        <v>#DIV/0!</v>
      </c>
    </row>
    <row r="1111" spans="1:7" hidden="1">
      <c r="A1111" s="1">
        <v>24</v>
      </c>
      <c r="B1111" s="1" t="s">
        <v>121</v>
      </c>
      <c r="C1111" s="11">
        <v>0</v>
      </c>
      <c r="D1111" s="11">
        <v>0</v>
      </c>
      <c r="E1111" s="2">
        <f t="shared" si="37"/>
        <v>0</v>
      </c>
      <c r="F1111" s="11">
        <v>9.9000000000000005E-2</v>
      </c>
      <c r="G1111" s="3" t="e">
        <f t="shared" si="36"/>
        <v>#DIV/0!</v>
      </c>
    </row>
    <row r="1112" spans="1:7" hidden="1">
      <c r="A1112" s="1">
        <v>25</v>
      </c>
      <c r="B1112" s="1" t="s">
        <v>121</v>
      </c>
      <c r="C1112" s="11">
        <v>20</v>
      </c>
      <c r="D1112" s="11">
        <v>19.809999999999999</v>
      </c>
      <c r="E1112" s="2">
        <f t="shared" si="37"/>
        <v>0.19000000000000128</v>
      </c>
      <c r="F1112" s="11">
        <v>0.15</v>
      </c>
      <c r="G1112" s="3">
        <f t="shared" si="36"/>
        <v>1.7000000000000064E-2</v>
      </c>
    </row>
    <row r="1113" spans="1:7" hidden="1">
      <c r="A1113" s="1">
        <v>26</v>
      </c>
      <c r="B1113" s="1" t="s">
        <v>121</v>
      </c>
      <c r="C1113" s="11">
        <v>0</v>
      </c>
      <c r="D1113" s="11">
        <v>0</v>
      </c>
      <c r="E1113" s="2">
        <f t="shared" si="37"/>
        <v>0</v>
      </c>
      <c r="F1113" s="11">
        <v>0.14499999999999999</v>
      </c>
      <c r="G1113" s="3" t="e">
        <f t="shared" si="36"/>
        <v>#DIV/0!</v>
      </c>
    </row>
    <row r="1114" spans="1:7" hidden="1">
      <c r="A1114" s="1">
        <v>27</v>
      </c>
      <c r="B1114" s="1" t="s">
        <v>121</v>
      </c>
      <c r="C1114" s="11">
        <v>0</v>
      </c>
      <c r="D1114" s="11">
        <v>0</v>
      </c>
      <c r="E1114" s="2">
        <f t="shared" si="37"/>
        <v>0</v>
      </c>
      <c r="F1114" s="11">
        <v>0.1</v>
      </c>
      <c r="G1114" s="3" t="e">
        <f t="shared" si="36"/>
        <v>#DIV/0!</v>
      </c>
    </row>
    <row r="1115" spans="1:7" hidden="1">
      <c r="A1115" s="1">
        <v>28</v>
      </c>
      <c r="B1115" s="1" t="s">
        <v>121</v>
      </c>
      <c r="C1115" s="11">
        <v>0</v>
      </c>
      <c r="D1115" s="11">
        <v>0</v>
      </c>
      <c r="E1115" s="2">
        <f t="shared" si="37"/>
        <v>0</v>
      </c>
      <c r="F1115" s="11">
        <v>9.8000000000000004E-2</v>
      </c>
      <c r="G1115" s="3" t="e">
        <f t="shared" si="36"/>
        <v>#DIV/0!</v>
      </c>
    </row>
    <row r="1116" spans="1:7" hidden="1">
      <c r="A1116" s="1">
        <v>29</v>
      </c>
      <c r="B1116" s="1" t="s">
        <v>121</v>
      </c>
      <c r="C1116" s="11">
        <v>25</v>
      </c>
      <c r="D1116" s="11">
        <v>24.7</v>
      </c>
      <c r="E1116" s="2">
        <f t="shared" si="37"/>
        <v>0.30000000000000071</v>
      </c>
      <c r="F1116" s="11">
        <v>2.7E-2</v>
      </c>
      <c r="G1116" s="3">
        <f t="shared" si="36"/>
        <v>1.3080000000000029E-2</v>
      </c>
    </row>
    <row r="1117" spans="1:7" hidden="1">
      <c r="A1117" s="1">
        <v>30</v>
      </c>
      <c r="B1117" s="1" t="s">
        <v>121</v>
      </c>
      <c r="C1117" s="11">
        <v>0</v>
      </c>
      <c r="D1117" s="11">
        <v>0</v>
      </c>
      <c r="E1117" s="2">
        <f t="shared" si="37"/>
        <v>0</v>
      </c>
      <c r="F1117" s="11">
        <v>0.17499999999999999</v>
      </c>
      <c r="G1117" s="3" t="e">
        <f t="shared" si="36"/>
        <v>#DIV/0!</v>
      </c>
    </row>
    <row r="1118" spans="1:7" hidden="1">
      <c r="A1118" s="1">
        <v>31</v>
      </c>
      <c r="B1118" s="1" t="s">
        <v>121</v>
      </c>
      <c r="C1118" s="11">
        <v>0</v>
      </c>
      <c r="D1118" s="11">
        <v>0</v>
      </c>
      <c r="E1118" s="2">
        <f t="shared" si="37"/>
        <v>0</v>
      </c>
      <c r="F1118" s="11">
        <v>0.21</v>
      </c>
      <c r="G1118" s="3" t="e">
        <f t="shared" si="36"/>
        <v>#DIV/0!</v>
      </c>
    </row>
    <row r="1119" spans="1:7" hidden="1">
      <c r="A1119" s="1">
        <v>1</v>
      </c>
      <c r="B1119" s="1" t="s">
        <v>122</v>
      </c>
      <c r="C1119" s="11">
        <v>0</v>
      </c>
      <c r="D1119" s="11">
        <v>0</v>
      </c>
      <c r="E1119" s="2">
        <f t="shared" si="37"/>
        <v>0</v>
      </c>
      <c r="F1119" s="11">
        <v>0</v>
      </c>
      <c r="G1119" s="3" t="e">
        <f t="shared" si="32"/>
        <v>#DIV/0!</v>
      </c>
    </row>
    <row r="1120" spans="1:7" hidden="1">
      <c r="A1120" s="1">
        <v>2</v>
      </c>
      <c r="B1120" s="1" t="s">
        <v>122</v>
      </c>
      <c r="C1120" s="11">
        <v>0</v>
      </c>
      <c r="D1120" s="11">
        <v>0</v>
      </c>
      <c r="E1120" s="2">
        <f t="shared" si="37"/>
        <v>0</v>
      </c>
      <c r="F1120" s="11">
        <v>0.17</v>
      </c>
      <c r="G1120" s="3" t="e">
        <f t="shared" si="32"/>
        <v>#DIV/0!</v>
      </c>
    </row>
    <row r="1121" spans="1:7" hidden="1">
      <c r="A1121" s="1">
        <v>3</v>
      </c>
      <c r="B1121" s="1" t="s">
        <v>122</v>
      </c>
      <c r="C1121" s="11">
        <v>0</v>
      </c>
      <c r="D1121" s="11">
        <v>0</v>
      </c>
      <c r="E1121" s="2">
        <f t="shared" si="37"/>
        <v>0</v>
      </c>
      <c r="F1121" s="11">
        <v>0</v>
      </c>
      <c r="G1121" s="3" t="e">
        <f t="shared" ref="G1121:G1399" si="38">(E1121+F1121)/C1121</f>
        <v>#DIV/0!</v>
      </c>
    </row>
    <row r="1122" spans="1:7" hidden="1">
      <c r="A1122" s="1">
        <v>4</v>
      </c>
      <c r="B1122" s="1" t="s">
        <v>122</v>
      </c>
      <c r="C1122" s="11">
        <v>0</v>
      </c>
      <c r="D1122" s="11">
        <v>0</v>
      </c>
      <c r="E1122" s="2">
        <f t="shared" si="37"/>
        <v>0</v>
      </c>
      <c r="F1122" s="11">
        <v>0</v>
      </c>
      <c r="G1122" s="3" t="e">
        <f t="shared" si="38"/>
        <v>#DIV/0!</v>
      </c>
    </row>
    <row r="1123" spans="1:7" hidden="1">
      <c r="A1123" s="1">
        <v>5</v>
      </c>
      <c r="B1123" s="1" t="s">
        <v>122</v>
      </c>
      <c r="C1123" s="11">
        <v>0</v>
      </c>
      <c r="D1123" s="11">
        <v>0</v>
      </c>
      <c r="E1123" s="2">
        <f t="shared" si="37"/>
        <v>0</v>
      </c>
      <c r="F1123" s="11">
        <v>0</v>
      </c>
      <c r="G1123" s="3" t="e">
        <f t="shared" si="38"/>
        <v>#DIV/0!</v>
      </c>
    </row>
    <row r="1124" spans="1:7" hidden="1">
      <c r="A1124" s="1">
        <v>6</v>
      </c>
      <c r="B1124" s="1" t="s">
        <v>122</v>
      </c>
      <c r="C1124" s="11">
        <v>20</v>
      </c>
      <c r="D1124" s="11">
        <v>19.87</v>
      </c>
      <c r="E1124" s="2">
        <f t="shared" si="37"/>
        <v>0.12999999999999901</v>
      </c>
      <c r="F1124" s="11">
        <v>0.09</v>
      </c>
      <c r="G1124" s="3">
        <f t="shared" si="38"/>
        <v>1.0999999999999951E-2</v>
      </c>
    </row>
    <row r="1125" spans="1:7" hidden="1">
      <c r="A1125" s="1">
        <v>7</v>
      </c>
      <c r="B1125" s="1" t="s">
        <v>122</v>
      </c>
      <c r="C1125" s="11">
        <v>0</v>
      </c>
      <c r="D1125" s="11">
        <v>0</v>
      </c>
      <c r="E1125" s="2">
        <f t="shared" si="37"/>
        <v>0</v>
      </c>
      <c r="F1125" s="11">
        <v>0</v>
      </c>
      <c r="G1125" s="3" t="e">
        <f t="shared" si="38"/>
        <v>#DIV/0!</v>
      </c>
    </row>
    <row r="1126" spans="1:7" hidden="1">
      <c r="A1126" s="1">
        <v>8</v>
      </c>
      <c r="B1126" s="1" t="s">
        <v>122</v>
      </c>
      <c r="C1126" s="11">
        <v>0</v>
      </c>
      <c r="D1126" s="11">
        <v>0</v>
      </c>
      <c r="E1126" s="2">
        <f t="shared" si="37"/>
        <v>0</v>
      </c>
      <c r="F1126" s="11">
        <v>0</v>
      </c>
      <c r="G1126" s="3" t="e">
        <f t="shared" si="38"/>
        <v>#DIV/0!</v>
      </c>
    </row>
    <row r="1127" spans="1:7" hidden="1">
      <c r="A1127" s="1">
        <v>9</v>
      </c>
      <c r="B1127" s="1" t="s">
        <v>122</v>
      </c>
      <c r="C1127" s="11">
        <v>0</v>
      </c>
      <c r="D1127" s="11">
        <v>0</v>
      </c>
      <c r="E1127" s="2">
        <f t="shared" si="37"/>
        <v>0</v>
      </c>
      <c r="F1127" s="11">
        <v>0</v>
      </c>
      <c r="G1127" s="3" t="e">
        <f t="shared" si="38"/>
        <v>#DIV/0!</v>
      </c>
    </row>
    <row r="1128" spans="1:7" hidden="1">
      <c r="A1128" s="1">
        <v>10</v>
      </c>
      <c r="B1128" s="1" t="s">
        <v>122</v>
      </c>
      <c r="C1128" s="11">
        <v>0</v>
      </c>
      <c r="D1128" s="11">
        <v>0</v>
      </c>
      <c r="E1128" s="2">
        <f t="shared" si="37"/>
        <v>0</v>
      </c>
      <c r="F1128" s="11">
        <v>0</v>
      </c>
      <c r="G1128" s="3" t="e">
        <f t="shared" si="38"/>
        <v>#DIV/0!</v>
      </c>
    </row>
    <row r="1129" spans="1:7" hidden="1">
      <c r="A1129" s="1">
        <v>11</v>
      </c>
      <c r="B1129" s="1" t="s">
        <v>122</v>
      </c>
      <c r="C1129" s="11">
        <v>0</v>
      </c>
      <c r="D1129" s="11">
        <v>0</v>
      </c>
      <c r="E1129" s="2">
        <f t="shared" si="37"/>
        <v>0</v>
      </c>
      <c r="F1129" s="11">
        <v>0</v>
      </c>
      <c r="G1129" s="3" t="e">
        <f t="shared" si="38"/>
        <v>#DIV/0!</v>
      </c>
    </row>
    <row r="1130" spans="1:7" hidden="1">
      <c r="A1130" s="1">
        <v>12</v>
      </c>
      <c r="B1130" s="1" t="s">
        <v>122</v>
      </c>
      <c r="C1130" s="11">
        <v>0</v>
      </c>
      <c r="D1130" s="11">
        <v>0</v>
      </c>
      <c r="E1130" s="2">
        <f t="shared" si="37"/>
        <v>0</v>
      </c>
      <c r="F1130" s="11">
        <v>0</v>
      </c>
      <c r="G1130" s="3" t="e">
        <f t="shared" si="38"/>
        <v>#DIV/0!</v>
      </c>
    </row>
    <row r="1131" spans="1:7" hidden="1">
      <c r="A1131" s="1">
        <v>13</v>
      </c>
      <c r="B1131" s="1" t="s">
        <v>122</v>
      </c>
      <c r="C1131" s="11">
        <v>0</v>
      </c>
      <c r="D1131" s="11">
        <v>0</v>
      </c>
      <c r="E1131" s="2">
        <f t="shared" si="37"/>
        <v>0</v>
      </c>
      <c r="F1131" s="11">
        <v>0</v>
      </c>
      <c r="G1131" s="3" t="e">
        <f t="shared" si="38"/>
        <v>#DIV/0!</v>
      </c>
    </row>
    <row r="1132" spans="1:7" hidden="1">
      <c r="A1132" s="1">
        <v>14</v>
      </c>
      <c r="B1132" s="1" t="s">
        <v>122</v>
      </c>
      <c r="C1132" s="11">
        <v>0</v>
      </c>
      <c r="D1132" s="11">
        <v>0</v>
      </c>
      <c r="E1132" s="2">
        <f t="shared" si="37"/>
        <v>0</v>
      </c>
      <c r="F1132" s="11">
        <v>0</v>
      </c>
      <c r="G1132" s="3" t="e">
        <f t="shared" si="38"/>
        <v>#DIV/0!</v>
      </c>
    </row>
    <row r="1133" spans="1:7" hidden="1">
      <c r="A1133" s="1">
        <v>15</v>
      </c>
      <c r="B1133" s="1" t="s">
        <v>122</v>
      </c>
      <c r="C1133" s="11">
        <v>0</v>
      </c>
      <c r="D1133" s="11">
        <v>0</v>
      </c>
      <c r="E1133" s="2">
        <f t="shared" si="37"/>
        <v>0</v>
      </c>
      <c r="F1133" s="11">
        <v>0</v>
      </c>
      <c r="G1133" s="3" t="e">
        <f t="shared" si="38"/>
        <v>#DIV/0!</v>
      </c>
    </row>
    <row r="1134" spans="1:7" hidden="1">
      <c r="A1134" s="1">
        <v>16</v>
      </c>
      <c r="B1134" s="1" t="s">
        <v>122</v>
      </c>
      <c r="C1134" s="11">
        <v>0</v>
      </c>
      <c r="D1134" s="11">
        <v>0</v>
      </c>
      <c r="E1134" s="2">
        <f t="shared" si="37"/>
        <v>0</v>
      </c>
      <c r="F1134" s="11">
        <v>0</v>
      </c>
      <c r="G1134" s="3" t="e">
        <f t="shared" si="38"/>
        <v>#DIV/0!</v>
      </c>
    </row>
    <row r="1135" spans="1:7" hidden="1">
      <c r="A1135" s="1">
        <v>17</v>
      </c>
      <c r="B1135" s="1" t="s">
        <v>122</v>
      </c>
      <c r="C1135" s="11">
        <v>0</v>
      </c>
      <c r="D1135" s="11">
        <v>0</v>
      </c>
      <c r="E1135" s="2">
        <f t="shared" si="37"/>
        <v>0</v>
      </c>
      <c r="F1135" s="11">
        <v>0</v>
      </c>
      <c r="G1135" s="3" t="e">
        <f t="shared" si="38"/>
        <v>#DIV/0!</v>
      </c>
    </row>
    <row r="1136" spans="1:7" hidden="1">
      <c r="A1136" s="1">
        <v>18</v>
      </c>
      <c r="B1136" s="1" t="s">
        <v>122</v>
      </c>
      <c r="C1136" s="11">
        <v>0</v>
      </c>
      <c r="D1136" s="11">
        <v>0</v>
      </c>
      <c r="E1136" s="2">
        <f t="shared" si="37"/>
        <v>0</v>
      </c>
      <c r="F1136" s="11">
        <v>0</v>
      </c>
      <c r="G1136" s="3" t="e">
        <f t="shared" si="38"/>
        <v>#DIV/0!</v>
      </c>
    </row>
    <row r="1137" spans="1:7" hidden="1">
      <c r="A1137" s="1">
        <v>19</v>
      </c>
      <c r="B1137" s="1" t="s">
        <v>122</v>
      </c>
      <c r="C1137" s="11">
        <v>0</v>
      </c>
      <c r="D1137" s="11">
        <v>0</v>
      </c>
      <c r="E1137" s="2">
        <f t="shared" si="37"/>
        <v>0</v>
      </c>
      <c r="F1137" s="11">
        <v>0</v>
      </c>
      <c r="G1137" s="3" t="e">
        <f t="shared" si="38"/>
        <v>#DIV/0!</v>
      </c>
    </row>
    <row r="1138" spans="1:7" hidden="1">
      <c r="A1138" s="1">
        <v>20</v>
      </c>
      <c r="B1138" s="1" t="s">
        <v>122</v>
      </c>
      <c r="C1138" s="11">
        <v>0</v>
      </c>
      <c r="D1138" s="11">
        <v>0</v>
      </c>
      <c r="E1138" s="2">
        <f t="shared" si="37"/>
        <v>0</v>
      </c>
      <c r="F1138" s="11">
        <v>0</v>
      </c>
      <c r="G1138" s="3" t="e">
        <f t="shared" si="38"/>
        <v>#DIV/0!</v>
      </c>
    </row>
    <row r="1139" spans="1:7" hidden="1">
      <c r="A1139" s="1">
        <v>21</v>
      </c>
      <c r="B1139" s="1" t="s">
        <v>122</v>
      </c>
      <c r="C1139" s="11">
        <v>0</v>
      </c>
      <c r="D1139" s="11">
        <v>0</v>
      </c>
      <c r="E1139" s="2">
        <f t="shared" si="37"/>
        <v>0</v>
      </c>
      <c r="F1139" s="11">
        <v>0</v>
      </c>
      <c r="G1139" s="3" t="e">
        <f t="shared" si="38"/>
        <v>#DIV/0!</v>
      </c>
    </row>
    <row r="1140" spans="1:7" hidden="1">
      <c r="A1140" s="1">
        <v>22</v>
      </c>
      <c r="B1140" s="1" t="s">
        <v>122</v>
      </c>
      <c r="C1140" s="11">
        <v>0</v>
      </c>
      <c r="D1140" s="11">
        <v>0</v>
      </c>
      <c r="E1140" s="2">
        <f t="shared" si="37"/>
        <v>0</v>
      </c>
      <c r="F1140" s="11">
        <v>0</v>
      </c>
      <c r="G1140" s="3" t="e">
        <f t="shared" si="38"/>
        <v>#DIV/0!</v>
      </c>
    </row>
    <row r="1141" spans="1:7" hidden="1">
      <c r="A1141" s="1">
        <v>23</v>
      </c>
      <c r="B1141" s="1" t="s">
        <v>122</v>
      </c>
      <c r="C1141" s="11">
        <v>0</v>
      </c>
      <c r="D1141" s="11">
        <v>0</v>
      </c>
      <c r="E1141" s="2">
        <f t="shared" si="37"/>
        <v>0</v>
      </c>
      <c r="F1141" s="11">
        <v>0</v>
      </c>
      <c r="G1141" s="3" t="e">
        <f t="shared" si="38"/>
        <v>#DIV/0!</v>
      </c>
    </row>
    <row r="1142" spans="1:7" hidden="1">
      <c r="A1142" s="1">
        <v>24</v>
      </c>
      <c r="B1142" s="1" t="s">
        <v>122</v>
      </c>
      <c r="C1142" s="11">
        <v>0</v>
      </c>
      <c r="D1142" s="11">
        <v>0</v>
      </c>
      <c r="E1142" s="2">
        <f t="shared" si="37"/>
        <v>0</v>
      </c>
      <c r="F1142" s="11">
        <v>0</v>
      </c>
      <c r="G1142" s="3" t="e">
        <f t="shared" si="38"/>
        <v>#DIV/0!</v>
      </c>
    </row>
    <row r="1143" spans="1:7" hidden="1">
      <c r="A1143" s="1">
        <v>25</v>
      </c>
      <c r="B1143" s="1" t="s">
        <v>122</v>
      </c>
      <c r="C1143" s="11">
        <v>0</v>
      </c>
      <c r="D1143" s="11">
        <v>0</v>
      </c>
      <c r="E1143" s="2">
        <f t="shared" si="37"/>
        <v>0</v>
      </c>
      <c r="F1143" s="11">
        <v>0</v>
      </c>
      <c r="G1143" s="3" t="e">
        <f t="shared" si="38"/>
        <v>#DIV/0!</v>
      </c>
    </row>
    <row r="1144" spans="1:7" hidden="1">
      <c r="A1144" s="1">
        <v>26</v>
      </c>
      <c r="B1144" s="1" t="s">
        <v>122</v>
      </c>
      <c r="C1144" s="11">
        <v>20</v>
      </c>
      <c r="D1144" s="11">
        <v>19.829999999999998</v>
      </c>
      <c r="E1144" s="2">
        <f t="shared" si="37"/>
        <v>0.17000000000000171</v>
      </c>
      <c r="F1144" s="11">
        <v>0.17</v>
      </c>
      <c r="G1144" s="3">
        <f t="shared" si="38"/>
        <v>1.7000000000000088E-2</v>
      </c>
    </row>
    <row r="1145" spans="1:7" hidden="1">
      <c r="A1145" s="1">
        <v>27</v>
      </c>
      <c r="B1145" s="1" t="s">
        <v>122</v>
      </c>
      <c r="C1145" s="11">
        <v>0</v>
      </c>
      <c r="D1145" s="11">
        <v>0</v>
      </c>
      <c r="E1145" s="2">
        <f t="shared" si="37"/>
        <v>0</v>
      </c>
      <c r="F1145" s="11">
        <v>0</v>
      </c>
      <c r="G1145" s="3" t="e">
        <f t="shared" si="38"/>
        <v>#DIV/0!</v>
      </c>
    </row>
    <row r="1146" spans="1:7" hidden="1">
      <c r="A1146" s="1">
        <v>28</v>
      </c>
      <c r="B1146" s="1" t="s">
        <v>122</v>
      </c>
      <c r="C1146" s="11">
        <v>0</v>
      </c>
      <c r="D1146" s="11">
        <v>0</v>
      </c>
      <c r="E1146" s="2">
        <f t="shared" si="37"/>
        <v>0</v>
      </c>
      <c r="F1146" s="11">
        <v>8.8999999999999996E-2</v>
      </c>
      <c r="G1146" s="3" t="e">
        <f t="shared" si="38"/>
        <v>#DIV/0!</v>
      </c>
    </row>
    <row r="1147" spans="1:7" hidden="1">
      <c r="A1147" s="1">
        <v>29</v>
      </c>
      <c r="B1147" s="1" t="s">
        <v>122</v>
      </c>
      <c r="C1147" s="11">
        <v>0</v>
      </c>
      <c r="D1147" s="11">
        <v>0</v>
      </c>
      <c r="E1147" s="2">
        <f t="shared" si="37"/>
        <v>0</v>
      </c>
      <c r="F1147" s="11">
        <v>0</v>
      </c>
      <c r="G1147" s="3" t="e">
        <f t="shared" si="38"/>
        <v>#DIV/0!</v>
      </c>
    </row>
    <row r="1148" spans="1:7" hidden="1">
      <c r="A1148" s="1">
        <v>30</v>
      </c>
      <c r="B1148" s="1" t="s">
        <v>122</v>
      </c>
      <c r="C1148" s="11">
        <v>0</v>
      </c>
      <c r="D1148" s="11">
        <v>0</v>
      </c>
      <c r="E1148" s="2">
        <f t="shared" si="37"/>
        <v>0</v>
      </c>
      <c r="F1148" s="11">
        <v>0</v>
      </c>
      <c r="G1148" s="3" t="e">
        <f t="shared" si="38"/>
        <v>#DIV/0!</v>
      </c>
    </row>
    <row r="1149" spans="1:7" hidden="1">
      <c r="A1149" s="1">
        <v>31</v>
      </c>
      <c r="B1149" s="1" t="s">
        <v>122</v>
      </c>
      <c r="C1149" s="11">
        <v>10</v>
      </c>
      <c r="D1149" s="11">
        <v>9.89</v>
      </c>
      <c r="E1149" s="2">
        <f t="shared" si="37"/>
        <v>0.10999999999999943</v>
      </c>
      <c r="F1149" s="11">
        <v>0</v>
      </c>
      <c r="G1149" s="3">
        <f t="shared" si="38"/>
        <v>1.0999999999999944E-2</v>
      </c>
    </row>
    <row r="1150" spans="1:7" hidden="1">
      <c r="A1150" s="1">
        <v>1</v>
      </c>
      <c r="B1150" s="1" t="s">
        <v>123</v>
      </c>
      <c r="C1150" s="11">
        <v>0</v>
      </c>
      <c r="D1150" s="11">
        <v>0</v>
      </c>
      <c r="E1150" s="2">
        <f t="shared" si="37"/>
        <v>0</v>
      </c>
      <c r="F1150" s="11">
        <v>0.12</v>
      </c>
      <c r="G1150" s="3" t="e">
        <f t="shared" ref="G1150:G1213" si="39">(E1150+F1150)/C1150</f>
        <v>#DIV/0!</v>
      </c>
    </row>
    <row r="1151" spans="1:7" hidden="1">
      <c r="A1151" s="1">
        <v>2</v>
      </c>
      <c r="B1151" s="1" t="s">
        <v>123</v>
      </c>
      <c r="C1151" s="11">
        <v>0</v>
      </c>
      <c r="D1151" s="11">
        <v>0</v>
      </c>
      <c r="E1151" s="2">
        <f t="shared" si="37"/>
        <v>0</v>
      </c>
      <c r="F1151" s="11">
        <v>0.14499999999999999</v>
      </c>
      <c r="G1151" s="3" t="e">
        <f t="shared" si="39"/>
        <v>#DIV/0!</v>
      </c>
    </row>
    <row r="1152" spans="1:7" hidden="1">
      <c r="A1152" s="1">
        <v>3</v>
      </c>
      <c r="B1152" s="1" t="s">
        <v>123</v>
      </c>
      <c r="C1152" s="11">
        <v>0</v>
      </c>
      <c r="D1152" s="11">
        <v>0</v>
      </c>
      <c r="E1152" s="2">
        <f t="shared" si="37"/>
        <v>0</v>
      </c>
      <c r="F1152" s="11">
        <v>0.11</v>
      </c>
      <c r="G1152" s="3" t="e">
        <f t="shared" si="39"/>
        <v>#DIV/0!</v>
      </c>
    </row>
    <row r="1153" spans="1:7" hidden="1">
      <c r="A1153" s="1">
        <v>4</v>
      </c>
      <c r="B1153" s="1" t="s">
        <v>123</v>
      </c>
      <c r="C1153" s="11">
        <v>20</v>
      </c>
      <c r="D1153" s="11">
        <v>19.940000000000001</v>
      </c>
      <c r="E1153" s="2">
        <f t="shared" si="37"/>
        <v>5.9999999999998721E-2</v>
      </c>
      <c r="F1153" s="11">
        <v>0.12</v>
      </c>
      <c r="G1153" s="3">
        <f t="shared" si="39"/>
        <v>8.9999999999999351E-3</v>
      </c>
    </row>
    <row r="1154" spans="1:7" hidden="1">
      <c r="A1154" s="1">
        <v>5</v>
      </c>
      <c r="B1154" s="1" t="s">
        <v>123</v>
      </c>
      <c r="C1154" s="11">
        <v>0</v>
      </c>
      <c r="D1154" s="11">
        <v>0</v>
      </c>
      <c r="E1154" s="2">
        <f t="shared" si="37"/>
        <v>0</v>
      </c>
      <c r="F1154" s="11">
        <v>9.9999999999997868E-2</v>
      </c>
      <c r="G1154" s="3" t="e">
        <f t="shared" si="39"/>
        <v>#DIV/0!</v>
      </c>
    </row>
    <row r="1155" spans="1:7" hidden="1">
      <c r="A1155" s="1">
        <v>6</v>
      </c>
      <c r="B1155" s="1" t="s">
        <v>123</v>
      </c>
      <c r="C1155" s="11">
        <v>0</v>
      </c>
      <c r="D1155" s="11">
        <v>0</v>
      </c>
      <c r="E1155" s="2">
        <f t="shared" si="37"/>
        <v>0</v>
      </c>
      <c r="F1155" s="11">
        <v>0.155</v>
      </c>
      <c r="G1155" s="3" t="e">
        <f t="shared" si="39"/>
        <v>#DIV/0!</v>
      </c>
    </row>
    <row r="1156" spans="1:7" hidden="1">
      <c r="A1156" s="1">
        <v>7</v>
      </c>
      <c r="B1156" s="1" t="s">
        <v>123</v>
      </c>
      <c r="C1156" s="11">
        <v>0</v>
      </c>
      <c r="D1156" s="11">
        <v>0</v>
      </c>
      <c r="E1156" s="2">
        <f t="shared" ref="E1156:E1405" si="40">C1156-D1156</f>
        <v>0</v>
      </c>
      <c r="F1156" s="11">
        <v>0.15</v>
      </c>
      <c r="G1156" s="3" t="e">
        <f t="shared" si="39"/>
        <v>#DIV/0!</v>
      </c>
    </row>
    <row r="1157" spans="1:7" hidden="1">
      <c r="A1157" s="1">
        <v>8</v>
      </c>
      <c r="B1157" s="1" t="s">
        <v>123</v>
      </c>
      <c r="C1157" s="11">
        <v>0</v>
      </c>
      <c r="D1157" s="11">
        <v>0</v>
      </c>
      <c r="E1157" s="2">
        <f t="shared" si="40"/>
        <v>0</v>
      </c>
      <c r="F1157" s="11">
        <v>0.16</v>
      </c>
      <c r="G1157" s="3" t="e">
        <f t="shared" si="39"/>
        <v>#DIV/0!</v>
      </c>
    </row>
    <row r="1158" spans="1:7" hidden="1">
      <c r="A1158" s="1">
        <v>9</v>
      </c>
      <c r="B1158" s="1" t="s">
        <v>123</v>
      </c>
      <c r="C1158" s="11">
        <v>0</v>
      </c>
      <c r="D1158" s="11">
        <v>0</v>
      </c>
      <c r="E1158" s="2">
        <f t="shared" si="40"/>
        <v>0</v>
      </c>
      <c r="F1158" s="11">
        <v>0.1949999999999994</v>
      </c>
      <c r="G1158" s="3" t="e">
        <f t="shared" si="39"/>
        <v>#DIV/0!</v>
      </c>
    </row>
    <row r="1159" spans="1:7" hidden="1">
      <c r="A1159" s="1">
        <v>10</v>
      </c>
      <c r="B1159" s="1" t="s">
        <v>123</v>
      </c>
      <c r="C1159" s="11">
        <v>20</v>
      </c>
      <c r="D1159" s="11">
        <v>19.73</v>
      </c>
      <c r="E1159" s="2">
        <f t="shared" si="40"/>
        <v>0.26999999999999957</v>
      </c>
      <c r="F1159" s="11">
        <v>0.14000000000000057</v>
      </c>
      <c r="G1159" s="3">
        <f t="shared" si="39"/>
        <v>2.0500000000000008E-2</v>
      </c>
    </row>
    <row r="1160" spans="1:7" hidden="1">
      <c r="A1160" s="1">
        <v>11</v>
      </c>
      <c r="B1160" s="1" t="s">
        <v>123</v>
      </c>
      <c r="C1160" s="11">
        <v>0</v>
      </c>
      <c r="D1160" s="11">
        <v>0</v>
      </c>
      <c r="E1160" s="2">
        <f t="shared" si="40"/>
        <v>0</v>
      </c>
      <c r="F1160" s="11">
        <v>0.13</v>
      </c>
      <c r="G1160" s="3" t="e">
        <f t="shared" si="39"/>
        <v>#DIV/0!</v>
      </c>
    </row>
    <row r="1161" spans="1:7" hidden="1">
      <c r="A1161" s="1">
        <v>12</v>
      </c>
      <c r="B1161" s="1" t="s">
        <v>123</v>
      </c>
      <c r="C1161" s="11">
        <v>0</v>
      </c>
      <c r="D1161" s="11">
        <v>0</v>
      </c>
      <c r="E1161" s="2">
        <f t="shared" si="40"/>
        <v>0</v>
      </c>
      <c r="F1161" s="11">
        <v>0.125</v>
      </c>
      <c r="G1161" s="3" t="e">
        <f t="shared" si="39"/>
        <v>#DIV/0!</v>
      </c>
    </row>
    <row r="1162" spans="1:7" hidden="1">
      <c r="A1162" s="1">
        <v>13</v>
      </c>
      <c r="B1162" s="1" t="s">
        <v>123</v>
      </c>
      <c r="C1162" s="11">
        <v>0</v>
      </c>
      <c r="D1162" s="11">
        <v>0</v>
      </c>
      <c r="E1162" s="2">
        <f t="shared" si="40"/>
        <v>0</v>
      </c>
      <c r="F1162" s="11">
        <v>0.105</v>
      </c>
      <c r="G1162" s="3" t="e">
        <f t="shared" si="39"/>
        <v>#DIV/0!</v>
      </c>
    </row>
    <row r="1163" spans="1:7" hidden="1">
      <c r="A1163" s="1">
        <v>14</v>
      </c>
      <c r="B1163" s="1" t="s">
        <v>123</v>
      </c>
      <c r="C1163" s="11">
        <v>0</v>
      </c>
      <c r="D1163" s="11">
        <v>0</v>
      </c>
      <c r="E1163" s="2">
        <f t="shared" si="40"/>
        <v>0</v>
      </c>
      <c r="F1163" s="11">
        <v>0.155</v>
      </c>
      <c r="G1163" s="3" t="e">
        <f t="shared" si="39"/>
        <v>#DIV/0!</v>
      </c>
    </row>
    <row r="1164" spans="1:7" hidden="1">
      <c r="A1164" s="1">
        <v>15</v>
      </c>
      <c r="B1164" s="1" t="s">
        <v>123</v>
      </c>
      <c r="C1164" s="11">
        <v>0</v>
      </c>
      <c r="D1164" s="11">
        <v>0</v>
      </c>
      <c r="E1164" s="2">
        <f t="shared" si="40"/>
        <v>0</v>
      </c>
      <c r="F1164" s="11">
        <v>0.17</v>
      </c>
      <c r="G1164" s="3" t="e">
        <f t="shared" si="39"/>
        <v>#DIV/0!</v>
      </c>
    </row>
    <row r="1165" spans="1:7" hidden="1">
      <c r="A1165" s="1">
        <v>16</v>
      </c>
      <c r="B1165" s="1" t="s">
        <v>123</v>
      </c>
      <c r="C1165" s="11">
        <v>0</v>
      </c>
      <c r="D1165" s="11">
        <v>0</v>
      </c>
      <c r="E1165" s="2">
        <f t="shared" si="40"/>
        <v>0</v>
      </c>
      <c r="F1165" s="11">
        <v>0.13500000000000001</v>
      </c>
      <c r="G1165" s="3" t="e">
        <f t="shared" si="39"/>
        <v>#DIV/0!</v>
      </c>
    </row>
    <row r="1166" spans="1:7" hidden="1">
      <c r="A1166" s="1">
        <v>17</v>
      </c>
      <c r="B1166" s="1" t="s">
        <v>123</v>
      </c>
      <c r="C1166" s="11">
        <v>0</v>
      </c>
      <c r="D1166" s="11">
        <v>0</v>
      </c>
      <c r="E1166" s="2">
        <f t="shared" si="40"/>
        <v>0</v>
      </c>
      <c r="F1166" s="11">
        <v>0.14000000000000001</v>
      </c>
      <c r="G1166" s="3" t="e">
        <f t="shared" si="39"/>
        <v>#DIV/0!</v>
      </c>
    </row>
    <row r="1167" spans="1:7" hidden="1">
      <c r="A1167" s="1">
        <v>18</v>
      </c>
      <c r="B1167" s="1" t="s">
        <v>123</v>
      </c>
      <c r="C1167" s="11">
        <v>0</v>
      </c>
      <c r="D1167" s="11">
        <v>0</v>
      </c>
      <c r="E1167" s="2">
        <f t="shared" si="40"/>
        <v>0</v>
      </c>
      <c r="F1167" s="11">
        <v>0.115</v>
      </c>
      <c r="G1167" s="3" t="e">
        <f t="shared" si="39"/>
        <v>#DIV/0!</v>
      </c>
    </row>
    <row r="1168" spans="1:7" hidden="1">
      <c r="A1168" s="1">
        <v>19</v>
      </c>
      <c r="B1168" s="1" t="s">
        <v>123</v>
      </c>
      <c r="C1168" s="11">
        <v>0</v>
      </c>
      <c r="D1168" s="11">
        <v>0</v>
      </c>
      <c r="E1168" s="2">
        <f t="shared" si="40"/>
        <v>0</v>
      </c>
      <c r="F1168" s="11">
        <v>0.16</v>
      </c>
      <c r="G1168" s="3" t="e">
        <f t="shared" si="39"/>
        <v>#DIV/0!</v>
      </c>
    </row>
    <row r="1169" spans="1:7" hidden="1">
      <c r="A1169" s="1">
        <v>20</v>
      </c>
      <c r="B1169" s="1" t="s">
        <v>123</v>
      </c>
      <c r="C1169" s="11">
        <v>0</v>
      </c>
      <c r="D1169" s="11">
        <v>0</v>
      </c>
      <c r="E1169" s="2">
        <f t="shared" si="40"/>
        <v>0</v>
      </c>
      <c r="F1169" s="11">
        <v>0.12</v>
      </c>
      <c r="G1169" s="3" t="e">
        <f t="shared" si="39"/>
        <v>#DIV/0!</v>
      </c>
    </row>
    <row r="1170" spans="1:7" hidden="1">
      <c r="A1170" s="1">
        <v>21</v>
      </c>
      <c r="B1170" s="1" t="s">
        <v>123</v>
      </c>
      <c r="C1170" s="11">
        <v>0</v>
      </c>
      <c r="D1170" s="11">
        <v>0</v>
      </c>
      <c r="E1170" s="2">
        <f t="shared" si="40"/>
        <v>0</v>
      </c>
      <c r="F1170" s="11">
        <v>0.12</v>
      </c>
      <c r="G1170" s="3" t="e">
        <f t="shared" si="39"/>
        <v>#DIV/0!</v>
      </c>
    </row>
    <row r="1171" spans="1:7" hidden="1">
      <c r="A1171" s="1">
        <v>22</v>
      </c>
      <c r="B1171" s="1" t="s">
        <v>123</v>
      </c>
      <c r="C1171" s="11">
        <v>0</v>
      </c>
      <c r="D1171" s="11">
        <v>0</v>
      </c>
      <c r="E1171" s="2">
        <f t="shared" si="40"/>
        <v>0</v>
      </c>
      <c r="F1171" s="11">
        <v>0.13500000000000001</v>
      </c>
      <c r="G1171" s="3" t="e">
        <f t="shared" si="39"/>
        <v>#DIV/0!</v>
      </c>
    </row>
    <row r="1172" spans="1:7" hidden="1">
      <c r="A1172" s="1">
        <v>23</v>
      </c>
      <c r="B1172" s="1" t="s">
        <v>123</v>
      </c>
      <c r="C1172" s="11">
        <v>20</v>
      </c>
      <c r="D1172" s="11">
        <v>19.61</v>
      </c>
      <c r="E1172" s="2">
        <f t="shared" si="40"/>
        <v>0.39000000000000057</v>
      </c>
      <c r="F1172" s="11">
        <v>0.14499999999999999</v>
      </c>
      <c r="G1172" s="3">
        <f t="shared" si="39"/>
        <v>2.6750000000000031E-2</v>
      </c>
    </row>
    <row r="1173" spans="1:7" hidden="1">
      <c r="A1173" s="1">
        <v>24</v>
      </c>
      <c r="B1173" s="1" t="s">
        <v>123</v>
      </c>
      <c r="C1173" s="11">
        <v>0</v>
      </c>
      <c r="D1173" s="11">
        <v>0</v>
      </c>
      <c r="E1173" s="2">
        <f t="shared" si="40"/>
        <v>0</v>
      </c>
      <c r="F1173" s="11">
        <v>0.125</v>
      </c>
      <c r="G1173" s="3" t="e">
        <f t="shared" si="39"/>
        <v>#DIV/0!</v>
      </c>
    </row>
    <row r="1174" spans="1:7" hidden="1">
      <c r="A1174" s="1">
        <v>25</v>
      </c>
      <c r="B1174" s="1" t="s">
        <v>123</v>
      </c>
      <c r="C1174" s="11">
        <v>0</v>
      </c>
      <c r="D1174" s="11">
        <v>0</v>
      </c>
      <c r="E1174" s="2">
        <f t="shared" si="40"/>
        <v>0</v>
      </c>
      <c r="F1174" s="11">
        <v>0.111</v>
      </c>
      <c r="G1174" s="3" t="e">
        <f t="shared" si="39"/>
        <v>#DIV/0!</v>
      </c>
    </row>
    <row r="1175" spans="1:7" hidden="1">
      <c r="A1175" s="1">
        <v>26</v>
      </c>
      <c r="B1175" s="1" t="s">
        <v>123</v>
      </c>
      <c r="C1175" s="11">
        <v>0</v>
      </c>
      <c r="D1175" s="11">
        <v>0</v>
      </c>
      <c r="E1175" s="2">
        <f t="shared" si="40"/>
        <v>0</v>
      </c>
      <c r="F1175" s="11">
        <v>0</v>
      </c>
      <c r="G1175" s="3" t="e">
        <f t="shared" si="39"/>
        <v>#DIV/0!</v>
      </c>
    </row>
    <row r="1176" spans="1:7" hidden="1">
      <c r="A1176" s="1">
        <v>27</v>
      </c>
      <c r="B1176" s="1" t="s">
        <v>123</v>
      </c>
      <c r="C1176" s="11">
        <v>0</v>
      </c>
      <c r="D1176" s="11">
        <v>0</v>
      </c>
      <c r="E1176" s="2">
        <f t="shared" si="40"/>
        <v>0</v>
      </c>
      <c r="F1176" s="11">
        <v>0.16500000000000001</v>
      </c>
      <c r="G1176" s="3" t="e">
        <f t="shared" si="39"/>
        <v>#DIV/0!</v>
      </c>
    </row>
    <row r="1177" spans="1:7" hidden="1">
      <c r="A1177" s="1">
        <v>28</v>
      </c>
      <c r="B1177" s="1" t="s">
        <v>123</v>
      </c>
      <c r="C1177" s="11">
        <v>20</v>
      </c>
      <c r="D1177" s="11">
        <v>19.72</v>
      </c>
      <c r="E1177" s="2">
        <f t="shared" si="40"/>
        <v>0.28000000000000114</v>
      </c>
      <c r="F1177" s="11">
        <v>0.121</v>
      </c>
      <c r="G1177" s="3">
        <f t="shared" si="39"/>
        <v>2.0050000000000057E-2</v>
      </c>
    </row>
    <row r="1178" spans="1:7" hidden="1">
      <c r="A1178" s="1">
        <v>29</v>
      </c>
      <c r="B1178" s="1" t="s">
        <v>123</v>
      </c>
      <c r="C1178" s="11">
        <v>0</v>
      </c>
      <c r="D1178" s="11">
        <v>0</v>
      </c>
      <c r="E1178" s="2">
        <f t="shared" si="40"/>
        <v>0</v>
      </c>
      <c r="F1178" s="11">
        <v>0.1</v>
      </c>
      <c r="G1178" s="3" t="e">
        <f t="shared" si="39"/>
        <v>#DIV/0!</v>
      </c>
    </row>
    <row r="1179" spans="1:7" hidden="1">
      <c r="A1179" s="1">
        <v>30</v>
      </c>
      <c r="B1179" s="1" t="s">
        <v>123</v>
      </c>
      <c r="C1179" s="11">
        <v>0</v>
      </c>
      <c r="D1179" s="11">
        <v>0</v>
      </c>
      <c r="E1179" s="2">
        <f t="shared" si="40"/>
        <v>0</v>
      </c>
      <c r="F1179" s="11">
        <v>0.14499999999999999</v>
      </c>
      <c r="G1179" s="3" t="e">
        <f t="shared" si="39"/>
        <v>#DIV/0!</v>
      </c>
    </row>
    <row r="1180" spans="1:7" hidden="1">
      <c r="A1180" s="1">
        <v>31</v>
      </c>
      <c r="B1180" s="1" t="s">
        <v>123</v>
      </c>
      <c r="C1180" s="11">
        <v>0</v>
      </c>
      <c r="D1180" s="11">
        <v>0</v>
      </c>
      <c r="E1180" s="2">
        <f t="shared" si="40"/>
        <v>0</v>
      </c>
      <c r="F1180" s="11">
        <v>0.105</v>
      </c>
      <c r="G1180" s="3" t="e">
        <f t="shared" si="39"/>
        <v>#DIV/0!</v>
      </c>
    </row>
    <row r="1181" spans="1:7" hidden="1">
      <c r="A1181" s="1">
        <v>1</v>
      </c>
      <c r="B1181" s="1" t="s">
        <v>124</v>
      </c>
      <c r="C1181" s="11">
        <v>20</v>
      </c>
      <c r="D1181" s="11">
        <v>19.78</v>
      </c>
      <c r="E1181" s="2">
        <f t="shared" si="40"/>
        <v>0.21999999999999886</v>
      </c>
      <c r="F1181" s="11">
        <v>0.14199999999999999</v>
      </c>
      <c r="G1181" s="3">
        <f t="shared" si="39"/>
        <v>1.8099999999999943E-2</v>
      </c>
    </row>
    <row r="1182" spans="1:7" hidden="1">
      <c r="A1182" s="1">
        <v>2</v>
      </c>
      <c r="B1182" s="1" t="s">
        <v>124</v>
      </c>
      <c r="C1182" s="11">
        <v>0</v>
      </c>
      <c r="D1182" s="11">
        <v>0</v>
      </c>
      <c r="E1182" s="2">
        <f t="shared" si="40"/>
        <v>0</v>
      </c>
      <c r="F1182" s="11">
        <v>0</v>
      </c>
      <c r="G1182" s="3" t="e">
        <f t="shared" si="39"/>
        <v>#DIV/0!</v>
      </c>
    </row>
    <row r="1183" spans="1:7" hidden="1">
      <c r="A1183" s="1">
        <v>3</v>
      </c>
      <c r="B1183" s="1" t="s">
        <v>124</v>
      </c>
      <c r="C1183" s="11">
        <v>20</v>
      </c>
      <c r="D1183" s="11">
        <v>19.899999999999999</v>
      </c>
      <c r="E1183" s="2">
        <f t="shared" si="40"/>
        <v>0.10000000000000142</v>
      </c>
      <c r="F1183" s="11">
        <v>0.379</v>
      </c>
      <c r="G1183" s="3">
        <f t="shared" si="39"/>
        <v>2.3950000000000072E-2</v>
      </c>
    </row>
    <row r="1184" spans="1:7" hidden="1">
      <c r="A1184" s="1">
        <v>4</v>
      </c>
      <c r="B1184" s="1" t="s">
        <v>124</v>
      </c>
      <c r="C1184" s="11">
        <v>0</v>
      </c>
      <c r="D1184" s="11">
        <v>0</v>
      </c>
      <c r="E1184" s="2">
        <f t="shared" si="40"/>
        <v>0</v>
      </c>
      <c r="F1184" s="11">
        <v>9.6000000000000002E-2</v>
      </c>
      <c r="G1184" s="3" t="e">
        <f t="shared" si="39"/>
        <v>#DIV/0!</v>
      </c>
    </row>
    <row r="1185" spans="1:7" hidden="1">
      <c r="A1185" s="1">
        <v>5</v>
      </c>
      <c r="B1185" s="1" t="s">
        <v>124</v>
      </c>
      <c r="C1185" s="11">
        <v>0</v>
      </c>
      <c r="D1185" s="11">
        <v>0</v>
      </c>
      <c r="E1185" s="2">
        <f t="shared" si="40"/>
        <v>0</v>
      </c>
      <c r="F1185" s="11">
        <v>0.06</v>
      </c>
      <c r="G1185" s="3" t="e">
        <f t="shared" si="39"/>
        <v>#DIV/0!</v>
      </c>
    </row>
    <row r="1186" spans="1:7" hidden="1">
      <c r="A1186" s="1">
        <v>6</v>
      </c>
      <c r="B1186" s="1" t="s">
        <v>124</v>
      </c>
      <c r="C1186" s="11">
        <v>0</v>
      </c>
      <c r="D1186" s="11">
        <v>0</v>
      </c>
      <c r="E1186" s="2">
        <f t="shared" si="40"/>
        <v>0</v>
      </c>
      <c r="F1186" s="11">
        <v>0</v>
      </c>
      <c r="G1186" s="3" t="e">
        <f t="shared" si="39"/>
        <v>#DIV/0!</v>
      </c>
    </row>
    <row r="1187" spans="1:7" hidden="1">
      <c r="A1187" s="1">
        <v>7</v>
      </c>
      <c r="B1187" s="1" t="s">
        <v>124</v>
      </c>
      <c r="C1187" s="11">
        <v>20</v>
      </c>
      <c r="D1187" s="11">
        <v>18.46</v>
      </c>
      <c r="E1187" s="2">
        <f t="shared" si="40"/>
        <v>1.5399999999999991</v>
      </c>
      <c r="F1187" s="11">
        <v>3.9000000000003254E-2</v>
      </c>
      <c r="G1187" s="3">
        <f t="shared" si="39"/>
        <v>7.8950000000000117E-2</v>
      </c>
    </row>
    <row r="1188" spans="1:7" hidden="1">
      <c r="A1188" s="1">
        <v>8</v>
      </c>
      <c r="B1188" s="1" t="s">
        <v>124</v>
      </c>
      <c r="C1188" s="11">
        <v>0</v>
      </c>
      <c r="D1188" s="11">
        <v>0</v>
      </c>
      <c r="E1188" s="2">
        <f t="shared" si="40"/>
        <v>0</v>
      </c>
      <c r="F1188" s="11">
        <v>6.9000000000000006E-2</v>
      </c>
      <c r="G1188" s="3" t="e">
        <f t="shared" si="39"/>
        <v>#DIV/0!</v>
      </c>
    </row>
    <row r="1189" spans="1:7" hidden="1">
      <c r="A1189" s="1">
        <v>9</v>
      </c>
      <c r="B1189" s="1" t="s">
        <v>124</v>
      </c>
      <c r="C1189" s="11">
        <v>0</v>
      </c>
      <c r="D1189" s="11">
        <v>0</v>
      </c>
      <c r="E1189" s="2">
        <f t="shared" si="40"/>
        <v>0</v>
      </c>
      <c r="F1189" s="11">
        <v>0.17</v>
      </c>
      <c r="G1189" s="3" t="e">
        <f t="shared" si="39"/>
        <v>#DIV/0!</v>
      </c>
    </row>
    <row r="1190" spans="1:7" hidden="1">
      <c r="A1190" s="1">
        <v>10</v>
      </c>
      <c r="B1190" s="1" t="s">
        <v>124</v>
      </c>
      <c r="C1190" s="11">
        <v>0</v>
      </c>
      <c r="D1190" s="11">
        <v>0</v>
      </c>
      <c r="E1190" s="2">
        <f t="shared" si="40"/>
        <v>0</v>
      </c>
      <c r="F1190" s="11">
        <v>0.161</v>
      </c>
      <c r="G1190" s="3" t="e">
        <f t="shared" si="39"/>
        <v>#DIV/0!</v>
      </c>
    </row>
    <row r="1191" spans="1:7" hidden="1">
      <c r="A1191" s="1">
        <v>11</v>
      </c>
      <c r="B1191" s="1" t="s">
        <v>124</v>
      </c>
      <c r="C1191" s="11">
        <v>0</v>
      </c>
      <c r="D1191" s="11">
        <v>0</v>
      </c>
      <c r="E1191" s="2">
        <f t="shared" si="40"/>
        <v>0</v>
      </c>
      <c r="F1191" s="11">
        <v>6.4000000000000057E-2</v>
      </c>
      <c r="G1191" s="3" t="e">
        <f t="shared" si="39"/>
        <v>#DIV/0!</v>
      </c>
    </row>
    <row r="1192" spans="1:7" hidden="1">
      <c r="A1192" s="1">
        <v>12</v>
      </c>
      <c r="B1192" s="1" t="s">
        <v>124</v>
      </c>
      <c r="C1192" s="11">
        <v>0</v>
      </c>
      <c r="D1192" s="11">
        <v>0</v>
      </c>
      <c r="E1192" s="2">
        <f t="shared" si="40"/>
        <v>0</v>
      </c>
      <c r="F1192" s="11">
        <v>7.0999999999999994E-2</v>
      </c>
      <c r="G1192" s="3" t="e">
        <f t="shared" si="39"/>
        <v>#DIV/0!</v>
      </c>
    </row>
    <row r="1193" spans="1:7" hidden="1">
      <c r="A1193" s="1">
        <v>13</v>
      </c>
      <c r="B1193" s="1" t="s">
        <v>124</v>
      </c>
      <c r="C1193" s="11">
        <v>10</v>
      </c>
      <c r="D1193" s="11">
        <v>10</v>
      </c>
      <c r="E1193" s="2">
        <f t="shared" si="40"/>
        <v>0</v>
      </c>
      <c r="F1193" s="11">
        <v>0.17799999999999999</v>
      </c>
      <c r="G1193" s="3">
        <f t="shared" si="39"/>
        <v>1.78E-2</v>
      </c>
    </row>
    <row r="1194" spans="1:7" hidden="1">
      <c r="A1194" s="1">
        <v>14</v>
      </c>
      <c r="B1194" s="1" t="s">
        <v>124</v>
      </c>
      <c r="C1194" s="11">
        <v>0</v>
      </c>
      <c r="D1194" s="11">
        <v>0</v>
      </c>
      <c r="E1194" s="2">
        <f t="shared" si="40"/>
        <v>0</v>
      </c>
      <c r="F1194" s="11">
        <v>8.7999999999999995E-2</v>
      </c>
      <c r="G1194" s="3" t="e">
        <f t="shared" si="39"/>
        <v>#DIV/0!</v>
      </c>
    </row>
    <row r="1195" spans="1:7" hidden="1">
      <c r="A1195" s="1">
        <v>15</v>
      </c>
      <c r="B1195" s="1" t="s">
        <v>124</v>
      </c>
      <c r="C1195" s="11">
        <v>0</v>
      </c>
      <c r="D1195" s="11">
        <v>0</v>
      </c>
      <c r="E1195" s="2">
        <f t="shared" si="40"/>
        <v>0</v>
      </c>
      <c r="F1195" s="11">
        <v>-0.14599999999999999</v>
      </c>
      <c r="G1195" s="3" t="e">
        <f t="shared" si="39"/>
        <v>#DIV/0!</v>
      </c>
    </row>
    <row r="1196" spans="1:7" hidden="1">
      <c r="A1196" s="1">
        <v>16</v>
      </c>
      <c r="B1196" s="1" t="s">
        <v>124</v>
      </c>
      <c r="C1196" s="11">
        <v>20</v>
      </c>
      <c r="D1196" s="11">
        <v>19.78</v>
      </c>
      <c r="E1196" s="2">
        <f t="shared" si="40"/>
        <v>0.21999999999999886</v>
      </c>
      <c r="F1196" s="11">
        <v>0.14199999999999999</v>
      </c>
      <c r="G1196" s="3">
        <f t="shared" si="39"/>
        <v>1.8099999999999943E-2</v>
      </c>
    </row>
    <row r="1197" spans="1:7" hidden="1">
      <c r="A1197" s="1">
        <v>17</v>
      </c>
      <c r="B1197" s="1" t="s">
        <v>124</v>
      </c>
      <c r="C1197" s="11">
        <v>0</v>
      </c>
      <c r="D1197" s="11">
        <v>0</v>
      </c>
      <c r="E1197" s="2">
        <f t="shared" si="40"/>
        <v>0</v>
      </c>
      <c r="F1197" s="11">
        <v>3.5999999999999997E-2</v>
      </c>
      <c r="G1197" s="3" t="e">
        <f t="shared" si="39"/>
        <v>#DIV/0!</v>
      </c>
    </row>
    <row r="1198" spans="1:7" hidden="1">
      <c r="A1198" s="1">
        <v>18</v>
      </c>
      <c r="B1198" s="1" t="s">
        <v>124</v>
      </c>
      <c r="C1198" s="11">
        <v>10</v>
      </c>
      <c r="D1198" s="11">
        <v>10</v>
      </c>
      <c r="E1198" s="2">
        <f t="shared" ref="E1198" si="41">C1198-D1198</f>
        <v>0</v>
      </c>
      <c r="F1198" s="11">
        <v>0.36099999999999999</v>
      </c>
      <c r="G1198" s="3">
        <f t="shared" si="39"/>
        <v>3.61E-2</v>
      </c>
    </row>
    <row r="1199" spans="1:7" hidden="1">
      <c r="A1199" s="1">
        <v>19</v>
      </c>
      <c r="B1199" s="1" t="s">
        <v>124</v>
      </c>
      <c r="C1199" s="11">
        <v>0</v>
      </c>
      <c r="D1199" s="11">
        <v>0</v>
      </c>
      <c r="E1199" s="2">
        <f t="shared" si="40"/>
        <v>0</v>
      </c>
      <c r="F1199" s="11">
        <v>8.8999999999999996E-2</v>
      </c>
      <c r="G1199" s="3" t="e">
        <f t="shared" si="39"/>
        <v>#DIV/0!</v>
      </c>
    </row>
    <row r="1200" spans="1:7" hidden="1">
      <c r="A1200" s="1">
        <v>20</v>
      </c>
      <c r="B1200" s="1" t="s">
        <v>124</v>
      </c>
      <c r="C1200" s="11">
        <v>0</v>
      </c>
      <c r="D1200" s="11">
        <v>0</v>
      </c>
      <c r="E1200" s="2">
        <f t="shared" si="40"/>
        <v>0</v>
      </c>
      <c r="F1200" s="11">
        <v>0.08</v>
      </c>
      <c r="G1200" s="3" t="e">
        <f t="shared" si="39"/>
        <v>#DIV/0!</v>
      </c>
    </row>
    <row r="1201" spans="1:7" hidden="1">
      <c r="A1201" s="1">
        <v>21</v>
      </c>
      <c r="B1201" s="1" t="s">
        <v>124</v>
      </c>
      <c r="C1201" s="11">
        <v>0</v>
      </c>
      <c r="D1201" s="11">
        <v>0</v>
      </c>
      <c r="E1201" s="2">
        <f t="shared" si="40"/>
        <v>0</v>
      </c>
      <c r="F1201" s="11">
        <v>5.8999999999999997E-2</v>
      </c>
      <c r="G1201" s="3" t="e">
        <f t="shared" si="39"/>
        <v>#DIV/0!</v>
      </c>
    </row>
    <row r="1202" spans="1:7" hidden="1">
      <c r="A1202" s="1">
        <v>22</v>
      </c>
      <c r="B1202" s="1" t="s">
        <v>124</v>
      </c>
      <c r="C1202" s="11">
        <v>10</v>
      </c>
      <c r="D1202" s="11">
        <v>10</v>
      </c>
      <c r="E1202" s="2">
        <f t="shared" si="40"/>
        <v>0</v>
      </c>
      <c r="F1202" s="11">
        <v>0.107</v>
      </c>
      <c r="G1202" s="3">
        <f t="shared" si="39"/>
        <v>1.0699999999999999E-2</v>
      </c>
    </row>
    <row r="1203" spans="1:7" hidden="1">
      <c r="A1203" s="1">
        <v>23</v>
      </c>
      <c r="B1203" s="1" t="s">
        <v>124</v>
      </c>
      <c r="C1203" s="11">
        <v>0</v>
      </c>
      <c r="D1203" s="11">
        <v>0</v>
      </c>
      <c r="E1203" s="2">
        <f t="shared" si="40"/>
        <v>0</v>
      </c>
      <c r="F1203" s="11">
        <v>2.9000000000000001E-2</v>
      </c>
      <c r="G1203" s="3" t="e">
        <f t="shared" si="39"/>
        <v>#DIV/0!</v>
      </c>
    </row>
    <row r="1204" spans="1:7" hidden="1">
      <c r="A1204" s="1">
        <v>24</v>
      </c>
      <c r="B1204" s="1" t="s">
        <v>124</v>
      </c>
      <c r="C1204" s="11">
        <v>10</v>
      </c>
      <c r="D1204" s="11">
        <v>10</v>
      </c>
      <c r="E1204" s="2">
        <f t="shared" si="40"/>
        <v>0</v>
      </c>
      <c r="F1204" s="11">
        <v>7.4999999999999997E-2</v>
      </c>
      <c r="G1204" s="3">
        <f t="shared" si="39"/>
        <v>7.4999999999999997E-3</v>
      </c>
    </row>
    <row r="1205" spans="1:7" hidden="1">
      <c r="A1205" s="1">
        <v>25</v>
      </c>
      <c r="B1205" s="1" t="s">
        <v>124</v>
      </c>
      <c r="C1205" s="11">
        <v>0</v>
      </c>
      <c r="D1205" s="11">
        <v>0</v>
      </c>
      <c r="E1205" s="2">
        <f t="shared" si="40"/>
        <v>0</v>
      </c>
      <c r="F1205" s="11">
        <v>3.4000000000000002E-2</v>
      </c>
      <c r="G1205" s="3" t="e">
        <f t="shared" si="39"/>
        <v>#DIV/0!</v>
      </c>
    </row>
    <row r="1206" spans="1:7" hidden="1">
      <c r="A1206" s="1">
        <v>26</v>
      </c>
      <c r="B1206" s="1" t="s">
        <v>124</v>
      </c>
      <c r="C1206" s="11">
        <v>0</v>
      </c>
      <c r="D1206" s="11">
        <v>0</v>
      </c>
      <c r="E1206" s="2">
        <f t="shared" si="40"/>
        <v>0</v>
      </c>
      <c r="F1206" s="11">
        <v>1.0999999999999999E-2</v>
      </c>
      <c r="G1206" s="3" t="e">
        <f t="shared" si="39"/>
        <v>#DIV/0!</v>
      </c>
    </row>
    <row r="1207" spans="1:7" hidden="1">
      <c r="A1207" s="1">
        <v>27</v>
      </c>
      <c r="B1207" s="1" t="s">
        <v>124</v>
      </c>
      <c r="C1207" s="11">
        <v>20</v>
      </c>
      <c r="D1207" s="11">
        <v>19.82</v>
      </c>
      <c r="E1207" s="2">
        <f t="shared" si="40"/>
        <v>0.17999999999999972</v>
      </c>
      <c r="F1207" s="11">
        <v>9.6000000000000002E-2</v>
      </c>
      <c r="G1207" s="3">
        <f t="shared" si="39"/>
        <v>1.3799999999999984E-2</v>
      </c>
    </row>
    <row r="1208" spans="1:7" hidden="1">
      <c r="A1208" s="1">
        <v>28</v>
      </c>
      <c r="B1208" s="1" t="s">
        <v>124</v>
      </c>
      <c r="C1208" s="11">
        <v>0</v>
      </c>
      <c r="D1208" s="11">
        <v>0</v>
      </c>
      <c r="E1208" s="2">
        <f t="shared" si="40"/>
        <v>0</v>
      </c>
      <c r="F1208" s="11">
        <v>2.9000000000000001E-2</v>
      </c>
      <c r="G1208" s="3" t="e">
        <f t="shared" si="39"/>
        <v>#DIV/0!</v>
      </c>
    </row>
    <row r="1209" spans="1:7" hidden="1">
      <c r="A1209" s="1">
        <v>29</v>
      </c>
      <c r="B1209" s="1" t="s">
        <v>124</v>
      </c>
      <c r="C1209" s="11">
        <v>0</v>
      </c>
      <c r="D1209" s="11">
        <v>0</v>
      </c>
      <c r="E1209" s="2">
        <f t="shared" si="40"/>
        <v>0</v>
      </c>
      <c r="F1209" s="11">
        <v>0</v>
      </c>
      <c r="G1209" s="3" t="e">
        <f t="shared" si="39"/>
        <v>#DIV/0!</v>
      </c>
    </row>
    <row r="1210" spans="1:7" hidden="1">
      <c r="A1210" s="1">
        <v>30</v>
      </c>
      <c r="B1210" s="1" t="s">
        <v>124</v>
      </c>
      <c r="C1210" s="11">
        <v>0</v>
      </c>
      <c r="D1210" s="11">
        <v>0</v>
      </c>
      <c r="E1210" s="2">
        <f t="shared" si="40"/>
        <v>0</v>
      </c>
      <c r="F1210" s="11">
        <v>0.08</v>
      </c>
      <c r="G1210" s="3" t="e">
        <f t="shared" si="39"/>
        <v>#DIV/0!</v>
      </c>
    </row>
    <row r="1211" spans="1:7" hidden="1">
      <c r="A1211" s="1">
        <v>31</v>
      </c>
      <c r="B1211" s="1" t="s">
        <v>124</v>
      </c>
      <c r="C1211" s="11">
        <v>0</v>
      </c>
      <c r="D1211" s="11">
        <v>0</v>
      </c>
      <c r="E1211" s="2">
        <f t="shared" si="40"/>
        <v>0</v>
      </c>
      <c r="F1211" s="11">
        <v>5.5E-2</v>
      </c>
      <c r="G1211" s="3" t="e">
        <f t="shared" si="39"/>
        <v>#DIV/0!</v>
      </c>
    </row>
    <row r="1212" spans="1:7" hidden="1">
      <c r="A1212" s="1">
        <v>1</v>
      </c>
      <c r="B1212" s="1" t="s">
        <v>125</v>
      </c>
      <c r="C1212" s="11">
        <v>0</v>
      </c>
      <c r="D1212" s="11">
        <v>0</v>
      </c>
      <c r="E1212" s="2">
        <f t="shared" ref="E1212:E1242" si="42">C1212-D1212</f>
        <v>0</v>
      </c>
      <c r="F1212" s="11">
        <v>0</v>
      </c>
      <c r="G1212" s="3" t="e">
        <f t="shared" si="39"/>
        <v>#DIV/0!</v>
      </c>
    </row>
    <row r="1213" spans="1:7" hidden="1">
      <c r="A1213" s="1">
        <v>2</v>
      </c>
      <c r="B1213" s="1" t="s">
        <v>125</v>
      </c>
      <c r="C1213" s="11">
        <v>0</v>
      </c>
      <c r="D1213" s="11">
        <v>0</v>
      </c>
      <c r="E1213" s="2">
        <f t="shared" si="42"/>
        <v>0</v>
      </c>
      <c r="F1213" s="11">
        <v>0</v>
      </c>
      <c r="G1213" s="3" t="e">
        <f t="shared" si="39"/>
        <v>#DIV/0!</v>
      </c>
    </row>
    <row r="1214" spans="1:7" hidden="1">
      <c r="A1214" s="1">
        <v>3</v>
      </c>
      <c r="B1214" s="1" t="s">
        <v>125</v>
      </c>
      <c r="C1214" s="11">
        <v>20</v>
      </c>
      <c r="D1214" s="11">
        <v>19.850000000000001</v>
      </c>
      <c r="E1214" s="2">
        <f t="shared" si="42"/>
        <v>0.14999999999999858</v>
      </c>
      <c r="F1214" s="11">
        <v>5.5E-2</v>
      </c>
      <c r="G1214" s="3">
        <f t="shared" ref="G1214:G1304" si="43">(E1214+F1214)/C1214</f>
        <v>1.0249999999999929E-2</v>
      </c>
    </row>
    <row r="1215" spans="1:7" hidden="1">
      <c r="A1215" s="1">
        <v>4</v>
      </c>
      <c r="B1215" s="1" t="s">
        <v>125</v>
      </c>
      <c r="C1215" s="11">
        <v>20</v>
      </c>
      <c r="D1215" s="11">
        <v>19.11</v>
      </c>
      <c r="E1215" s="2">
        <f t="shared" si="42"/>
        <v>0.89000000000000057</v>
      </c>
      <c r="F1215" s="11">
        <v>7.4999999999999997E-2</v>
      </c>
      <c r="G1215" s="3">
        <f t="shared" si="43"/>
        <v>4.8250000000000029E-2</v>
      </c>
    </row>
    <row r="1216" spans="1:7" hidden="1">
      <c r="A1216" s="1">
        <v>5</v>
      </c>
      <c r="B1216" s="1" t="s">
        <v>125</v>
      </c>
      <c r="C1216" s="11">
        <v>0</v>
      </c>
      <c r="D1216" s="11">
        <v>0</v>
      </c>
      <c r="E1216" s="2">
        <f t="shared" si="42"/>
        <v>0</v>
      </c>
      <c r="F1216" s="11">
        <v>5.1999999999999998E-2</v>
      </c>
      <c r="G1216" s="3" t="e">
        <f t="shared" si="43"/>
        <v>#DIV/0!</v>
      </c>
    </row>
    <row r="1217" spans="1:7" hidden="1">
      <c r="A1217" s="1">
        <v>6</v>
      </c>
      <c r="B1217" s="1" t="s">
        <v>125</v>
      </c>
      <c r="C1217" s="11">
        <v>20</v>
      </c>
      <c r="D1217" s="11">
        <v>19.850000000000001</v>
      </c>
      <c r="E1217" s="2">
        <f t="shared" si="42"/>
        <v>0.14999999999999858</v>
      </c>
      <c r="F1217" s="11">
        <v>3.3000000000000002E-2</v>
      </c>
      <c r="G1217" s="3">
        <f t="shared" si="43"/>
        <v>9.149999999999929E-3</v>
      </c>
    </row>
    <row r="1218" spans="1:7" hidden="1">
      <c r="A1218" s="1">
        <v>7</v>
      </c>
      <c r="B1218" s="1" t="s">
        <v>125</v>
      </c>
      <c r="C1218" s="11">
        <v>0</v>
      </c>
      <c r="D1218" s="11">
        <v>0</v>
      </c>
      <c r="E1218" s="2">
        <f t="shared" si="42"/>
        <v>0</v>
      </c>
      <c r="F1218" s="11">
        <v>7.3999999999999996E-2</v>
      </c>
      <c r="G1218" s="3" t="e">
        <f t="shared" si="43"/>
        <v>#DIV/0!</v>
      </c>
    </row>
    <row r="1219" spans="1:7" hidden="1">
      <c r="A1219" s="1">
        <v>8</v>
      </c>
      <c r="B1219" s="1" t="s">
        <v>125</v>
      </c>
      <c r="C1219" s="11">
        <v>0</v>
      </c>
      <c r="D1219" s="11">
        <v>0</v>
      </c>
      <c r="E1219" s="2">
        <f t="shared" si="42"/>
        <v>0</v>
      </c>
      <c r="F1219" s="11">
        <v>1.2999999999999999E-2</v>
      </c>
      <c r="G1219" s="3" t="e">
        <f t="shared" si="43"/>
        <v>#DIV/0!</v>
      </c>
    </row>
    <row r="1220" spans="1:7" hidden="1">
      <c r="A1220" s="1">
        <v>9</v>
      </c>
      <c r="B1220" s="1" t="s">
        <v>125</v>
      </c>
      <c r="C1220" s="11">
        <v>20</v>
      </c>
      <c r="D1220" s="11">
        <v>19.079999999999998</v>
      </c>
      <c r="E1220" s="2">
        <f t="shared" si="42"/>
        <v>0.92000000000000171</v>
      </c>
      <c r="F1220" s="11">
        <v>5.1999999999999998E-2</v>
      </c>
      <c r="G1220" s="3">
        <f t="shared" si="43"/>
        <v>4.8600000000000088E-2</v>
      </c>
    </row>
    <row r="1221" spans="1:7" hidden="1">
      <c r="A1221" s="1">
        <v>10</v>
      </c>
      <c r="B1221" s="1" t="s">
        <v>125</v>
      </c>
      <c r="C1221" s="11">
        <v>0</v>
      </c>
      <c r="D1221" s="11">
        <v>0</v>
      </c>
      <c r="E1221" s="2">
        <f t="shared" si="42"/>
        <v>0</v>
      </c>
      <c r="F1221" s="11">
        <v>5.1999999999999998E-2</v>
      </c>
      <c r="G1221" s="3" t="e">
        <f t="shared" si="43"/>
        <v>#DIV/0!</v>
      </c>
    </row>
    <row r="1222" spans="1:7" hidden="1">
      <c r="A1222" s="1">
        <v>11</v>
      </c>
      <c r="B1222" s="1" t="s">
        <v>125</v>
      </c>
      <c r="C1222" s="11">
        <v>20</v>
      </c>
      <c r="D1222" s="11">
        <v>18.96</v>
      </c>
      <c r="E1222" s="2">
        <f t="shared" si="42"/>
        <v>1.0399999999999991</v>
      </c>
      <c r="F1222" s="11">
        <v>7.2999999999999995E-2</v>
      </c>
      <c r="G1222" s="3">
        <f t="shared" si="43"/>
        <v>5.5649999999999956E-2</v>
      </c>
    </row>
    <row r="1223" spans="1:7" hidden="1">
      <c r="A1223" s="1">
        <v>12</v>
      </c>
      <c r="B1223" s="1" t="s">
        <v>125</v>
      </c>
      <c r="C1223" s="11">
        <v>0</v>
      </c>
      <c r="D1223" s="11">
        <v>0</v>
      </c>
      <c r="E1223" s="2">
        <f t="shared" si="42"/>
        <v>0</v>
      </c>
      <c r="F1223" s="11">
        <v>0.03</v>
      </c>
      <c r="G1223" s="3" t="e">
        <f t="shared" si="43"/>
        <v>#DIV/0!</v>
      </c>
    </row>
    <row r="1224" spans="1:7" hidden="1">
      <c r="A1224" s="1">
        <v>13</v>
      </c>
      <c r="B1224" s="1" t="s">
        <v>125</v>
      </c>
      <c r="C1224" s="11">
        <v>0</v>
      </c>
      <c r="D1224" s="11">
        <v>0</v>
      </c>
      <c r="E1224" s="2">
        <f t="shared" si="42"/>
        <v>0</v>
      </c>
      <c r="F1224" s="11">
        <v>0.11900000000000066</v>
      </c>
      <c r="G1224" s="3" t="e">
        <f t="shared" si="43"/>
        <v>#DIV/0!</v>
      </c>
    </row>
    <row r="1225" spans="1:7" hidden="1">
      <c r="A1225" s="1">
        <v>14</v>
      </c>
      <c r="B1225" s="1" t="s">
        <v>125</v>
      </c>
      <c r="C1225" s="11">
        <v>0</v>
      </c>
      <c r="D1225" s="11">
        <v>0</v>
      </c>
      <c r="E1225" s="2">
        <f t="shared" si="42"/>
        <v>0</v>
      </c>
      <c r="F1225" s="11">
        <v>0</v>
      </c>
      <c r="G1225" s="3" t="e">
        <f t="shared" si="43"/>
        <v>#DIV/0!</v>
      </c>
    </row>
    <row r="1226" spans="1:7" hidden="1">
      <c r="A1226" s="1">
        <v>15</v>
      </c>
      <c r="B1226" s="1" t="s">
        <v>125</v>
      </c>
      <c r="C1226" s="11">
        <v>0</v>
      </c>
      <c r="D1226" s="11">
        <v>0</v>
      </c>
      <c r="E1226" s="2">
        <f t="shared" si="42"/>
        <v>0</v>
      </c>
      <c r="F1226" s="11">
        <v>7.0000000000000001E-3</v>
      </c>
      <c r="G1226" s="3" t="e">
        <f t="shared" si="43"/>
        <v>#DIV/0!</v>
      </c>
    </row>
    <row r="1227" spans="1:7" hidden="1">
      <c r="A1227" s="1">
        <v>16</v>
      </c>
      <c r="B1227" s="1" t="s">
        <v>125</v>
      </c>
      <c r="C1227" s="11">
        <v>0</v>
      </c>
      <c r="D1227" s="11">
        <v>0</v>
      </c>
      <c r="E1227" s="2">
        <f t="shared" si="42"/>
        <v>0</v>
      </c>
      <c r="F1227" s="11">
        <v>2.2000000000000242E-2</v>
      </c>
      <c r="G1227" s="3" t="e">
        <f t="shared" si="43"/>
        <v>#DIV/0!</v>
      </c>
    </row>
    <row r="1228" spans="1:7" hidden="1">
      <c r="A1228" s="1">
        <v>17</v>
      </c>
      <c r="B1228" s="1" t="s">
        <v>125</v>
      </c>
      <c r="C1228" s="11">
        <v>0</v>
      </c>
      <c r="D1228" s="11">
        <v>0</v>
      </c>
      <c r="E1228" s="2">
        <f t="shared" si="42"/>
        <v>0</v>
      </c>
      <c r="F1228" s="11">
        <v>5.6000000000000001E-2</v>
      </c>
      <c r="G1228" s="3" t="e">
        <f t="shared" si="43"/>
        <v>#DIV/0!</v>
      </c>
    </row>
    <row r="1229" spans="1:7" hidden="1">
      <c r="A1229" s="1">
        <v>18</v>
      </c>
      <c r="B1229" s="1" t="s">
        <v>125</v>
      </c>
      <c r="C1229" s="11">
        <v>10</v>
      </c>
      <c r="D1229" s="11">
        <v>9.6199999999999992</v>
      </c>
      <c r="E1229" s="2">
        <f t="shared" si="42"/>
        <v>0.38000000000000078</v>
      </c>
      <c r="F1229" s="11">
        <v>0.06</v>
      </c>
      <c r="G1229" s="3">
        <f t="shared" si="43"/>
        <v>4.4000000000000081E-2</v>
      </c>
    </row>
    <row r="1230" spans="1:7" hidden="1">
      <c r="A1230" s="1">
        <v>19</v>
      </c>
      <c r="B1230" s="1" t="s">
        <v>125</v>
      </c>
      <c r="C1230" s="11">
        <v>11</v>
      </c>
      <c r="D1230" s="11">
        <v>10.62</v>
      </c>
      <c r="E1230" s="2">
        <f t="shared" si="42"/>
        <v>0.38000000000000078</v>
      </c>
      <c r="F1230" s="11">
        <v>4.2999999999999997E-2</v>
      </c>
      <c r="G1230" s="3">
        <f t="shared" si="43"/>
        <v>3.8454545454545526E-2</v>
      </c>
    </row>
    <row r="1231" spans="1:7" hidden="1">
      <c r="A1231" s="1">
        <v>20</v>
      </c>
      <c r="B1231" s="1" t="s">
        <v>125</v>
      </c>
      <c r="C1231" s="11">
        <v>0</v>
      </c>
      <c r="D1231" s="11">
        <v>0</v>
      </c>
      <c r="E1231" s="2">
        <f t="shared" si="42"/>
        <v>0</v>
      </c>
      <c r="F1231" s="11">
        <v>6.4000000000000001E-2</v>
      </c>
      <c r="G1231" s="3" t="e">
        <f t="shared" si="43"/>
        <v>#DIV/0!</v>
      </c>
    </row>
    <row r="1232" spans="1:7" hidden="1">
      <c r="A1232" s="1">
        <v>21</v>
      </c>
      <c r="B1232" s="1" t="s">
        <v>125</v>
      </c>
      <c r="C1232" s="11">
        <v>0</v>
      </c>
      <c r="D1232" s="11">
        <v>0</v>
      </c>
      <c r="E1232" s="2">
        <f t="shared" si="42"/>
        <v>0</v>
      </c>
      <c r="F1232" s="11">
        <v>7.4999999999999997E-2</v>
      </c>
      <c r="G1232" s="3" t="e">
        <f t="shared" si="43"/>
        <v>#DIV/0!</v>
      </c>
    </row>
    <row r="1233" spans="1:7" hidden="1">
      <c r="A1233" s="1">
        <v>22</v>
      </c>
      <c r="B1233" s="1" t="s">
        <v>125</v>
      </c>
      <c r="C1233" s="11">
        <v>0</v>
      </c>
      <c r="D1233" s="11">
        <v>0</v>
      </c>
      <c r="E1233" s="2">
        <f t="shared" si="42"/>
        <v>0</v>
      </c>
      <c r="F1233" s="11">
        <v>6.9000000000000006E-2</v>
      </c>
      <c r="G1233" s="3" t="e">
        <f t="shared" si="43"/>
        <v>#DIV/0!</v>
      </c>
    </row>
    <row r="1234" spans="1:7" hidden="1">
      <c r="A1234" s="1">
        <v>23</v>
      </c>
      <c r="B1234" s="1" t="s">
        <v>125</v>
      </c>
      <c r="C1234" s="11">
        <v>0</v>
      </c>
      <c r="D1234" s="11">
        <v>0</v>
      </c>
      <c r="E1234" s="2">
        <f t="shared" si="42"/>
        <v>0</v>
      </c>
      <c r="F1234" s="11">
        <v>0.04</v>
      </c>
      <c r="G1234" s="3" t="e">
        <f t="shared" si="43"/>
        <v>#DIV/0!</v>
      </c>
    </row>
    <row r="1235" spans="1:7" hidden="1">
      <c r="A1235" s="1">
        <v>24</v>
      </c>
      <c r="B1235" s="1" t="s">
        <v>125</v>
      </c>
      <c r="C1235" s="11">
        <v>0</v>
      </c>
      <c r="D1235" s="11">
        <v>0</v>
      </c>
      <c r="E1235" s="2">
        <f t="shared" si="42"/>
        <v>0</v>
      </c>
      <c r="F1235" s="11">
        <v>0.20100000000000001</v>
      </c>
      <c r="G1235" s="3" t="e">
        <f t="shared" si="43"/>
        <v>#DIV/0!</v>
      </c>
    </row>
    <row r="1236" spans="1:7" hidden="1">
      <c r="A1236" s="1">
        <v>25</v>
      </c>
      <c r="B1236" s="1" t="s">
        <v>125</v>
      </c>
      <c r="C1236" s="11">
        <v>0</v>
      </c>
      <c r="D1236" s="11">
        <v>0</v>
      </c>
      <c r="E1236" s="2">
        <f t="shared" si="42"/>
        <v>0</v>
      </c>
      <c r="F1236" s="11">
        <v>0.10100000000000001</v>
      </c>
      <c r="G1236" s="3" t="e">
        <f t="shared" si="43"/>
        <v>#DIV/0!</v>
      </c>
    </row>
    <row r="1237" spans="1:7" hidden="1">
      <c r="A1237" s="1">
        <v>26</v>
      </c>
      <c r="B1237" s="1" t="s">
        <v>125</v>
      </c>
      <c r="C1237" s="11">
        <v>0</v>
      </c>
      <c r="D1237" s="11">
        <v>0</v>
      </c>
      <c r="E1237" s="2">
        <f t="shared" si="42"/>
        <v>0</v>
      </c>
      <c r="F1237" s="11">
        <v>0.111</v>
      </c>
      <c r="G1237" s="3" t="e">
        <f t="shared" si="43"/>
        <v>#DIV/0!</v>
      </c>
    </row>
    <row r="1238" spans="1:7" hidden="1">
      <c r="A1238" s="1">
        <v>27</v>
      </c>
      <c r="B1238" s="1" t="s">
        <v>125</v>
      </c>
      <c r="C1238" s="11">
        <v>0</v>
      </c>
      <c r="D1238" s="11">
        <v>0</v>
      </c>
      <c r="E1238" s="2">
        <f t="shared" si="42"/>
        <v>0</v>
      </c>
      <c r="F1238" s="11">
        <v>7.0000000000000001E-3</v>
      </c>
      <c r="G1238" s="3" t="e">
        <f t="shared" si="43"/>
        <v>#DIV/0!</v>
      </c>
    </row>
    <row r="1239" spans="1:7" hidden="1">
      <c r="A1239" s="1">
        <v>28</v>
      </c>
      <c r="B1239" s="1" t="s">
        <v>125</v>
      </c>
      <c r="C1239" s="11">
        <v>10</v>
      </c>
      <c r="D1239" s="11">
        <v>9.6300000000000008</v>
      </c>
      <c r="E1239" s="2">
        <f t="shared" si="42"/>
        <v>0.36999999999999922</v>
      </c>
      <c r="F1239" s="11">
        <v>0.121</v>
      </c>
      <c r="G1239" s="3">
        <f t="shared" si="43"/>
        <v>4.9099999999999921E-2</v>
      </c>
    </row>
    <row r="1240" spans="1:7" hidden="1">
      <c r="A1240" s="1">
        <v>29</v>
      </c>
      <c r="B1240" s="1" t="s">
        <v>125</v>
      </c>
      <c r="C1240" s="11">
        <v>0</v>
      </c>
      <c r="D1240" s="11">
        <v>0</v>
      </c>
      <c r="E1240" s="2">
        <f t="shared" si="42"/>
        <v>0</v>
      </c>
      <c r="F1240" s="11">
        <v>8.4000000000000005E-2</v>
      </c>
      <c r="G1240" s="3" t="e">
        <f t="shared" si="43"/>
        <v>#DIV/0!</v>
      </c>
    </row>
    <row r="1241" spans="1:7" hidden="1">
      <c r="A1241" s="1">
        <v>30</v>
      </c>
      <c r="B1241" s="1" t="s">
        <v>125</v>
      </c>
      <c r="C1241" s="11">
        <v>0</v>
      </c>
      <c r="D1241" s="11">
        <v>0</v>
      </c>
      <c r="E1241" s="2">
        <f t="shared" si="42"/>
        <v>0</v>
      </c>
      <c r="F1241" s="11">
        <v>3.5000000000000003E-2</v>
      </c>
      <c r="G1241" s="3" t="e">
        <f t="shared" si="43"/>
        <v>#DIV/0!</v>
      </c>
    </row>
    <row r="1242" spans="1:7" hidden="1">
      <c r="A1242" s="1">
        <v>31</v>
      </c>
      <c r="B1242" s="1" t="s">
        <v>125</v>
      </c>
      <c r="C1242" s="11">
        <v>10</v>
      </c>
      <c r="D1242" s="11">
        <v>9.82</v>
      </c>
      <c r="E1242" s="2">
        <f t="shared" si="42"/>
        <v>0.17999999999999972</v>
      </c>
      <c r="F1242" s="11">
        <v>5.0000000000000001E-3</v>
      </c>
      <c r="G1242" s="3">
        <f t="shared" si="43"/>
        <v>1.8499999999999971E-2</v>
      </c>
    </row>
    <row r="1243" spans="1:7" hidden="1">
      <c r="A1243" s="1">
        <v>1</v>
      </c>
      <c r="B1243" s="1" t="s">
        <v>126</v>
      </c>
      <c r="C1243" s="11">
        <v>0</v>
      </c>
      <c r="D1243" s="11">
        <v>0</v>
      </c>
      <c r="E1243" s="2">
        <f t="shared" ref="E1243" si="44">C1243-D1243</f>
        <v>0</v>
      </c>
      <c r="F1243" s="11">
        <v>0</v>
      </c>
      <c r="G1243" s="3" t="e">
        <f t="shared" ref="G1243:G1273" si="45">(E1243+F1243)/C1243</f>
        <v>#DIV/0!</v>
      </c>
    </row>
    <row r="1244" spans="1:7" hidden="1">
      <c r="A1244" s="1">
        <v>2</v>
      </c>
      <c r="B1244" s="1" t="s">
        <v>126</v>
      </c>
      <c r="C1244" s="11">
        <v>0</v>
      </c>
      <c r="D1244" s="11">
        <v>0</v>
      </c>
      <c r="E1244" s="2">
        <f t="shared" ref="E1244:E1338" si="46">C1244-D1244</f>
        <v>0</v>
      </c>
      <c r="F1244" s="11">
        <v>0</v>
      </c>
      <c r="G1244" s="3" t="e">
        <f t="shared" si="45"/>
        <v>#DIV/0!</v>
      </c>
    </row>
    <row r="1245" spans="1:7" hidden="1">
      <c r="A1245" s="1">
        <v>3</v>
      </c>
      <c r="B1245" s="1" t="s">
        <v>126</v>
      </c>
      <c r="C1245" s="11">
        <v>0</v>
      </c>
      <c r="D1245" s="11">
        <v>0</v>
      </c>
      <c r="E1245" s="2">
        <f t="shared" si="46"/>
        <v>0</v>
      </c>
      <c r="F1245" s="11">
        <v>0</v>
      </c>
      <c r="G1245" s="3" t="e">
        <f t="shared" si="45"/>
        <v>#DIV/0!</v>
      </c>
    </row>
    <row r="1246" spans="1:7" hidden="1">
      <c r="A1246" s="1">
        <v>4</v>
      </c>
      <c r="B1246" s="1" t="s">
        <v>126</v>
      </c>
      <c r="C1246" s="11">
        <v>0</v>
      </c>
      <c r="D1246" s="11">
        <v>0</v>
      </c>
      <c r="E1246" s="2">
        <f t="shared" si="46"/>
        <v>0</v>
      </c>
      <c r="F1246" s="11">
        <v>0</v>
      </c>
      <c r="G1246" s="3" t="e">
        <f t="shared" si="45"/>
        <v>#DIV/0!</v>
      </c>
    </row>
    <row r="1247" spans="1:7" hidden="1">
      <c r="A1247" s="1">
        <v>5</v>
      </c>
      <c r="B1247" s="1" t="s">
        <v>126</v>
      </c>
      <c r="C1247" s="11">
        <v>0</v>
      </c>
      <c r="D1247" s="11">
        <v>0</v>
      </c>
      <c r="E1247" s="2">
        <f t="shared" si="46"/>
        <v>0</v>
      </c>
      <c r="F1247" s="11">
        <v>0</v>
      </c>
      <c r="G1247" s="3" t="e">
        <f t="shared" si="45"/>
        <v>#DIV/0!</v>
      </c>
    </row>
    <row r="1248" spans="1:7" hidden="1">
      <c r="A1248" s="1">
        <v>6</v>
      </c>
      <c r="B1248" s="1" t="s">
        <v>126</v>
      </c>
      <c r="C1248" s="11">
        <v>0</v>
      </c>
      <c r="D1248" s="11">
        <v>0</v>
      </c>
      <c r="E1248" s="2">
        <f t="shared" si="46"/>
        <v>0</v>
      </c>
      <c r="F1248" s="11">
        <v>0</v>
      </c>
      <c r="G1248" s="3" t="e">
        <f t="shared" si="45"/>
        <v>#DIV/0!</v>
      </c>
    </row>
    <row r="1249" spans="1:7" hidden="1">
      <c r="A1249" s="1">
        <v>7</v>
      </c>
      <c r="B1249" s="1" t="s">
        <v>126</v>
      </c>
      <c r="C1249" s="11">
        <v>0</v>
      </c>
      <c r="D1249" s="11">
        <v>0</v>
      </c>
      <c r="E1249" s="2">
        <f t="shared" si="46"/>
        <v>0</v>
      </c>
      <c r="F1249" s="11">
        <v>0</v>
      </c>
      <c r="G1249" s="3" t="e">
        <f t="shared" si="45"/>
        <v>#DIV/0!</v>
      </c>
    </row>
    <row r="1250" spans="1:7" hidden="1">
      <c r="A1250" s="1">
        <v>8</v>
      </c>
      <c r="B1250" s="1" t="s">
        <v>126</v>
      </c>
      <c r="C1250" s="11">
        <v>0</v>
      </c>
      <c r="D1250" s="11">
        <v>0</v>
      </c>
      <c r="E1250" s="2">
        <f t="shared" si="46"/>
        <v>0</v>
      </c>
      <c r="F1250" s="11">
        <v>0</v>
      </c>
      <c r="G1250" s="3" t="e">
        <f t="shared" si="45"/>
        <v>#DIV/0!</v>
      </c>
    </row>
    <row r="1251" spans="1:7" hidden="1">
      <c r="A1251" s="1">
        <v>9</v>
      </c>
      <c r="B1251" s="1" t="s">
        <v>126</v>
      </c>
      <c r="C1251" s="11">
        <v>0</v>
      </c>
      <c r="D1251" s="11">
        <v>0</v>
      </c>
      <c r="E1251" s="2">
        <f t="shared" si="46"/>
        <v>0</v>
      </c>
      <c r="F1251" s="11">
        <v>0</v>
      </c>
      <c r="G1251" s="3" t="e">
        <f t="shared" si="45"/>
        <v>#DIV/0!</v>
      </c>
    </row>
    <row r="1252" spans="1:7" hidden="1">
      <c r="A1252" s="1">
        <v>10</v>
      </c>
      <c r="B1252" s="1" t="s">
        <v>126</v>
      </c>
      <c r="C1252" s="11">
        <v>0</v>
      </c>
      <c r="D1252" s="11">
        <v>0</v>
      </c>
      <c r="E1252" s="2">
        <f t="shared" si="46"/>
        <v>0</v>
      </c>
      <c r="F1252" s="11">
        <v>0</v>
      </c>
      <c r="G1252" s="3" t="e">
        <f t="shared" si="45"/>
        <v>#DIV/0!</v>
      </c>
    </row>
    <row r="1253" spans="1:7" hidden="1">
      <c r="A1253" s="1">
        <v>11</v>
      </c>
      <c r="B1253" s="1" t="s">
        <v>126</v>
      </c>
      <c r="C1253" s="11">
        <v>0</v>
      </c>
      <c r="D1253" s="11">
        <v>0</v>
      </c>
      <c r="E1253" s="2">
        <f t="shared" si="46"/>
        <v>0</v>
      </c>
      <c r="F1253" s="11">
        <v>0</v>
      </c>
      <c r="G1253" s="3" t="e">
        <f t="shared" si="45"/>
        <v>#DIV/0!</v>
      </c>
    </row>
    <row r="1254" spans="1:7" hidden="1">
      <c r="A1254" s="1">
        <v>12</v>
      </c>
      <c r="B1254" s="1" t="s">
        <v>126</v>
      </c>
      <c r="C1254" s="11">
        <v>0</v>
      </c>
      <c r="D1254" s="11">
        <v>0</v>
      </c>
      <c r="E1254" s="2">
        <f t="shared" si="46"/>
        <v>0</v>
      </c>
      <c r="F1254" s="11">
        <v>0</v>
      </c>
      <c r="G1254" s="3" t="e">
        <f t="shared" si="45"/>
        <v>#DIV/0!</v>
      </c>
    </row>
    <row r="1255" spans="1:7" hidden="1">
      <c r="A1255" s="1">
        <v>13</v>
      </c>
      <c r="B1255" s="1" t="s">
        <v>126</v>
      </c>
      <c r="C1255" s="11">
        <v>0</v>
      </c>
      <c r="D1255" s="11">
        <v>0</v>
      </c>
      <c r="E1255" s="2">
        <f t="shared" si="46"/>
        <v>0</v>
      </c>
      <c r="F1255" s="11">
        <v>0</v>
      </c>
      <c r="G1255" s="3" t="e">
        <f t="shared" si="45"/>
        <v>#DIV/0!</v>
      </c>
    </row>
    <row r="1256" spans="1:7" hidden="1">
      <c r="A1256" s="1">
        <v>14</v>
      </c>
      <c r="B1256" s="1" t="s">
        <v>126</v>
      </c>
      <c r="C1256" s="11">
        <v>0</v>
      </c>
      <c r="D1256" s="11">
        <v>0</v>
      </c>
      <c r="E1256" s="2">
        <f t="shared" si="46"/>
        <v>0</v>
      </c>
      <c r="F1256" s="11">
        <v>0</v>
      </c>
      <c r="G1256" s="3" t="e">
        <f t="shared" si="45"/>
        <v>#DIV/0!</v>
      </c>
    </row>
    <row r="1257" spans="1:7" hidden="1">
      <c r="A1257" s="1">
        <v>15</v>
      </c>
      <c r="B1257" s="1" t="s">
        <v>126</v>
      </c>
      <c r="C1257" s="11">
        <v>20</v>
      </c>
      <c r="D1257" s="11">
        <v>19.87</v>
      </c>
      <c r="E1257" s="2">
        <f t="shared" si="46"/>
        <v>0.12999999999999901</v>
      </c>
      <c r="F1257" s="11">
        <v>0.87</v>
      </c>
      <c r="G1257" s="3">
        <f t="shared" si="45"/>
        <v>4.9999999999999947E-2</v>
      </c>
    </row>
    <row r="1258" spans="1:7" hidden="1">
      <c r="A1258" s="1">
        <v>16</v>
      </c>
      <c r="B1258" s="1" t="s">
        <v>126</v>
      </c>
      <c r="C1258" s="11">
        <v>0</v>
      </c>
      <c r="D1258" s="11">
        <v>0</v>
      </c>
      <c r="E1258" s="2">
        <f t="shared" si="46"/>
        <v>0</v>
      </c>
      <c r="F1258" s="11">
        <v>0.32500000000000001</v>
      </c>
      <c r="G1258" s="3" t="e">
        <f t="shared" si="45"/>
        <v>#DIV/0!</v>
      </c>
    </row>
    <row r="1259" spans="1:7" hidden="1">
      <c r="A1259" s="1">
        <v>17</v>
      </c>
      <c r="B1259" s="1" t="s">
        <v>126</v>
      </c>
      <c r="C1259" s="11">
        <v>0</v>
      </c>
      <c r="D1259" s="11">
        <v>0</v>
      </c>
      <c r="E1259" s="2">
        <f t="shared" si="46"/>
        <v>0</v>
      </c>
      <c r="F1259" s="11">
        <v>0.185</v>
      </c>
      <c r="G1259" s="3" t="e">
        <f t="shared" si="45"/>
        <v>#DIV/0!</v>
      </c>
    </row>
    <row r="1260" spans="1:7" hidden="1">
      <c r="A1260" s="1">
        <v>18</v>
      </c>
      <c r="B1260" s="1" t="s">
        <v>126</v>
      </c>
      <c r="C1260" s="11">
        <v>0</v>
      </c>
      <c r="D1260" s="11">
        <v>0</v>
      </c>
      <c r="E1260" s="2">
        <f t="shared" si="46"/>
        <v>0</v>
      </c>
      <c r="F1260" s="11">
        <v>0.22</v>
      </c>
      <c r="G1260" s="3" t="e">
        <f t="shared" si="45"/>
        <v>#DIV/0!</v>
      </c>
    </row>
    <row r="1261" spans="1:7" hidden="1">
      <c r="A1261" s="1">
        <v>19</v>
      </c>
      <c r="B1261" s="1" t="s">
        <v>126</v>
      </c>
      <c r="C1261" s="11">
        <v>0</v>
      </c>
      <c r="D1261" s="11">
        <v>0</v>
      </c>
      <c r="E1261" s="2">
        <f t="shared" si="46"/>
        <v>0</v>
      </c>
      <c r="F1261" s="11">
        <v>0.1</v>
      </c>
      <c r="G1261" s="3" t="e">
        <f t="shared" si="45"/>
        <v>#DIV/0!</v>
      </c>
    </row>
    <row r="1262" spans="1:7" hidden="1">
      <c r="A1262" s="1">
        <v>20</v>
      </c>
      <c r="B1262" s="1" t="s">
        <v>126</v>
      </c>
      <c r="C1262" s="11">
        <v>0</v>
      </c>
      <c r="D1262" s="11">
        <v>0</v>
      </c>
      <c r="E1262" s="2">
        <f t="shared" si="46"/>
        <v>0</v>
      </c>
      <c r="F1262" s="11">
        <v>-0.69499999999999995</v>
      </c>
      <c r="G1262" s="3" t="e">
        <f t="shared" si="45"/>
        <v>#DIV/0!</v>
      </c>
    </row>
    <row r="1263" spans="1:7" hidden="1">
      <c r="A1263" s="1">
        <v>21</v>
      </c>
      <c r="B1263" s="1" t="s">
        <v>126</v>
      </c>
      <c r="C1263" s="11">
        <v>0</v>
      </c>
      <c r="D1263" s="11">
        <v>0</v>
      </c>
      <c r="E1263" s="2">
        <f t="shared" si="46"/>
        <v>0</v>
      </c>
      <c r="F1263" s="11">
        <v>0.255</v>
      </c>
      <c r="G1263" s="3" t="e">
        <f t="shared" si="45"/>
        <v>#DIV/0!</v>
      </c>
    </row>
    <row r="1264" spans="1:7" hidden="1">
      <c r="A1264" s="1">
        <v>22</v>
      </c>
      <c r="B1264" s="1" t="s">
        <v>126</v>
      </c>
      <c r="C1264" s="11">
        <v>0</v>
      </c>
      <c r="D1264" s="11">
        <v>0</v>
      </c>
      <c r="E1264" s="2">
        <f t="shared" si="46"/>
        <v>0</v>
      </c>
      <c r="F1264" s="11">
        <v>0.11</v>
      </c>
      <c r="G1264" s="3" t="e">
        <f t="shared" si="45"/>
        <v>#DIV/0!</v>
      </c>
    </row>
    <row r="1265" spans="1:7" hidden="1">
      <c r="A1265" s="1">
        <v>23</v>
      </c>
      <c r="B1265" s="1" t="s">
        <v>126</v>
      </c>
      <c r="C1265" s="11">
        <v>0</v>
      </c>
      <c r="D1265" s="11">
        <v>0</v>
      </c>
      <c r="E1265" s="2">
        <f t="shared" si="46"/>
        <v>0</v>
      </c>
      <c r="F1265" s="11">
        <v>0.35499999999999998</v>
      </c>
      <c r="G1265" s="3" t="e">
        <f t="shared" si="45"/>
        <v>#DIV/0!</v>
      </c>
    </row>
    <row r="1266" spans="1:7" hidden="1">
      <c r="A1266" s="1">
        <v>24</v>
      </c>
      <c r="B1266" s="1" t="s">
        <v>126</v>
      </c>
      <c r="C1266" s="11">
        <v>0</v>
      </c>
      <c r="D1266" s="11">
        <v>0</v>
      </c>
      <c r="E1266" s="2">
        <f t="shared" si="46"/>
        <v>0</v>
      </c>
      <c r="F1266" s="11">
        <v>0.04</v>
      </c>
      <c r="G1266" s="3" t="e">
        <f t="shared" si="45"/>
        <v>#DIV/0!</v>
      </c>
    </row>
    <row r="1267" spans="1:7" hidden="1">
      <c r="A1267" s="1">
        <v>25</v>
      </c>
      <c r="B1267" s="1" t="s">
        <v>126</v>
      </c>
      <c r="C1267" s="11">
        <v>6.95</v>
      </c>
      <c r="D1267" s="11">
        <v>6.67</v>
      </c>
      <c r="E1267" s="2">
        <f t="shared" si="46"/>
        <v>0.28000000000000025</v>
      </c>
      <c r="F1267" s="11">
        <v>5.5E-2</v>
      </c>
      <c r="G1267" s="3">
        <f t="shared" si="45"/>
        <v>4.8201438848920898E-2</v>
      </c>
    </row>
    <row r="1268" spans="1:7" hidden="1">
      <c r="A1268" s="1">
        <v>26</v>
      </c>
      <c r="B1268" s="1" t="s">
        <v>126</v>
      </c>
      <c r="C1268" s="11">
        <v>0</v>
      </c>
      <c r="D1268" s="11">
        <v>0</v>
      </c>
      <c r="E1268" s="2">
        <f t="shared" si="46"/>
        <v>0</v>
      </c>
      <c r="F1268" s="11">
        <v>5.0000000000000001E-3</v>
      </c>
      <c r="G1268" s="3" t="e">
        <f t="shared" si="45"/>
        <v>#DIV/0!</v>
      </c>
    </row>
    <row r="1269" spans="1:7" hidden="1">
      <c r="A1269" s="1">
        <v>27</v>
      </c>
      <c r="B1269" s="1" t="s">
        <v>126</v>
      </c>
      <c r="C1269" s="11">
        <v>0</v>
      </c>
      <c r="D1269" s="11">
        <v>0</v>
      </c>
      <c r="E1269" s="2">
        <f t="shared" si="46"/>
        <v>0</v>
      </c>
      <c r="F1269" s="11">
        <v>4.4999999999999998E-2</v>
      </c>
      <c r="G1269" s="3" t="e">
        <f t="shared" si="45"/>
        <v>#DIV/0!</v>
      </c>
    </row>
    <row r="1270" spans="1:7" hidden="1">
      <c r="A1270" s="1">
        <v>28</v>
      </c>
      <c r="B1270" s="1" t="s">
        <v>126</v>
      </c>
      <c r="C1270" s="11">
        <v>0</v>
      </c>
      <c r="D1270" s="11">
        <v>0</v>
      </c>
      <c r="E1270" s="2">
        <f t="shared" si="46"/>
        <v>0</v>
      </c>
      <c r="F1270" s="11">
        <v>-3.3499999999999988</v>
      </c>
      <c r="G1270" s="3" t="e">
        <f t="shared" si="45"/>
        <v>#DIV/0!</v>
      </c>
    </row>
    <row r="1271" spans="1:7" hidden="1">
      <c r="A1271" s="1">
        <v>29</v>
      </c>
      <c r="B1271" s="1" t="s">
        <v>126</v>
      </c>
      <c r="C1271" s="11">
        <v>0</v>
      </c>
      <c r="D1271" s="11">
        <v>0</v>
      </c>
      <c r="E1271" s="2">
        <f t="shared" si="46"/>
        <v>0</v>
      </c>
      <c r="F1271" s="11">
        <v>0.12</v>
      </c>
      <c r="G1271" s="3" t="e">
        <f t="shared" si="45"/>
        <v>#DIV/0!</v>
      </c>
    </row>
    <row r="1272" spans="1:7" hidden="1">
      <c r="A1272" s="1">
        <v>30</v>
      </c>
      <c r="B1272" s="1" t="s">
        <v>126</v>
      </c>
      <c r="C1272" s="11">
        <v>0</v>
      </c>
      <c r="D1272" s="11">
        <v>0</v>
      </c>
      <c r="E1272" s="2">
        <f t="shared" si="46"/>
        <v>0</v>
      </c>
      <c r="F1272" s="11">
        <v>0.2</v>
      </c>
      <c r="G1272" s="3" t="e">
        <f t="shared" si="45"/>
        <v>#DIV/0!</v>
      </c>
    </row>
    <row r="1273" spans="1:7" hidden="1">
      <c r="A1273" s="1">
        <v>31</v>
      </c>
      <c r="B1273" s="1" t="s">
        <v>126</v>
      </c>
      <c r="C1273" s="11">
        <v>0</v>
      </c>
      <c r="D1273" s="11">
        <v>0</v>
      </c>
      <c r="E1273" s="2">
        <f t="shared" si="46"/>
        <v>0</v>
      </c>
      <c r="F1273" s="11">
        <v>0.05</v>
      </c>
      <c r="G1273" s="3" t="e">
        <f t="shared" si="45"/>
        <v>#DIV/0!</v>
      </c>
    </row>
    <row r="1274" spans="1:7" hidden="1">
      <c r="A1274" s="1">
        <v>1</v>
      </c>
      <c r="B1274" s="1" t="s">
        <v>127</v>
      </c>
      <c r="C1274" s="11">
        <v>0</v>
      </c>
      <c r="D1274" s="11">
        <v>0</v>
      </c>
      <c r="E1274" s="2">
        <f t="shared" si="46"/>
        <v>0</v>
      </c>
      <c r="F1274" s="11">
        <v>0</v>
      </c>
      <c r="G1274" s="3" t="e">
        <f t="shared" si="43"/>
        <v>#DIV/0!</v>
      </c>
    </row>
    <row r="1275" spans="1:7" hidden="1">
      <c r="A1275" s="1">
        <v>2</v>
      </c>
      <c r="B1275" s="1" t="s">
        <v>127</v>
      </c>
      <c r="C1275" s="11">
        <v>0</v>
      </c>
      <c r="D1275" s="11">
        <v>0</v>
      </c>
      <c r="E1275" s="2">
        <f t="shared" si="46"/>
        <v>0</v>
      </c>
      <c r="F1275" s="11">
        <v>0</v>
      </c>
      <c r="G1275" s="3" t="e">
        <f t="shared" si="43"/>
        <v>#DIV/0!</v>
      </c>
    </row>
    <row r="1276" spans="1:7" hidden="1">
      <c r="A1276" s="1">
        <v>3</v>
      </c>
      <c r="B1276" s="1" t="s">
        <v>127</v>
      </c>
      <c r="C1276" s="11">
        <v>0</v>
      </c>
      <c r="D1276" s="11">
        <v>0</v>
      </c>
      <c r="E1276" s="2">
        <f t="shared" si="46"/>
        <v>0</v>
      </c>
      <c r="F1276" s="11">
        <v>0</v>
      </c>
      <c r="G1276" s="3" t="e">
        <f t="shared" si="43"/>
        <v>#DIV/0!</v>
      </c>
    </row>
    <row r="1277" spans="1:7" hidden="1">
      <c r="A1277" s="1">
        <v>4</v>
      </c>
      <c r="B1277" s="1" t="s">
        <v>127</v>
      </c>
      <c r="C1277" s="11">
        <v>0</v>
      </c>
      <c r="D1277" s="11">
        <v>0</v>
      </c>
      <c r="E1277" s="2">
        <f t="shared" si="46"/>
        <v>0</v>
      </c>
      <c r="F1277" s="11">
        <v>0</v>
      </c>
      <c r="G1277" s="3" t="e">
        <f t="shared" si="43"/>
        <v>#DIV/0!</v>
      </c>
    </row>
    <row r="1278" spans="1:7" hidden="1">
      <c r="A1278" s="1">
        <v>5</v>
      </c>
      <c r="B1278" s="1" t="s">
        <v>127</v>
      </c>
      <c r="C1278" s="11">
        <v>0</v>
      </c>
      <c r="D1278" s="11">
        <v>0</v>
      </c>
      <c r="E1278" s="2">
        <f t="shared" si="46"/>
        <v>0</v>
      </c>
      <c r="F1278" s="11">
        <v>0</v>
      </c>
      <c r="G1278" s="3" t="e">
        <f t="shared" si="43"/>
        <v>#DIV/0!</v>
      </c>
    </row>
    <row r="1279" spans="1:7" hidden="1">
      <c r="A1279" s="1">
        <v>6</v>
      </c>
      <c r="B1279" s="1" t="s">
        <v>127</v>
      </c>
      <c r="C1279" s="11">
        <v>0</v>
      </c>
      <c r="D1279" s="11">
        <v>0</v>
      </c>
      <c r="E1279" s="2">
        <f t="shared" si="46"/>
        <v>0</v>
      </c>
      <c r="F1279" s="11">
        <v>0</v>
      </c>
      <c r="G1279" s="3" t="e">
        <f t="shared" si="43"/>
        <v>#DIV/0!</v>
      </c>
    </row>
    <row r="1280" spans="1:7" hidden="1">
      <c r="A1280" s="1">
        <v>7</v>
      </c>
      <c r="B1280" s="1" t="s">
        <v>127</v>
      </c>
      <c r="C1280" s="11">
        <v>0</v>
      </c>
      <c r="D1280" s="11">
        <v>0</v>
      </c>
      <c r="E1280" s="2">
        <f t="shared" si="46"/>
        <v>0</v>
      </c>
      <c r="F1280" s="11">
        <v>0</v>
      </c>
      <c r="G1280" s="3" t="e">
        <f t="shared" si="43"/>
        <v>#DIV/0!</v>
      </c>
    </row>
    <row r="1281" spans="1:7" hidden="1">
      <c r="A1281" s="1">
        <v>8</v>
      </c>
      <c r="B1281" s="1" t="s">
        <v>127</v>
      </c>
      <c r="C1281" s="11">
        <v>0</v>
      </c>
      <c r="D1281" s="11">
        <v>0</v>
      </c>
      <c r="E1281" s="2">
        <f t="shared" si="46"/>
        <v>0</v>
      </c>
      <c r="F1281" s="11">
        <v>0</v>
      </c>
      <c r="G1281" s="3" t="e">
        <f t="shared" si="43"/>
        <v>#DIV/0!</v>
      </c>
    </row>
    <row r="1282" spans="1:7" hidden="1">
      <c r="A1282" s="1">
        <v>9</v>
      </c>
      <c r="B1282" s="1" t="s">
        <v>127</v>
      </c>
      <c r="C1282" s="11">
        <v>0</v>
      </c>
      <c r="D1282" s="11">
        <v>0</v>
      </c>
      <c r="E1282" s="2">
        <f t="shared" si="46"/>
        <v>0</v>
      </c>
      <c r="F1282" s="11">
        <v>0</v>
      </c>
      <c r="G1282" s="3" t="e">
        <f t="shared" si="43"/>
        <v>#DIV/0!</v>
      </c>
    </row>
    <row r="1283" spans="1:7" hidden="1">
      <c r="A1283" s="1">
        <v>10</v>
      </c>
      <c r="B1283" s="1" t="s">
        <v>127</v>
      </c>
      <c r="C1283" s="11">
        <v>0</v>
      </c>
      <c r="D1283" s="11">
        <v>0</v>
      </c>
      <c r="E1283" s="2">
        <f t="shared" si="46"/>
        <v>0</v>
      </c>
      <c r="F1283" s="11">
        <v>0</v>
      </c>
      <c r="G1283" s="3" t="e">
        <f t="shared" si="43"/>
        <v>#DIV/0!</v>
      </c>
    </row>
    <row r="1284" spans="1:7" hidden="1">
      <c r="A1284" s="1">
        <v>11</v>
      </c>
      <c r="B1284" s="1" t="s">
        <v>127</v>
      </c>
      <c r="C1284" s="11">
        <v>0</v>
      </c>
      <c r="D1284" s="11">
        <v>0</v>
      </c>
      <c r="E1284" s="2">
        <f t="shared" si="46"/>
        <v>0</v>
      </c>
      <c r="F1284" s="11">
        <v>0</v>
      </c>
      <c r="G1284" s="3" t="e">
        <f t="shared" si="43"/>
        <v>#DIV/0!</v>
      </c>
    </row>
    <row r="1285" spans="1:7" hidden="1">
      <c r="A1285" s="1">
        <v>12</v>
      </c>
      <c r="B1285" s="1" t="s">
        <v>127</v>
      </c>
      <c r="C1285" s="11">
        <v>0</v>
      </c>
      <c r="D1285" s="11">
        <v>0</v>
      </c>
      <c r="E1285" s="2">
        <f t="shared" si="46"/>
        <v>0</v>
      </c>
      <c r="F1285" s="11">
        <v>0</v>
      </c>
      <c r="G1285" s="3" t="e">
        <f t="shared" si="43"/>
        <v>#DIV/0!</v>
      </c>
    </row>
    <row r="1286" spans="1:7" hidden="1">
      <c r="A1286" s="1">
        <v>13</v>
      </c>
      <c r="B1286" s="1" t="s">
        <v>127</v>
      </c>
      <c r="C1286" s="11">
        <v>0</v>
      </c>
      <c r="D1286" s="11">
        <v>0</v>
      </c>
      <c r="E1286" s="2">
        <f t="shared" si="46"/>
        <v>0</v>
      </c>
      <c r="F1286" s="11">
        <v>0</v>
      </c>
      <c r="G1286" s="3" t="e">
        <f t="shared" si="43"/>
        <v>#DIV/0!</v>
      </c>
    </row>
    <row r="1287" spans="1:7" hidden="1">
      <c r="A1287" s="1">
        <v>14</v>
      </c>
      <c r="B1287" s="1" t="s">
        <v>127</v>
      </c>
      <c r="C1287" s="11">
        <v>0</v>
      </c>
      <c r="D1287" s="11">
        <v>0</v>
      </c>
      <c r="E1287" s="2">
        <f t="shared" si="46"/>
        <v>0</v>
      </c>
      <c r="F1287" s="11">
        <v>0</v>
      </c>
      <c r="G1287" s="3" t="e">
        <f t="shared" si="43"/>
        <v>#DIV/0!</v>
      </c>
    </row>
    <row r="1288" spans="1:7" hidden="1">
      <c r="A1288" s="1">
        <v>15</v>
      </c>
      <c r="B1288" s="1" t="s">
        <v>127</v>
      </c>
      <c r="C1288" s="11">
        <v>0</v>
      </c>
      <c r="D1288" s="11">
        <v>0</v>
      </c>
      <c r="E1288" s="2">
        <f t="shared" si="46"/>
        <v>0</v>
      </c>
      <c r="F1288" s="11">
        <v>0</v>
      </c>
      <c r="G1288" s="3" t="e">
        <f t="shared" si="43"/>
        <v>#DIV/0!</v>
      </c>
    </row>
    <row r="1289" spans="1:7" hidden="1">
      <c r="A1289" s="1">
        <v>16</v>
      </c>
      <c r="B1289" s="1" t="s">
        <v>127</v>
      </c>
      <c r="C1289" s="11">
        <v>0</v>
      </c>
      <c r="D1289" s="11">
        <v>0</v>
      </c>
      <c r="E1289" s="2">
        <f t="shared" si="46"/>
        <v>0</v>
      </c>
      <c r="F1289" s="11">
        <v>0</v>
      </c>
      <c r="G1289" s="3" t="e">
        <f t="shared" si="43"/>
        <v>#DIV/0!</v>
      </c>
    </row>
    <row r="1290" spans="1:7" hidden="1">
      <c r="A1290" s="1">
        <v>17</v>
      </c>
      <c r="B1290" s="1" t="s">
        <v>127</v>
      </c>
      <c r="C1290" s="11">
        <v>20</v>
      </c>
      <c r="D1290" s="11">
        <v>19.75</v>
      </c>
      <c r="E1290" s="2">
        <f t="shared" si="46"/>
        <v>0.25</v>
      </c>
      <c r="F1290" s="11">
        <v>4.4999999999999998E-2</v>
      </c>
      <c r="G1290" s="3">
        <f t="shared" si="43"/>
        <v>1.4749999999999999E-2</v>
      </c>
    </row>
    <row r="1291" spans="1:7" hidden="1">
      <c r="A1291" s="1">
        <v>18</v>
      </c>
      <c r="B1291" s="1" t="s">
        <v>127</v>
      </c>
      <c r="C1291" s="11">
        <v>0</v>
      </c>
      <c r="D1291" s="11">
        <v>0</v>
      </c>
      <c r="E1291" s="2">
        <f t="shared" si="46"/>
        <v>0</v>
      </c>
      <c r="F1291" s="11">
        <v>0.14000000000000001</v>
      </c>
      <c r="G1291" s="3" t="e">
        <f t="shared" si="43"/>
        <v>#DIV/0!</v>
      </c>
    </row>
    <row r="1292" spans="1:7" hidden="1">
      <c r="A1292" s="1">
        <v>19</v>
      </c>
      <c r="B1292" s="1" t="s">
        <v>127</v>
      </c>
      <c r="C1292" s="11">
        <v>20</v>
      </c>
      <c r="D1292" s="11">
        <v>19.89</v>
      </c>
      <c r="E1292" s="2">
        <f t="shared" si="46"/>
        <v>0.10999999999999943</v>
      </c>
      <c r="F1292" s="11">
        <v>0.18</v>
      </c>
      <c r="G1292" s="3">
        <f t="shared" si="43"/>
        <v>1.4499999999999971E-2</v>
      </c>
    </row>
    <row r="1293" spans="1:7" hidden="1">
      <c r="A1293" s="1">
        <v>20</v>
      </c>
      <c r="B1293" s="1" t="s">
        <v>127</v>
      </c>
      <c r="C1293" s="11">
        <v>0</v>
      </c>
      <c r="D1293" s="11">
        <v>0</v>
      </c>
      <c r="E1293" s="2">
        <f t="shared" si="46"/>
        <v>0</v>
      </c>
      <c r="F1293" s="11">
        <v>0.17</v>
      </c>
      <c r="G1293" s="3" t="e">
        <f t="shared" si="43"/>
        <v>#DIV/0!</v>
      </c>
    </row>
    <row r="1294" spans="1:7" hidden="1">
      <c r="A1294" s="1">
        <v>21</v>
      </c>
      <c r="B1294" s="1" t="s">
        <v>127</v>
      </c>
      <c r="C1294" s="11">
        <v>0</v>
      </c>
      <c r="D1294" s="11">
        <v>0</v>
      </c>
      <c r="E1294" s="2">
        <f t="shared" si="46"/>
        <v>0</v>
      </c>
      <c r="F1294" s="11">
        <v>0.17</v>
      </c>
      <c r="G1294" s="3" t="e">
        <f t="shared" si="43"/>
        <v>#DIV/0!</v>
      </c>
    </row>
    <row r="1295" spans="1:7" hidden="1">
      <c r="A1295" s="1">
        <v>22</v>
      </c>
      <c r="B1295" s="1" t="s">
        <v>127</v>
      </c>
      <c r="C1295" s="11">
        <v>0</v>
      </c>
      <c r="D1295" s="11">
        <v>0</v>
      </c>
      <c r="E1295" s="2">
        <f t="shared" si="46"/>
        <v>0</v>
      </c>
      <c r="F1295" s="11">
        <v>0.1</v>
      </c>
      <c r="G1295" s="3" t="e">
        <f t="shared" si="43"/>
        <v>#DIV/0!</v>
      </c>
    </row>
    <row r="1296" spans="1:7" hidden="1">
      <c r="A1296" s="1">
        <v>23</v>
      </c>
      <c r="B1296" s="1" t="s">
        <v>127</v>
      </c>
      <c r="C1296" s="11">
        <v>0</v>
      </c>
      <c r="D1296" s="11">
        <v>0</v>
      </c>
      <c r="E1296" s="2">
        <f t="shared" si="46"/>
        <v>0</v>
      </c>
      <c r="F1296" s="11">
        <v>0.155</v>
      </c>
      <c r="G1296" s="3" t="e">
        <f t="shared" si="43"/>
        <v>#DIV/0!</v>
      </c>
    </row>
    <row r="1297" spans="1:7" hidden="1">
      <c r="A1297" s="1">
        <v>24</v>
      </c>
      <c r="B1297" s="1" t="s">
        <v>127</v>
      </c>
      <c r="C1297" s="11">
        <v>0</v>
      </c>
      <c r="D1297" s="11">
        <v>0</v>
      </c>
      <c r="E1297" s="2">
        <f t="shared" si="46"/>
        <v>0</v>
      </c>
      <c r="F1297" s="11">
        <v>0.15</v>
      </c>
      <c r="G1297" s="3" t="e">
        <f t="shared" si="43"/>
        <v>#DIV/0!</v>
      </c>
    </row>
    <row r="1298" spans="1:7" hidden="1">
      <c r="A1298" s="1">
        <v>25</v>
      </c>
      <c r="B1298" s="1" t="s">
        <v>127</v>
      </c>
      <c r="C1298" s="11">
        <v>20</v>
      </c>
      <c r="D1298" s="11">
        <v>19.88</v>
      </c>
      <c r="E1298" s="2">
        <f t="shared" si="46"/>
        <v>0.12000000000000099</v>
      </c>
      <c r="F1298" s="11">
        <v>0.14499999999999999</v>
      </c>
      <c r="G1298" s="3">
        <f t="shared" si="43"/>
        <v>1.325000000000005E-2</v>
      </c>
    </row>
    <row r="1299" spans="1:7" hidden="1">
      <c r="A1299" s="1">
        <v>26</v>
      </c>
      <c r="B1299" s="1" t="s">
        <v>127</v>
      </c>
      <c r="C1299" s="11">
        <v>0</v>
      </c>
      <c r="D1299" s="11">
        <v>0</v>
      </c>
      <c r="E1299" s="2">
        <f t="shared" si="46"/>
        <v>0</v>
      </c>
      <c r="F1299" s="11">
        <v>0.13</v>
      </c>
      <c r="G1299" s="3" t="e">
        <f t="shared" si="43"/>
        <v>#DIV/0!</v>
      </c>
    </row>
    <row r="1300" spans="1:7" hidden="1">
      <c r="A1300" s="1">
        <v>27</v>
      </c>
      <c r="B1300" s="1" t="s">
        <v>127</v>
      </c>
      <c r="C1300" s="11">
        <v>0</v>
      </c>
      <c r="D1300" s="11">
        <v>0</v>
      </c>
      <c r="E1300" s="2">
        <f t="shared" si="46"/>
        <v>0</v>
      </c>
      <c r="F1300" s="11">
        <v>0.18</v>
      </c>
      <c r="G1300" s="3" t="e">
        <f t="shared" si="43"/>
        <v>#DIV/0!</v>
      </c>
    </row>
    <row r="1301" spans="1:7" hidden="1">
      <c r="A1301" s="1">
        <v>28</v>
      </c>
      <c r="B1301" s="1" t="s">
        <v>127</v>
      </c>
      <c r="C1301" s="11">
        <v>0</v>
      </c>
      <c r="D1301" s="11">
        <v>0</v>
      </c>
      <c r="E1301" s="2">
        <f t="shared" si="46"/>
        <v>0</v>
      </c>
      <c r="F1301" s="11">
        <v>0.14499999999999999</v>
      </c>
      <c r="G1301" s="3" t="e">
        <f t="shared" si="43"/>
        <v>#DIV/0!</v>
      </c>
    </row>
    <row r="1302" spans="1:7" hidden="1">
      <c r="A1302" s="1">
        <v>29</v>
      </c>
      <c r="B1302" s="1" t="s">
        <v>127</v>
      </c>
      <c r="C1302" s="11">
        <v>0</v>
      </c>
      <c r="D1302" s="11">
        <v>0</v>
      </c>
      <c r="E1302" s="2">
        <f t="shared" si="46"/>
        <v>0</v>
      </c>
      <c r="F1302" s="11">
        <v>6.0999999999999999E-2</v>
      </c>
      <c r="G1302" s="3" t="e">
        <f t="shared" si="43"/>
        <v>#DIV/0!</v>
      </c>
    </row>
    <row r="1303" spans="1:7" hidden="1">
      <c r="A1303" s="1">
        <v>30</v>
      </c>
      <c r="B1303" s="1" t="s">
        <v>127</v>
      </c>
      <c r="C1303" s="11">
        <v>3</v>
      </c>
      <c r="D1303" s="11">
        <v>2.98</v>
      </c>
      <c r="E1303" s="2">
        <f t="shared" si="46"/>
        <v>2.0000000000000018E-2</v>
      </c>
      <c r="F1303" s="11">
        <v>2.5000000000000001E-2</v>
      </c>
      <c r="G1303" s="3">
        <f t="shared" si="43"/>
        <v>1.5000000000000006E-2</v>
      </c>
    </row>
    <row r="1304" spans="1:7" hidden="1">
      <c r="A1304" s="1">
        <v>31</v>
      </c>
      <c r="B1304" s="1" t="s">
        <v>127</v>
      </c>
      <c r="C1304" s="11">
        <v>3</v>
      </c>
      <c r="D1304" s="11">
        <v>3</v>
      </c>
      <c r="E1304" s="2">
        <f t="shared" si="46"/>
        <v>0</v>
      </c>
      <c r="F1304" s="11">
        <v>3.9E-2</v>
      </c>
      <c r="G1304" s="3">
        <f t="shared" si="43"/>
        <v>1.2999999999999999E-2</v>
      </c>
    </row>
    <row r="1305" spans="1:7" hidden="1">
      <c r="A1305" s="1">
        <v>1</v>
      </c>
      <c r="B1305" s="1" t="s">
        <v>129</v>
      </c>
      <c r="C1305" s="11">
        <v>0</v>
      </c>
      <c r="D1305" s="11">
        <v>0</v>
      </c>
      <c r="E1305" s="2">
        <f t="shared" si="46"/>
        <v>0</v>
      </c>
      <c r="F1305" s="11">
        <v>0</v>
      </c>
      <c r="G1305" s="3" t="e">
        <f t="shared" ref="G1305:G1335" si="47">(E1305+F1305)/C1305</f>
        <v>#DIV/0!</v>
      </c>
    </row>
    <row r="1306" spans="1:7" hidden="1">
      <c r="A1306" s="1">
        <v>2</v>
      </c>
      <c r="B1306" s="1" t="s">
        <v>129</v>
      </c>
      <c r="C1306" s="11">
        <v>0</v>
      </c>
      <c r="D1306" s="11">
        <v>0</v>
      </c>
      <c r="E1306" s="2">
        <f t="shared" si="46"/>
        <v>0</v>
      </c>
      <c r="F1306" s="11">
        <v>0</v>
      </c>
      <c r="G1306" s="3" t="e">
        <f t="shared" si="47"/>
        <v>#DIV/0!</v>
      </c>
    </row>
    <row r="1307" spans="1:7" hidden="1">
      <c r="A1307" s="1">
        <v>3</v>
      </c>
      <c r="B1307" s="1" t="s">
        <v>129</v>
      </c>
      <c r="C1307" s="11">
        <v>0</v>
      </c>
      <c r="D1307" s="11">
        <v>0</v>
      </c>
      <c r="E1307" s="2">
        <f t="shared" si="46"/>
        <v>0</v>
      </c>
      <c r="F1307" s="11">
        <v>0</v>
      </c>
      <c r="G1307" s="3" t="e">
        <f t="shared" si="47"/>
        <v>#DIV/0!</v>
      </c>
    </row>
    <row r="1308" spans="1:7" hidden="1">
      <c r="A1308" s="1">
        <v>4</v>
      </c>
      <c r="B1308" s="1" t="s">
        <v>129</v>
      </c>
      <c r="C1308" s="11">
        <v>0</v>
      </c>
      <c r="D1308" s="11">
        <v>0</v>
      </c>
      <c r="E1308" s="2">
        <f t="shared" si="46"/>
        <v>0</v>
      </c>
      <c r="F1308" s="11">
        <v>0</v>
      </c>
      <c r="G1308" s="3" t="e">
        <f t="shared" si="47"/>
        <v>#DIV/0!</v>
      </c>
    </row>
    <row r="1309" spans="1:7" hidden="1">
      <c r="A1309" s="1">
        <v>5</v>
      </c>
      <c r="B1309" s="1" t="s">
        <v>129</v>
      </c>
      <c r="C1309" s="11">
        <v>0</v>
      </c>
      <c r="D1309" s="11">
        <v>0</v>
      </c>
      <c r="E1309" s="2">
        <f t="shared" si="46"/>
        <v>0</v>
      </c>
      <c r="F1309" s="11">
        <v>0</v>
      </c>
      <c r="G1309" s="3" t="e">
        <f t="shared" si="47"/>
        <v>#DIV/0!</v>
      </c>
    </row>
    <row r="1310" spans="1:7" hidden="1">
      <c r="A1310" s="1">
        <v>6</v>
      </c>
      <c r="B1310" s="1" t="s">
        <v>129</v>
      </c>
      <c r="C1310" s="11">
        <v>0</v>
      </c>
      <c r="D1310" s="11">
        <v>0</v>
      </c>
      <c r="E1310" s="2">
        <f t="shared" si="46"/>
        <v>0</v>
      </c>
      <c r="F1310" s="11">
        <v>0</v>
      </c>
      <c r="G1310" s="3" t="e">
        <f t="shared" si="47"/>
        <v>#DIV/0!</v>
      </c>
    </row>
    <row r="1311" spans="1:7" hidden="1">
      <c r="A1311" s="1">
        <v>7</v>
      </c>
      <c r="B1311" s="1" t="s">
        <v>129</v>
      </c>
      <c r="C1311" s="11">
        <v>0</v>
      </c>
      <c r="D1311" s="11">
        <v>0</v>
      </c>
      <c r="E1311" s="2">
        <f t="shared" si="46"/>
        <v>0</v>
      </c>
      <c r="F1311" s="11">
        <v>0</v>
      </c>
      <c r="G1311" s="3" t="e">
        <f t="shared" si="47"/>
        <v>#DIV/0!</v>
      </c>
    </row>
    <row r="1312" spans="1:7" hidden="1">
      <c r="A1312" s="1">
        <v>8</v>
      </c>
      <c r="B1312" s="1" t="s">
        <v>129</v>
      </c>
      <c r="C1312" s="11">
        <v>0</v>
      </c>
      <c r="D1312" s="11">
        <v>0</v>
      </c>
      <c r="E1312" s="2">
        <f t="shared" si="46"/>
        <v>0</v>
      </c>
      <c r="F1312" s="11">
        <v>0</v>
      </c>
      <c r="G1312" s="3" t="e">
        <f t="shared" si="47"/>
        <v>#DIV/0!</v>
      </c>
    </row>
    <row r="1313" spans="1:7" hidden="1">
      <c r="A1313" s="1">
        <v>9</v>
      </c>
      <c r="B1313" s="1" t="s">
        <v>129</v>
      </c>
      <c r="C1313" s="11">
        <v>0</v>
      </c>
      <c r="D1313" s="11">
        <v>0</v>
      </c>
      <c r="E1313" s="2">
        <f t="shared" si="46"/>
        <v>0</v>
      </c>
      <c r="F1313" s="11">
        <v>0</v>
      </c>
      <c r="G1313" s="3" t="e">
        <f t="shared" si="47"/>
        <v>#DIV/0!</v>
      </c>
    </row>
    <row r="1314" spans="1:7" hidden="1">
      <c r="A1314" s="1">
        <v>10</v>
      </c>
      <c r="B1314" s="1" t="s">
        <v>129</v>
      </c>
      <c r="C1314" s="11">
        <v>0</v>
      </c>
      <c r="D1314" s="11">
        <v>0</v>
      </c>
      <c r="E1314" s="2">
        <f t="shared" si="46"/>
        <v>0</v>
      </c>
      <c r="F1314" s="11">
        <v>0</v>
      </c>
      <c r="G1314" s="3" t="e">
        <f t="shared" si="47"/>
        <v>#DIV/0!</v>
      </c>
    </row>
    <row r="1315" spans="1:7" hidden="1">
      <c r="A1315" s="1">
        <v>11</v>
      </c>
      <c r="B1315" s="1" t="s">
        <v>129</v>
      </c>
      <c r="C1315" s="11">
        <v>0</v>
      </c>
      <c r="D1315" s="11">
        <v>0</v>
      </c>
      <c r="E1315" s="2">
        <f t="shared" si="46"/>
        <v>0</v>
      </c>
      <c r="F1315" s="11">
        <v>0</v>
      </c>
      <c r="G1315" s="3" t="e">
        <f t="shared" si="47"/>
        <v>#DIV/0!</v>
      </c>
    </row>
    <row r="1316" spans="1:7" hidden="1">
      <c r="A1316" s="1">
        <v>12</v>
      </c>
      <c r="B1316" s="1" t="s">
        <v>129</v>
      </c>
      <c r="C1316" s="11">
        <v>0</v>
      </c>
      <c r="D1316" s="11">
        <v>0</v>
      </c>
      <c r="E1316" s="2">
        <f t="shared" si="46"/>
        <v>0</v>
      </c>
      <c r="F1316" s="11">
        <v>0</v>
      </c>
      <c r="G1316" s="3" t="e">
        <f t="shared" si="47"/>
        <v>#DIV/0!</v>
      </c>
    </row>
    <row r="1317" spans="1:7" hidden="1">
      <c r="A1317" s="1">
        <v>13</v>
      </c>
      <c r="B1317" s="1" t="s">
        <v>129</v>
      </c>
      <c r="C1317" s="11">
        <v>0</v>
      </c>
      <c r="D1317" s="11">
        <v>0</v>
      </c>
      <c r="E1317" s="2">
        <f t="shared" si="46"/>
        <v>0</v>
      </c>
      <c r="F1317" s="11">
        <v>0</v>
      </c>
      <c r="G1317" s="3" t="e">
        <f t="shared" si="47"/>
        <v>#DIV/0!</v>
      </c>
    </row>
    <row r="1318" spans="1:7" hidden="1">
      <c r="A1318" s="1">
        <v>14</v>
      </c>
      <c r="B1318" s="1" t="s">
        <v>129</v>
      </c>
      <c r="C1318" s="11">
        <v>0</v>
      </c>
      <c r="D1318" s="11">
        <v>0</v>
      </c>
      <c r="E1318" s="2">
        <f t="shared" si="46"/>
        <v>0</v>
      </c>
      <c r="F1318" s="11">
        <v>0</v>
      </c>
      <c r="G1318" s="3" t="e">
        <f t="shared" si="47"/>
        <v>#DIV/0!</v>
      </c>
    </row>
    <row r="1319" spans="1:7" hidden="1">
      <c r="A1319" s="1">
        <v>15</v>
      </c>
      <c r="B1319" s="1" t="s">
        <v>129</v>
      </c>
      <c r="C1319" s="11">
        <v>0</v>
      </c>
      <c r="D1319" s="11">
        <v>0</v>
      </c>
      <c r="E1319" s="2">
        <f t="shared" si="46"/>
        <v>0</v>
      </c>
      <c r="F1319" s="11">
        <v>0</v>
      </c>
      <c r="G1319" s="3" t="e">
        <f t="shared" si="47"/>
        <v>#DIV/0!</v>
      </c>
    </row>
    <row r="1320" spans="1:7" hidden="1">
      <c r="A1320" s="1">
        <v>16</v>
      </c>
      <c r="B1320" s="1" t="s">
        <v>129</v>
      </c>
      <c r="C1320" s="11">
        <v>0</v>
      </c>
      <c r="D1320" s="11">
        <v>0</v>
      </c>
      <c r="E1320" s="2">
        <f t="shared" si="46"/>
        <v>0</v>
      </c>
      <c r="F1320" s="11">
        <v>0</v>
      </c>
      <c r="G1320" s="3" t="e">
        <f t="shared" si="47"/>
        <v>#DIV/0!</v>
      </c>
    </row>
    <row r="1321" spans="1:7" hidden="1">
      <c r="A1321" s="1">
        <v>17</v>
      </c>
      <c r="B1321" s="1" t="s">
        <v>129</v>
      </c>
      <c r="C1321" s="11">
        <v>0</v>
      </c>
      <c r="D1321" s="11">
        <v>0</v>
      </c>
      <c r="E1321" s="2">
        <f t="shared" si="46"/>
        <v>0</v>
      </c>
      <c r="F1321" s="11">
        <v>0</v>
      </c>
      <c r="G1321" s="3" t="e">
        <f t="shared" si="47"/>
        <v>#DIV/0!</v>
      </c>
    </row>
    <row r="1322" spans="1:7" hidden="1">
      <c r="A1322" s="1">
        <v>18</v>
      </c>
      <c r="B1322" s="1" t="s">
        <v>129</v>
      </c>
      <c r="C1322" s="11">
        <v>0</v>
      </c>
      <c r="D1322" s="11">
        <v>0</v>
      </c>
      <c r="E1322" s="2">
        <f t="shared" si="46"/>
        <v>0</v>
      </c>
      <c r="F1322" s="11">
        <v>0</v>
      </c>
      <c r="G1322" s="3" t="e">
        <f t="shared" si="47"/>
        <v>#DIV/0!</v>
      </c>
    </row>
    <row r="1323" spans="1:7" hidden="1">
      <c r="A1323" s="1">
        <v>19</v>
      </c>
      <c r="B1323" s="1" t="s">
        <v>129</v>
      </c>
      <c r="C1323" s="11">
        <v>0</v>
      </c>
      <c r="D1323" s="11">
        <v>0</v>
      </c>
      <c r="E1323" s="2">
        <f t="shared" si="46"/>
        <v>0</v>
      </c>
      <c r="F1323" s="11">
        <v>0</v>
      </c>
      <c r="G1323" s="3" t="e">
        <f t="shared" si="47"/>
        <v>#DIV/0!</v>
      </c>
    </row>
    <row r="1324" spans="1:7" hidden="1">
      <c r="A1324" s="1">
        <v>20</v>
      </c>
      <c r="B1324" s="1" t="s">
        <v>129</v>
      </c>
      <c r="C1324" s="11">
        <v>0</v>
      </c>
      <c r="D1324" s="11">
        <v>0</v>
      </c>
      <c r="E1324" s="2">
        <f t="shared" si="46"/>
        <v>0</v>
      </c>
      <c r="F1324" s="11">
        <v>0</v>
      </c>
      <c r="G1324" s="3" t="e">
        <f t="shared" si="47"/>
        <v>#DIV/0!</v>
      </c>
    </row>
    <row r="1325" spans="1:7" hidden="1">
      <c r="A1325" s="1">
        <v>21</v>
      </c>
      <c r="B1325" s="1" t="s">
        <v>129</v>
      </c>
      <c r="C1325" s="11">
        <v>0</v>
      </c>
      <c r="D1325" s="11">
        <v>0</v>
      </c>
      <c r="E1325" s="2">
        <f t="shared" si="46"/>
        <v>0</v>
      </c>
      <c r="F1325" s="11">
        <v>0</v>
      </c>
      <c r="G1325" s="3" t="e">
        <f t="shared" si="47"/>
        <v>#DIV/0!</v>
      </c>
    </row>
    <row r="1326" spans="1:7" hidden="1">
      <c r="A1326" s="1">
        <v>22</v>
      </c>
      <c r="B1326" s="1" t="s">
        <v>129</v>
      </c>
      <c r="C1326" s="11">
        <v>0</v>
      </c>
      <c r="D1326" s="11">
        <v>0</v>
      </c>
      <c r="E1326" s="2">
        <f t="shared" si="46"/>
        <v>0</v>
      </c>
      <c r="F1326" s="11">
        <v>0</v>
      </c>
      <c r="G1326" s="3" t="e">
        <f t="shared" si="47"/>
        <v>#DIV/0!</v>
      </c>
    </row>
    <row r="1327" spans="1:7" hidden="1">
      <c r="A1327" s="1">
        <v>23</v>
      </c>
      <c r="B1327" s="1" t="s">
        <v>129</v>
      </c>
      <c r="C1327" s="11">
        <v>0</v>
      </c>
      <c r="D1327" s="11">
        <v>0</v>
      </c>
      <c r="E1327" s="2">
        <f t="shared" si="46"/>
        <v>0</v>
      </c>
      <c r="F1327" s="11">
        <v>0</v>
      </c>
      <c r="G1327" s="3" t="e">
        <f t="shared" si="47"/>
        <v>#DIV/0!</v>
      </c>
    </row>
    <row r="1328" spans="1:7" hidden="1">
      <c r="A1328" s="1">
        <v>24</v>
      </c>
      <c r="B1328" s="1" t="s">
        <v>129</v>
      </c>
      <c r="C1328" s="11">
        <v>0</v>
      </c>
      <c r="D1328" s="11">
        <v>0</v>
      </c>
      <c r="E1328" s="2">
        <f t="shared" si="46"/>
        <v>0</v>
      </c>
      <c r="F1328" s="11">
        <v>0</v>
      </c>
      <c r="G1328" s="3" t="e">
        <f t="shared" si="47"/>
        <v>#DIV/0!</v>
      </c>
    </row>
    <row r="1329" spans="1:7" hidden="1">
      <c r="A1329" s="1">
        <v>25</v>
      </c>
      <c r="B1329" s="1" t="s">
        <v>129</v>
      </c>
      <c r="C1329" s="11">
        <v>0</v>
      </c>
      <c r="D1329" s="11">
        <v>0</v>
      </c>
      <c r="E1329" s="2">
        <f t="shared" si="46"/>
        <v>0</v>
      </c>
      <c r="F1329" s="11">
        <v>0</v>
      </c>
      <c r="G1329" s="3" t="e">
        <f t="shared" si="47"/>
        <v>#DIV/0!</v>
      </c>
    </row>
    <row r="1330" spans="1:7" hidden="1">
      <c r="A1330" s="1">
        <v>26</v>
      </c>
      <c r="B1330" s="1" t="s">
        <v>129</v>
      </c>
      <c r="C1330" s="11">
        <v>0</v>
      </c>
      <c r="D1330" s="11">
        <v>0</v>
      </c>
      <c r="E1330" s="2">
        <f t="shared" si="46"/>
        <v>0</v>
      </c>
      <c r="F1330" s="11">
        <v>0</v>
      </c>
      <c r="G1330" s="3" t="e">
        <f t="shared" si="47"/>
        <v>#DIV/0!</v>
      </c>
    </row>
    <row r="1331" spans="1:7" hidden="1">
      <c r="A1331" s="1">
        <v>27</v>
      </c>
      <c r="B1331" s="1" t="s">
        <v>129</v>
      </c>
      <c r="C1331" s="11">
        <v>0</v>
      </c>
      <c r="D1331" s="11">
        <v>0</v>
      </c>
      <c r="E1331" s="2">
        <f t="shared" si="46"/>
        <v>0</v>
      </c>
      <c r="F1331" s="11">
        <v>0</v>
      </c>
      <c r="G1331" s="3" t="e">
        <f t="shared" si="47"/>
        <v>#DIV/0!</v>
      </c>
    </row>
    <row r="1332" spans="1:7" hidden="1">
      <c r="A1332" s="1">
        <v>28</v>
      </c>
      <c r="B1332" s="1" t="s">
        <v>129</v>
      </c>
      <c r="C1332" s="11">
        <v>0</v>
      </c>
      <c r="D1332" s="11">
        <v>0</v>
      </c>
      <c r="E1332" s="2">
        <f t="shared" si="46"/>
        <v>0</v>
      </c>
      <c r="F1332" s="11">
        <v>0</v>
      </c>
      <c r="G1332" s="3" t="e">
        <f t="shared" si="47"/>
        <v>#DIV/0!</v>
      </c>
    </row>
    <row r="1333" spans="1:7" hidden="1">
      <c r="A1333" s="1">
        <v>29</v>
      </c>
      <c r="B1333" s="1" t="s">
        <v>129</v>
      </c>
      <c r="C1333" s="11">
        <v>20</v>
      </c>
      <c r="D1333" s="11">
        <v>19.84</v>
      </c>
      <c r="E1333" s="2">
        <f t="shared" si="46"/>
        <v>0.16000000000000014</v>
      </c>
      <c r="F1333" s="11">
        <v>0</v>
      </c>
      <c r="G1333" s="3">
        <f t="shared" si="47"/>
        <v>8.0000000000000071E-3</v>
      </c>
    </row>
    <row r="1334" spans="1:7" hidden="1">
      <c r="A1334" s="1">
        <v>30</v>
      </c>
      <c r="B1334" s="1" t="s">
        <v>129</v>
      </c>
      <c r="C1334" s="11">
        <v>20</v>
      </c>
      <c r="D1334" s="11">
        <v>19.84</v>
      </c>
      <c r="E1334" s="2">
        <f t="shared" si="46"/>
        <v>0.16000000000000014</v>
      </c>
      <c r="F1334" s="11">
        <v>0</v>
      </c>
      <c r="G1334" s="3">
        <f t="shared" si="47"/>
        <v>8.0000000000000071E-3</v>
      </c>
    </row>
    <row r="1335" spans="1:7" hidden="1">
      <c r="A1335" s="1">
        <v>31</v>
      </c>
      <c r="B1335" s="1" t="s">
        <v>129</v>
      </c>
      <c r="C1335" s="11">
        <v>20</v>
      </c>
      <c r="D1335" s="11">
        <v>19.829999999999998</v>
      </c>
      <c r="E1335" s="2">
        <f t="shared" si="46"/>
        <v>0.17000000000000171</v>
      </c>
      <c r="F1335" s="11">
        <v>0.13600000000000001</v>
      </c>
      <c r="G1335" s="3">
        <f t="shared" si="47"/>
        <v>1.5300000000000086E-2</v>
      </c>
    </row>
    <row r="1336" spans="1:7">
      <c r="A1336" s="1">
        <v>1</v>
      </c>
      <c r="B1336" s="1" t="s">
        <v>130</v>
      </c>
      <c r="C1336" s="11">
        <v>0</v>
      </c>
      <c r="D1336" s="11">
        <v>0</v>
      </c>
      <c r="E1336" s="2">
        <f t="shared" si="46"/>
        <v>0</v>
      </c>
      <c r="F1336" s="11">
        <v>0</v>
      </c>
      <c r="G1336" s="3" t="e">
        <f t="shared" ref="G1336:G1397" si="48">(E1336+F1336)/C1336</f>
        <v>#DIV/0!</v>
      </c>
    </row>
    <row r="1337" spans="1:7">
      <c r="A1337" s="1">
        <v>2</v>
      </c>
      <c r="B1337" s="1" t="s">
        <v>130</v>
      </c>
      <c r="C1337" s="11">
        <v>0</v>
      </c>
      <c r="D1337" s="11">
        <v>0</v>
      </c>
      <c r="E1337" s="2">
        <f t="shared" si="46"/>
        <v>0</v>
      </c>
      <c r="F1337" s="11">
        <v>0</v>
      </c>
      <c r="G1337" s="3" t="e">
        <f t="shared" si="48"/>
        <v>#DIV/0!</v>
      </c>
    </row>
    <row r="1338" spans="1:7">
      <c r="A1338" s="1">
        <v>3</v>
      </c>
      <c r="B1338" s="1" t="s">
        <v>130</v>
      </c>
      <c r="C1338" s="11">
        <v>0</v>
      </c>
      <c r="D1338" s="11">
        <v>0</v>
      </c>
      <c r="E1338" s="2">
        <f t="shared" si="46"/>
        <v>0</v>
      </c>
      <c r="F1338" s="11">
        <v>0</v>
      </c>
      <c r="G1338" s="3" t="e">
        <f t="shared" si="48"/>
        <v>#DIV/0!</v>
      </c>
    </row>
    <row r="1339" spans="1:7">
      <c r="A1339" s="1">
        <v>4</v>
      </c>
      <c r="B1339" s="1" t="s">
        <v>130</v>
      </c>
      <c r="C1339" s="11">
        <v>0</v>
      </c>
      <c r="D1339" s="11">
        <v>0</v>
      </c>
      <c r="E1339" s="2">
        <f t="shared" ref="E1339:E1365" si="49">C1339-D1339</f>
        <v>0</v>
      </c>
      <c r="F1339" s="11">
        <v>0</v>
      </c>
      <c r="G1339" s="3" t="e">
        <f t="shared" si="48"/>
        <v>#DIV/0!</v>
      </c>
    </row>
    <row r="1340" spans="1:7">
      <c r="A1340" s="1">
        <v>5</v>
      </c>
      <c r="B1340" s="1" t="s">
        <v>130</v>
      </c>
      <c r="C1340" s="11">
        <v>0</v>
      </c>
      <c r="D1340" s="11">
        <v>0</v>
      </c>
      <c r="E1340" s="2">
        <f t="shared" si="49"/>
        <v>0</v>
      </c>
      <c r="F1340" s="11">
        <v>0</v>
      </c>
      <c r="G1340" s="3" t="e">
        <f t="shared" si="48"/>
        <v>#DIV/0!</v>
      </c>
    </row>
    <row r="1341" spans="1:7">
      <c r="A1341" s="1">
        <v>6</v>
      </c>
      <c r="B1341" s="1" t="s">
        <v>130</v>
      </c>
      <c r="C1341" s="11">
        <v>0</v>
      </c>
      <c r="D1341" s="11">
        <v>0</v>
      </c>
      <c r="E1341" s="2">
        <f t="shared" si="49"/>
        <v>0</v>
      </c>
      <c r="F1341" s="11">
        <v>0</v>
      </c>
      <c r="G1341" s="3" t="e">
        <f t="shared" si="48"/>
        <v>#DIV/0!</v>
      </c>
    </row>
    <row r="1342" spans="1:7">
      <c r="A1342" s="1">
        <v>7</v>
      </c>
      <c r="B1342" s="1" t="s">
        <v>130</v>
      </c>
      <c r="C1342" s="11">
        <v>0</v>
      </c>
      <c r="D1342" s="11">
        <v>0</v>
      </c>
      <c r="E1342" s="2">
        <f t="shared" si="49"/>
        <v>0</v>
      </c>
      <c r="F1342" s="11">
        <v>0</v>
      </c>
      <c r="G1342" s="3" t="e">
        <f t="shared" si="48"/>
        <v>#DIV/0!</v>
      </c>
    </row>
    <row r="1343" spans="1:7">
      <c r="A1343" s="1">
        <v>8</v>
      </c>
      <c r="B1343" s="1" t="s">
        <v>130</v>
      </c>
      <c r="C1343" s="11">
        <v>0</v>
      </c>
      <c r="D1343" s="11">
        <v>0</v>
      </c>
      <c r="E1343" s="2">
        <f t="shared" si="49"/>
        <v>0</v>
      </c>
      <c r="F1343" s="11">
        <v>0</v>
      </c>
      <c r="G1343" s="3" t="e">
        <f t="shared" si="48"/>
        <v>#DIV/0!</v>
      </c>
    </row>
    <row r="1344" spans="1:7">
      <c r="A1344" s="1">
        <v>9</v>
      </c>
      <c r="B1344" s="1" t="s">
        <v>130</v>
      </c>
      <c r="C1344" s="11">
        <v>0</v>
      </c>
      <c r="D1344" s="11">
        <v>0</v>
      </c>
      <c r="E1344" s="2">
        <f t="shared" si="49"/>
        <v>0</v>
      </c>
      <c r="F1344" s="11">
        <v>0</v>
      </c>
      <c r="G1344" s="3" t="e">
        <f t="shared" si="48"/>
        <v>#DIV/0!</v>
      </c>
    </row>
    <row r="1345" spans="1:7">
      <c r="A1345" s="1">
        <v>10</v>
      </c>
      <c r="B1345" s="1" t="s">
        <v>130</v>
      </c>
      <c r="C1345" s="11">
        <v>0</v>
      </c>
      <c r="D1345" s="11">
        <v>0</v>
      </c>
      <c r="E1345" s="2">
        <f t="shared" si="49"/>
        <v>0</v>
      </c>
      <c r="F1345" s="11">
        <v>0</v>
      </c>
      <c r="G1345" s="3" t="e">
        <f t="shared" si="48"/>
        <v>#DIV/0!</v>
      </c>
    </row>
    <row r="1346" spans="1:7">
      <c r="A1346" s="1">
        <v>11</v>
      </c>
      <c r="B1346" s="1" t="s">
        <v>130</v>
      </c>
      <c r="C1346" s="11">
        <v>0</v>
      </c>
      <c r="D1346" s="11">
        <v>0</v>
      </c>
      <c r="E1346" s="2">
        <f t="shared" si="49"/>
        <v>0</v>
      </c>
      <c r="F1346" s="11">
        <v>0</v>
      </c>
      <c r="G1346" s="3" t="e">
        <f t="shared" si="48"/>
        <v>#DIV/0!</v>
      </c>
    </row>
    <row r="1347" spans="1:7">
      <c r="A1347" s="1">
        <v>12</v>
      </c>
      <c r="B1347" s="1" t="s">
        <v>130</v>
      </c>
      <c r="C1347" s="11">
        <v>0</v>
      </c>
      <c r="D1347" s="11">
        <v>0</v>
      </c>
      <c r="E1347" s="2">
        <f t="shared" si="49"/>
        <v>0</v>
      </c>
      <c r="F1347" s="11">
        <v>0</v>
      </c>
      <c r="G1347" s="3" t="e">
        <f t="shared" si="48"/>
        <v>#DIV/0!</v>
      </c>
    </row>
    <row r="1348" spans="1:7">
      <c r="A1348" s="1">
        <v>13</v>
      </c>
      <c r="B1348" s="1" t="s">
        <v>130</v>
      </c>
      <c r="C1348" s="11">
        <v>0</v>
      </c>
      <c r="D1348" s="11">
        <v>0</v>
      </c>
      <c r="E1348" s="2">
        <f t="shared" si="49"/>
        <v>0</v>
      </c>
      <c r="F1348" s="11">
        <v>0</v>
      </c>
      <c r="G1348" s="3" t="e">
        <f t="shared" si="48"/>
        <v>#DIV/0!</v>
      </c>
    </row>
    <row r="1349" spans="1:7">
      <c r="A1349" s="1">
        <v>14</v>
      </c>
      <c r="B1349" s="1" t="s">
        <v>130</v>
      </c>
      <c r="C1349" s="11">
        <v>0</v>
      </c>
      <c r="D1349" s="11">
        <v>0</v>
      </c>
      <c r="E1349" s="2">
        <f t="shared" si="49"/>
        <v>0</v>
      </c>
      <c r="F1349" s="11">
        <v>0</v>
      </c>
      <c r="G1349" s="3" t="e">
        <f t="shared" si="48"/>
        <v>#DIV/0!</v>
      </c>
    </row>
    <row r="1350" spans="1:7">
      <c r="A1350" s="1">
        <v>15</v>
      </c>
      <c r="B1350" s="1" t="s">
        <v>130</v>
      </c>
      <c r="C1350" s="11">
        <v>0</v>
      </c>
      <c r="D1350" s="11">
        <v>0</v>
      </c>
      <c r="E1350" s="2">
        <f t="shared" si="49"/>
        <v>0</v>
      </c>
      <c r="F1350" s="11">
        <v>0</v>
      </c>
      <c r="G1350" s="3" t="e">
        <f t="shared" si="48"/>
        <v>#DIV/0!</v>
      </c>
    </row>
    <row r="1351" spans="1:7">
      <c r="A1351" s="1">
        <v>16</v>
      </c>
      <c r="B1351" s="1" t="s">
        <v>130</v>
      </c>
      <c r="C1351" s="11">
        <v>0</v>
      </c>
      <c r="D1351" s="11">
        <v>0</v>
      </c>
      <c r="E1351" s="2">
        <f t="shared" si="49"/>
        <v>0</v>
      </c>
      <c r="F1351" s="11">
        <v>0</v>
      </c>
      <c r="G1351" s="3" t="e">
        <f t="shared" si="48"/>
        <v>#DIV/0!</v>
      </c>
    </row>
    <row r="1352" spans="1:7">
      <c r="A1352" s="1">
        <v>17</v>
      </c>
      <c r="B1352" s="1" t="s">
        <v>130</v>
      </c>
      <c r="C1352" s="11">
        <v>0</v>
      </c>
      <c r="D1352" s="11">
        <v>0</v>
      </c>
      <c r="E1352" s="2">
        <f t="shared" si="49"/>
        <v>0</v>
      </c>
      <c r="F1352" s="11">
        <v>0</v>
      </c>
      <c r="G1352" s="3" t="e">
        <f t="shared" si="48"/>
        <v>#DIV/0!</v>
      </c>
    </row>
    <row r="1353" spans="1:7">
      <c r="A1353" s="1">
        <v>18</v>
      </c>
      <c r="B1353" s="1" t="s">
        <v>130</v>
      </c>
      <c r="C1353" s="11">
        <v>0</v>
      </c>
      <c r="D1353" s="11">
        <v>0</v>
      </c>
      <c r="E1353" s="2">
        <f t="shared" si="49"/>
        <v>0</v>
      </c>
      <c r="F1353" s="11">
        <v>0</v>
      </c>
      <c r="G1353" s="3" t="e">
        <f t="shared" si="48"/>
        <v>#DIV/0!</v>
      </c>
    </row>
    <row r="1354" spans="1:7">
      <c r="A1354" s="1">
        <v>19</v>
      </c>
      <c r="B1354" s="1" t="s">
        <v>130</v>
      </c>
      <c r="C1354" s="11">
        <v>0</v>
      </c>
      <c r="D1354" s="11">
        <v>0</v>
      </c>
      <c r="E1354" s="2">
        <f t="shared" si="49"/>
        <v>0</v>
      </c>
      <c r="F1354" s="11">
        <v>0</v>
      </c>
      <c r="G1354" s="3" t="e">
        <f t="shared" si="48"/>
        <v>#DIV/0!</v>
      </c>
    </row>
    <row r="1355" spans="1:7">
      <c r="A1355" s="1">
        <v>20</v>
      </c>
      <c r="B1355" s="1" t="s">
        <v>130</v>
      </c>
      <c r="C1355" s="11">
        <v>0</v>
      </c>
      <c r="D1355" s="11">
        <v>0</v>
      </c>
      <c r="E1355" s="2">
        <f t="shared" si="49"/>
        <v>0</v>
      </c>
      <c r="F1355" s="11">
        <v>0</v>
      </c>
      <c r="G1355" s="3" t="e">
        <f t="shared" si="48"/>
        <v>#DIV/0!</v>
      </c>
    </row>
    <row r="1356" spans="1:7">
      <c r="A1356" s="1">
        <v>21</v>
      </c>
      <c r="B1356" s="1" t="s">
        <v>130</v>
      </c>
      <c r="C1356" s="11">
        <v>0</v>
      </c>
      <c r="D1356" s="11">
        <v>0</v>
      </c>
      <c r="E1356" s="2">
        <f t="shared" si="49"/>
        <v>0</v>
      </c>
      <c r="F1356" s="11">
        <v>0</v>
      </c>
      <c r="G1356" s="3" t="e">
        <f t="shared" si="48"/>
        <v>#DIV/0!</v>
      </c>
    </row>
    <row r="1357" spans="1:7">
      <c r="A1357" s="1">
        <v>22</v>
      </c>
      <c r="B1357" s="1" t="s">
        <v>130</v>
      </c>
      <c r="C1357" s="11">
        <v>0</v>
      </c>
      <c r="D1357" s="11">
        <v>0</v>
      </c>
      <c r="E1357" s="2">
        <f t="shared" si="49"/>
        <v>0</v>
      </c>
      <c r="F1357" s="11">
        <v>0</v>
      </c>
      <c r="G1357" s="3" t="e">
        <f t="shared" si="48"/>
        <v>#DIV/0!</v>
      </c>
    </row>
    <row r="1358" spans="1:7">
      <c r="A1358" s="1">
        <v>23</v>
      </c>
      <c r="B1358" s="1" t="s">
        <v>130</v>
      </c>
      <c r="C1358" s="11">
        <v>0</v>
      </c>
      <c r="D1358" s="11">
        <v>0</v>
      </c>
      <c r="E1358" s="2">
        <f t="shared" si="49"/>
        <v>0</v>
      </c>
      <c r="F1358" s="11">
        <v>0</v>
      </c>
      <c r="G1358" s="3" t="e">
        <f t="shared" si="48"/>
        <v>#DIV/0!</v>
      </c>
    </row>
    <row r="1359" spans="1:7">
      <c r="A1359" s="1">
        <v>24</v>
      </c>
      <c r="B1359" s="1" t="s">
        <v>130</v>
      </c>
      <c r="C1359" s="11">
        <v>0</v>
      </c>
      <c r="D1359" s="11">
        <v>0</v>
      </c>
      <c r="E1359" s="2">
        <f t="shared" si="49"/>
        <v>0</v>
      </c>
      <c r="F1359" s="11">
        <v>0</v>
      </c>
      <c r="G1359" s="3" t="e">
        <f t="shared" si="48"/>
        <v>#DIV/0!</v>
      </c>
    </row>
    <row r="1360" spans="1:7">
      <c r="A1360" s="1">
        <v>25</v>
      </c>
      <c r="B1360" s="1" t="s">
        <v>130</v>
      </c>
      <c r="C1360" s="11">
        <v>0</v>
      </c>
      <c r="D1360" s="11">
        <v>0</v>
      </c>
      <c r="E1360" s="2">
        <f t="shared" si="49"/>
        <v>0</v>
      </c>
      <c r="F1360" s="11">
        <v>0</v>
      </c>
      <c r="G1360" s="3" t="e">
        <f t="shared" si="48"/>
        <v>#DIV/0!</v>
      </c>
    </row>
    <row r="1361" spans="1:7">
      <c r="A1361" s="1">
        <v>26</v>
      </c>
      <c r="B1361" s="1" t="s">
        <v>130</v>
      </c>
      <c r="C1361" s="11">
        <v>0</v>
      </c>
      <c r="D1361" s="11">
        <v>0</v>
      </c>
      <c r="E1361" s="2">
        <f t="shared" si="49"/>
        <v>0</v>
      </c>
      <c r="F1361" s="11">
        <v>0</v>
      </c>
      <c r="G1361" s="3" t="e">
        <f t="shared" si="48"/>
        <v>#DIV/0!</v>
      </c>
    </row>
    <row r="1362" spans="1:7">
      <c r="A1362" s="1">
        <v>27</v>
      </c>
      <c r="B1362" s="1" t="s">
        <v>130</v>
      </c>
      <c r="C1362" s="11">
        <v>0</v>
      </c>
      <c r="D1362" s="11">
        <v>0</v>
      </c>
      <c r="E1362" s="2">
        <f t="shared" si="49"/>
        <v>0</v>
      </c>
      <c r="F1362" s="11">
        <v>0</v>
      </c>
      <c r="G1362" s="3" t="e">
        <f t="shared" si="48"/>
        <v>#DIV/0!</v>
      </c>
    </row>
    <row r="1363" spans="1:7">
      <c r="A1363" s="1">
        <v>28</v>
      </c>
      <c r="B1363" s="1" t="s">
        <v>130</v>
      </c>
      <c r="C1363" s="11">
        <v>0</v>
      </c>
      <c r="D1363" s="11">
        <v>0</v>
      </c>
      <c r="E1363" s="2">
        <f t="shared" si="49"/>
        <v>0</v>
      </c>
      <c r="F1363" s="11">
        <v>0</v>
      </c>
      <c r="G1363" s="3" t="e">
        <f t="shared" si="48"/>
        <v>#DIV/0!</v>
      </c>
    </row>
    <row r="1364" spans="1:7">
      <c r="A1364" s="1">
        <v>29</v>
      </c>
      <c r="B1364" s="1" t="s">
        <v>130</v>
      </c>
      <c r="C1364" s="11">
        <v>0</v>
      </c>
      <c r="D1364" s="11">
        <v>0</v>
      </c>
      <c r="E1364" s="2">
        <f t="shared" si="49"/>
        <v>0</v>
      </c>
      <c r="F1364" s="11">
        <v>0</v>
      </c>
      <c r="G1364" s="3" t="e">
        <f t="shared" si="48"/>
        <v>#DIV/0!</v>
      </c>
    </row>
    <row r="1365" spans="1:7">
      <c r="A1365" s="1">
        <v>30</v>
      </c>
      <c r="B1365" s="1" t="s">
        <v>130</v>
      </c>
      <c r="C1365" s="11">
        <v>20</v>
      </c>
      <c r="D1365" s="11">
        <v>19.739999999999998</v>
      </c>
      <c r="E1365" s="2">
        <f t="shared" si="49"/>
        <v>0.26000000000000156</v>
      </c>
      <c r="F1365" s="11">
        <v>0.33</v>
      </c>
      <c r="G1365" s="3">
        <f t="shared" si="48"/>
        <v>2.9500000000000082E-2</v>
      </c>
    </row>
    <row r="1366" spans="1:7">
      <c r="A1366" s="1">
        <v>31</v>
      </c>
      <c r="B1366" s="1" t="s">
        <v>130</v>
      </c>
      <c r="C1366" s="11">
        <v>0</v>
      </c>
      <c r="D1366" s="11">
        <v>0</v>
      </c>
      <c r="E1366" s="2">
        <f t="shared" ref="E1366:E1397" si="50">C1366-D1366</f>
        <v>0</v>
      </c>
      <c r="F1366" s="11">
        <v>2.3E-2</v>
      </c>
      <c r="G1366" s="3" t="e">
        <f t="shared" si="48"/>
        <v>#DIV/0!</v>
      </c>
    </row>
    <row r="1367" spans="1:7" hidden="1">
      <c r="A1367" s="1">
        <v>1</v>
      </c>
      <c r="B1367" s="1" t="s">
        <v>131</v>
      </c>
      <c r="C1367" s="11">
        <v>0</v>
      </c>
      <c r="D1367" s="11">
        <v>0</v>
      </c>
      <c r="E1367" s="2">
        <f t="shared" ref="E1367:E1396" si="51">C1367-D1367</f>
        <v>0</v>
      </c>
      <c r="F1367" s="11">
        <v>0</v>
      </c>
      <c r="G1367" s="3" t="e">
        <f t="shared" si="48"/>
        <v>#DIV/0!</v>
      </c>
    </row>
    <row r="1368" spans="1:7" hidden="1">
      <c r="A1368" s="1">
        <v>2</v>
      </c>
      <c r="B1368" s="1" t="s">
        <v>131</v>
      </c>
      <c r="C1368" s="11">
        <v>0</v>
      </c>
      <c r="D1368" s="11">
        <v>0</v>
      </c>
      <c r="E1368" s="2">
        <f t="shared" si="51"/>
        <v>0</v>
      </c>
      <c r="F1368" s="11">
        <v>0</v>
      </c>
      <c r="G1368" s="3" t="e">
        <f t="shared" si="48"/>
        <v>#DIV/0!</v>
      </c>
    </row>
    <row r="1369" spans="1:7" hidden="1">
      <c r="A1369" s="1">
        <v>3</v>
      </c>
      <c r="B1369" s="1" t="s">
        <v>131</v>
      </c>
      <c r="C1369" s="11">
        <v>0</v>
      </c>
      <c r="D1369" s="11">
        <v>0</v>
      </c>
      <c r="E1369" s="2">
        <f t="shared" si="51"/>
        <v>0</v>
      </c>
      <c r="F1369" s="11">
        <v>0</v>
      </c>
      <c r="G1369" s="3" t="e">
        <f t="shared" si="48"/>
        <v>#DIV/0!</v>
      </c>
    </row>
    <row r="1370" spans="1:7" hidden="1">
      <c r="A1370" s="1">
        <v>4</v>
      </c>
      <c r="B1370" s="1" t="s">
        <v>131</v>
      </c>
      <c r="C1370" s="11">
        <v>0</v>
      </c>
      <c r="D1370" s="11">
        <v>0</v>
      </c>
      <c r="E1370" s="2">
        <f t="shared" si="51"/>
        <v>0</v>
      </c>
      <c r="F1370" s="11">
        <v>0</v>
      </c>
      <c r="G1370" s="3" t="e">
        <f t="shared" si="48"/>
        <v>#DIV/0!</v>
      </c>
    </row>
    <row r="1371" spans="1:7" hidden="1">
      <c r="A1371" s="1">
        <v>5</v>
      </c>
      <c r="B1371" s="1" t="s">
        <v>131</v>
      </c>
      <c r="C1371" s="11">
        <v>0</v>
      </c>
      <c r="D1371" s="11">
        <v>0</v>
      </c>
      <c r="E1371" s="2">
        <f t="shared" si="51"/>
        <v>0</v>
      </c>
      <c r="F1371" s="11">
        <v>0</v>
      </c>
      <c r="G1371" s="3" t="e">
        <f t="shared" si="48"/>
        <v>#DIV/0!</v>
      </c>
    </row>
    <row r="1372" spans="1:7" hidden="1">
      <c r="A1372" s="1">
        <v>6</v>
      </c>
      <c r="B1372" s="1" t="s">
        <v>131</v>
      </c>
      <c r="C1372" s="11">
        <v>0</v>
      </c>
      <c r="D1372" s="11">
        <v>0</v>
      </c>
      <c r="E1372" s="2">
        <f t="shared" si="51"/>
        <v>0</v>
      </c>
      <c r="F1372" s="11">
        <v>0</v>
      </c>
      <c r="G1372" s="3" t="e">
        <f t="shared" si="48"/>
        <v>#DIV/0!</v>
      </c>
    </row>
    <row r="1373" spans="1:7" hidden="1">
      <c r="A1373" s="1">
        <v>7</v>
      </c>
      <c r="B1373" s="1" t="s">
        <v>131</v>
      </c>
      <c r="C1373" s="11">
        <v>0</v>
      </c>
      <c r="D1373" s="11">
        <v>0</v>
      </c>
      <c r="E1373" s="2">
        <f t="shared" si="51"/>
        <v>0</v>
      </c>
      <c r="F1373" s="11">
        <v>0</v>
      </c>
      <c r="G1373" s="3" t="e">
        <f t="shared" si="48"/>
        <v>#DIV/0!</v>
      </c>
    </row>
    <row r="1374" spans="1:7" hidden="1">
      <c r="A1374" s="1">
        <v>8</v>
      </c>
      <c r="B1374" s="1" t="s">
        <v>131</v>
      </c>
      <c r="C1374" s="11">
        <v>0</v>
      </c>
      <c r="D1374" s="11">
        <v>0</v>
      </c>
      <c r="E1374" s="2">
        <f t="shared" si="51"/>
        <v>0</v>
      </c>
      <c r="F1374" s="11">
        <v>0</v>
      </c>
      <c r="G1374" s="3" t="e">
        <f t="shared" si="48"/>
        <v>#DIV/0!</v>
      </c>
    </row>
    <row r="1375" spans="1:7" hidden="1">
      <c r="A1375" s="1">
        <v>9</v>
      </c>
      <c r="B1375" s="1" t="s">
        <v>131</v>
      </c>
      <c r="C1375" s="11">
        <v>0</v>
      </c>
      <c r="D1375" s="11">
        <v>0</v>
      </c>
      <c r="E1375" s="2">
        <f t="shared" si="51"/>
        <v>0</v>
      </c>
      <c r="F1375" s="11">
        <v>0</v>
      </c>
      <c r="G1375" s="3" t="e">
        <f t="shared" si="48"/>
        <v>#DIV/0!</v>
      </c>
    </row>
    <row r="1376" spans="1:7" hidden="1">
      <c r="A1376" s="1">
        <v>10</v>
      </c>
      <c r="B1376" s="1" t="s">
        <v>131</v>
      </c>
      <c r="C1376" s="11">
        <v>0</v>
      </c>
      <c r="D1376" s="11">
        <v>0</v>
      </c>
      <c r="E1376" s="2">
        <f t="shared" si="51"/>
        <v>0</v>
      </c>
      <c r="F1376" s="11">
        <v>0</v>
      </c>
      <c r="G1376" s="3" t="e">
        <f t="shared" si="48"/>
        <v>#DIV/0!</v>
      </c>
    </row>
    <row r="1377" spans="1:7" hidden="1">
      <c r="A1377" s="1">
        <v>11</v>
      </c>
      <c r="B1377" s="1" t="s">
        <v>131</v>
      </c>
      <c r="C1377" s="11">
        <v>0</v>
      </c>
      <c r="D1377" s="11">
        <v>0</v>
      </c>
      <c r="E1377" s="2">
        <f t="shared" si="51"/>
        <v>0</v>
      </c>
      <c r="F1377" s="11">
        <v>0</v>
      </c>
      <c r="G1377" s="3" t="e">
        <f t="shared" si="48"/>
        <v>#DIV/0!</v>
      </c>
    </row>
    <row r="1378" spans="1:7" hidden="1">
      <c r="A1378" s="1">
        <v>12</v>
      </c>
      <c r="B1378" s="1" t="s">
        <v>131</v>
      </c>
      <c r="C1378" s="11">
        <v>0</v>
      </c>
      <c r="D1378" s="11">
        <v>0</v>
      </c>
      <c r="E1378" s="2">
        <f t="shared" si="51"/>
        <v>0</v>
      </c>
      <c r="F1378" s="11">
        <v>0</v>
      </c>
      <c r="G1378" s="3" t="e">
        <f t="shared" si="48"/>
        <v>#DIV/0!</v>
      </c>
    </row>
    <row r="1379" spans="1:7" hidden="1">
      <c r="A1379" s="1">
        <v>13</v>
      </c>
      <c r="B1379" s="1" t="s">
        <v>131</v>
      </c>
      <c r="C1379" s="11">
        <v>0</v>
      </c>
      <c r="D1379" s="11">
        <v>0</v>
      </c>
      <c r="E1379" s="2">
        <f t="shared" si="51"/>
        <v>0</v>
      </c>
      <c r="F1379" s="11">
        <v>0</v>
      </c>
      <c r="G1379" s="3" t="e">
        <f t="shared" si="48"/>
        <v>#DIV/0!</v>
      </c>
    </row>
    <row r="1380" spans="1:7" hidden="1">
      <c r="A1380" s="1">
        <v>14</v>
      </c>
      <c r="B1380" s="1" t="s">
        <v>131</v>
      </c>
      <c r="C1380" s="11">
        <v>0</v>
      </c>
      <c r="D1380" s="11">
        <v>0</v>
      </c>
      <c r="E1380" s="2">
        <f t="shared" si="51"/>
        <v>0</v>
      </c>
      <c r="F1380" s="11">
        <v>0</v>
      </c>
      <c r="G1380" s="3" t="e">
        <f t="shared" si="48"/>
        <v>#DIV/0!</v>
      </c>
    </row>
    <row r="1381" spans="1:7" hidden="1">
      <c r="A1381" s="1">
        <v>15</v>
      </c>
      <c r="B1381" s="1" t="s">
        <v>131</v>
      </c>
      <c r="C1381" s="11">
        <v>0</v>
      </c>
      <c r="D1381" s="11">
        <v>0</v>
      </c>
      <c r="E1381" s="2">
        <f t="shared" si="51"/>
        <v>0</v>
      </c>
      <c r="F1381" s="11">
        <v>0</v>
      </c>
      <c r="G1381" s="3" t="e">
        <f t="shared" si="48"/>
        <v>#DIV/0!</v>
      </c>
    </row>
    <row r="1382" spans="1:7" hidden="1">
      <c r="A1382" s="1">
        <v>16</v>
      </c>
      <c r="B1382" s="1" t="s">
        <v>131</v>
      </c>
      <c r="C1382" s="11">
        <v>0</v>
      </c>
      <c r="D1382" s="11">
        <v>0</v>
      </c>
      <c r="E1382" s="2">
        <f t="shared" si="51"/>
        <v>0</v>
      </c>
      <c r="F1382" s="11">
        <v>0</v>
      </c>
      <c r="G1382" s="3" t="e">
        <f t="shared" si="48"/>
        <v>#DIV/0!</v>
      </c>
    </row>
    <row r="1383" spans="1:7" hidden="1">
      <c r="A1383" s="1">
        <v>17</v>
      </c>
      <c r="B1383" s="1" t="s">
        <v>131</v>
      </c>
      <c r="C1383" s="11">
        <v>0</v>
      </c>
      <c r="D1383" s="11">
        <v>0</v>
      </c>
      <c r="E1383" s="2">
        <f t="shared" si="51"/>
        <v>0</v>
      </c>
      <c r="F1383" s="11">
        <v>0</v>
      </c>
      <c r="G1383" s="3" t="e">
        <f t="shared" si="48"/>
        <v>#DIV/0!</v>
      </c>
    </row>
    <row r="1384" spans="1:7" hidden="1">
      <c r="A1384" s="1">
        <v>18</v>
      </c>
      <c r="B1384" s="1" t="s">
        <v>131</v>
      </c>
      <c r="C1384" s="11">
        <v>0</v>
      </c>
      <c r="D1384" s="11">
        <v>0</v>
      </c>
      <c r="E1384" s="2">
        <f t="shared" si="51"/>
        <v>0</v>
      </c>
      <c r="F1384" s="11">
        <v>0</v>
      </c>
      <c r="G1384" s="3" t="e">
        <f t="shared" si="48"/>
        <v>#DIV/0!</v>
      </c>
    </row>
    <row r="1385" spans="1:7" hidden="1">
      <c r="A1385" s="1">
        <v>19</v>
      </c>
      <c r="B1385" s="1" t="s">
        <v>131</v>
      </c>
      <c r="C1385" s="11">
        <v>0</v>
      </c>
      <c r="D1385" s="11">
        <v>0</v>
      </c>
      <c r="E1385" s="2">
        <f t="shared" si="51"/>
        <v>0</v>
      </c>
      <c r="F1385" s="11">
        <v>0</v>
      </c>
      <c r="G1385" s="3" t="e">
        <f t="shared" si="48"/>
        <v>#DIV/0!</v>
      </c>
    </row>
    <row r="1386" spans="1:7" hidden="1">
      <c r="A1386" s="1">
        <v>20</v>
      </c>
      <c r="B1386" s="1" t="s">
        <v>131</v>
      </c>
      <c r="C1386" s="11">
        <v>0</v>
      </c>
      <c r="D1386" s="11">
        <v>0</v>
      </c>
      <c r="E1386" s="2">
        <f t="shared" si="51"/>
        <v>0</v>
      </c>
      <c r="F1386" s="11">
        <v>0</v>
      </c>
      <c r="G1386" s="3" t="e">
        <f t="shared" si="48"/>
        <v>#DIV/0!</v>
      </c>
    </row>
    <row r="1387" spans="1:7" hidden="1">
      <c r="A1387" s="1">
        <v>21</v>
      </c>
      <c r="B1387" s="1" t="s">
        <v>131</v>
      </c>
      <c r="C1387" s="11">
        <v>0</v>
      </c>
      <c r="D1387" s="11">
        <v>0</v>
      </c>
      <c r="E1387" s="2">
        <f t="shared" si="51"/>
        <v>0</v>
      </c>
      <c r="F1387" s="11">
        <v>0</v>
      </c>
      <c r="G1387" s="3" t="e">
        <f t="shared" si="48"/>
        <v>#DIV/0!</v>
      </c>
    </row>
    <row r="1388" spans="1:7" hidden="1">
      <c r="A1388" s="1">
        <v>22</v>
      </c>
      <c r="B1388" s="1" t="s">
        <v>131</v>
      </c>
      <c r="C1388" s="11">
        <v>0</v>
      </c>
      <c r="D1388" s="11">
        <v>0</v>
      </c>
      <c r="E1388" s="2">
        <f t="shared" si="51"/>
        <v>0</v>
      </c>
      <c r="F1388" s="11">
        <v>0</v>
      </c>
      <c r="G1388" s="3" t="e">
        <f t="shared" si="48"/>
        <v>#DIV/0!</v>
      </c>
    </row>
    <row r="1389" spans="1:7" hidden="1">
      <c r="A1389" s="1">
        <v>23</v>
      </c>
      <c r="B1389" s="1" t="s">
        <v>131</v>
      </c>
      <c r="C1389" s="11">
        <v>0</v>
      </c>
      <c r="D1389" s="11">
        <v>0</v>
      </c>
      <c r="E1389" s="2">
        <f t="shared" si="51"/>
        <v>0</v>
      </c>
      <c r="F1389" s="11">
        <v>0</v>
      </c>
      <c r="G1389" s="3" t="e">
        <f t="shared" si="48"/>
        <v>#DIV/0!</v>
      </c>
    </row>
    <row r="1390" spans="1:7" hidden="1">
      <c r="A1390" s="1">
        <v>24</v>
      </c>
      <c r="B1390" s="1" t="s">
        <v>131</v>
      </c>
      <c r="C1390" s="11">
        <v>0</v>
      </c>
      <c r="D1390" s="11">
        <v>0</v>
      </c>
      <c r="E1390" s="2">
        <f t="shared" si="51"/>
        <v>0</v>
      </c>
      <c r="F1390" s="11">
        <v>0</v>
      </c>
      <c r="G1390" s="3" t="e">
        <f t="shared" si="48"/>
        <v>#DIV/0!</v>
      </c>
    </row>
    <row r="1391" spans="1:7" hidden="1">
      <c r="A1391" s="1">
        <v>25</v>
      </c>
      <c r="B1391" s="1" t="s">
        <v>131</v>
      </c>
      <c r="C1391" s="11">
        <v>0</v>
      </c>
      <c r="D1391" s="11">
        <v>0</v>
      </c>
      <c r="E1391" s="2">
        <f t="shared" si="51"/>
        <v>0</v>
      </c>
      <c r="F1391" s="11">
        <v>0</v>
      </c>
      <c r="G1391" s="3" t="e">
        <f t="shared" si="48"/>
        <v>#DIV/0!</v>
      </c>
    </row>
    <row r="1392" spans="1:7" hidden="1">
      <c r="A1392" s="1">
        <v>26</v>
      </c>
      <c r="B1392" s="1" t="s">
        <v>131</v>
      </c>
      <c r="C1392" s="11">
        <v>0</v>
      </c>
      <c r="D1392" s="11">
        <v>0</v>
      </c>
      <c r="E1392" s="2">
        <f t="shared" si="51"/>
        <v>0</v>
      </c>
      <c r="F1392" s="11">
        <v>0</v>
      </c>
      <c r="G1392" s="3" t="e">
        <f t="shared" si="48"/>
        <v>#DIV/0!</v>
      </c>
    </row>
    <row r="1393" spans="1:7" hidden="1">
      <c r="A1393" s="1">
        <v>27</v>
      </c>
      <c r="B1393" s="1" t="s">
        <v>131</v>
      </c>
      <c r="C1393" s="11">
        <v>0</v>
      </c>
      <c r="D1393" s="11">
        <v>0</v>
      </c>
      <c r="E1393" s="2">
        <f t="shared" si="51"/>
        <v>0</v>
      </c>
      <c r="F1393" s="11">
        <v>0</v>
      </c>
      <c r="G1393" s="3" t="e">
        <f t="shared" si="48"/>
        <v>#DIV/0!</v>
      </c>
    </row>
    <row r="1394" spans="1:7" hidden="1">
      <c r="A1394" s="1">
        <v>28</v>
      </c>
      <c r="B1394" s="1" t="s">
        <v>131</v>
      </c>
      <c r="C1394" s="11">
        <v>0</v>
      </c>
      <c r="D1394" s="11">
        <v>0</v>
      </c>
      <c r="E1394" s="2">
        <f t="shared" si="51"/>
        <v>0</v>
      </c>
      <c r="F1394" s="11">
        <v>0</v>
      </c>
      <c r="G1394" s="3" t="e">
        <f t="shared" si="48"/>
        <v>#DIV/0!</v>
      </c>
    </row>
    <row r="1395" spans="1:7" hidden="1">
      <c r="A1395" s="1">
        <v>29</v>
      </c>
      <c r="B1395" s="1" t="s">
        <v>131</v>
      </c>
      <c r="C1395" s="11">
        <v>0</v>
      </c>
      <c r="D1395" s="11">
        <v>0</v>
      </c>
      <c r="E1395" s="2">
        <f t="shared" si="51"/>
        <v>0</v>
      </c>
      <c r="F1395" s="11">
        <v>0</v>
      </c>
      <c r="G1395" s="3" t="e">
        <f t="shared" si="48"/>
        <v>#DIV/0!</v>
      </c>
    </row>
    <row r="1396" spans="1:7" hidden="1">
      <c r="A1396" s="1">
        <v>30</v>
      </c>
      <c r="B1396" s="1" t="s">
        <v>131</v>
      </c>
      <c r="C1396" s="11">
        <v>0</v>
      </c>
      <c r="D1396" s="11">
        <v>0</v>
      </c>
      <c r="E1396" s="2">
        <f t="shared" si="51"/>
        <v>0</v>
      </c>
      <c r="F1396" s="11">
        <v>0</v>
      </c>
      <c r="G1396" s="3" t="e">
        <f t="shared" si="48"/>
        <v>#DIV/0!</v>
      </c>
    </row>
    <row r="1397" spans="1:7" hidden="1">
      <c r="A1397" s="1">
        <v>31</v>
      </c>
      <c r="B1397" s="1" t="s">
        <v>131</v>
      </c>
      <c r="C1397" s="11">
        <v>40</v>
      </c>
      <c r="D1397" s="11">
        <v>40.380000000000003</v>
      </c>
      <c r="E1397" s="2">
        <f t="shared" si="50"/>
        <v>-0.38000000000000256</v>
      </c>
      <c r="F1397" s="11">
        <v>0.2</v>
      </c>
      <c r="G1397" s="3">
        <f t="shared" si="48"/>
        <v>-4.5000000000000638E-3</v>
      </c>
    </row>
    <row r="1398" spans="1:7" hidden="1">
      <c r="A1398" s="1">
        <v>1</v>
      </c>
      <c r="B1398" s="1" t="s">
        <v>44</v>
      </c>
      <c r="C1398" s="11">
        <v>0</v>
      </c>
      <c r="D1398" s="11">
        <v>0</v>
      </c>
      <c r="E1398" s="2">
        <f t="shared" si="40"/>
        <v>0</v>
      </c>
      <c r="F1398" s="11">
        <v>0.06</v>
      </c>
      <c r="G1398" s="3" t="e">
        <f t="shared" si="38"/>
        <v>#DIV/0!</v>
      </c>
    </row>
    <row r="1399" spans="1:7" hidden="1">
      <c r="A1399" s="1">
        <v>2</v>
      </c>
      <c r="B1399" s="1" t="s">
        <v>44</v>
      </c>
      <c r="C1399" s="11">
        <v>0</v>
      </c>
      <c r="D1399" s="11">
        <v>0</v>
      </c>
      <c r="E1399" s="2">
        <f t="shared" si="40"/>
        <v>0</v>
      </c>
      <c r="F1399" s="11">
        <v>6.2E-2</v>
      </c>
      <c r="G1399" s="3" t="e">
        <f t="shared" si="38"/>
        <v>#DIV/0!</v>
      </c>
    </row>
    <row r="1400" spans="1:7" hidden="1">
      <c r="A1400" s="1">
        <v>3</v>
      </c>
      <c r="B1400" s="1" t="s">
        <v>44</v>
      </c>
      <c r="C1400" s="11">
        <v>0</v>
      </c>
      <c r="D1400" s="11">
        <v>0</v>
      </c>
      <c r="E1400" s="2">
        <f t="shared" si="40"/>
        <v>0</v>
      </c>
      <c r="F1400" s="11">
        <v>0.05</v>
      </c>
      <c r="G1400" s="3" t="e">
        <f t="shared" ref="G1400:G1428" si="52">(E1400+F1400)/C1400</f>
        <v>#DIV/0!</v>
      </c>
    </row>
    <row r="1401" spans="1:7" hidden="1">
      <c r="A1401" s="1">
        <v>4</v>
      </c>
      <c r="B1401" s="1" t="s">
        <v>44</v>
      </c>
      <c r="C1401" s="11">
        <v>0</v>
      </c>
      <c r="D1401" s="11">
        <v>0</v>
      </c>
      <c r="E1401" s="2">
        <f t="shared" si="40"/>
        <v>0</v>
      </c>
      <c r="F1401" s="11">
        <v>0.06</v>
      </c>
      <c r="G1401" s="3" t="e">
        <f t="shared" si="52"/>
        <v>#DIV/0!</v>
      </c>
    </row>
    <row r="1402" spans="1:7" hidden="1">
      <c r="A1402" s="1">
        <v>5</v>
      </c>
      <c r="B1402" s="1" t="s">
        <v>44</v>
      </c>
      <c r="C1402" s="11">
        <v>0</v>
      </c>
      <c r="D1402" s="11">
        <v>0</v>
      </c>
      <c r="E1402" s="2">
        <f t="shared" si="40"/>
        <v>0</v>
      </c>
      <c r="F1402" s="11">
        <v>6.6000000000000003E-2</v>
      </c>
      <c r="G1402" s="3" t="e">
        <f t="shared" si="52"/>
        <v>#DIV/0!</v>
      </c>
    </row>
    <row r="1403" spans="1:7" hidden="1">
      <c r="A1403" s="1">
        <v>6</v>
      </c>
      <c r="B1403" s="1" t="s">
        <v>44</v>
      </c>
      <c r="C1403" s="11">
        <v>0</v>
      </c>
      <c r="D1403" s="11">
        <v>0</v>
      </c>
      <c r="E1403" s="2">
        <f t="shared" si="40"/>
        <v>0</v>
      </c>
      <c r="F1403" s="11">
        <v>0.05</v>
      </c>
      <c r="G1403" s="3" t="e">
        <f t="shared" si="52"/>
        <v>#DIV/0!</v>
      </c>
    </row>
    <row r="1404" spans="1:7" hidden="1">
      <c r="A1404" s="1">
        <v>7</v>
      </c>
      <c r="B1404" s="1" t="s">
        <v>44</v>
      </c>
      <c r="C1404" s="11">
        <v>0</v>
      </c>
      <c r="D1404" s="11">
        <v>0</v>
      </c>
      <c r="E1404" s="2">
        <f t="shared" si="40"/>
        <v>0</v>
      </c>
      <c r="F1404" s="11">
        <v>5.8000000000000003E-2</v>
      </c>
      <c r="G1404" s="3" t="e">
        <f t="shared" si="52"/>
        <v>#DIV/0!</v>
      </c>
    </row>
    <row r="1405" spans="1:7" hidden="1">
      <c r="A1405" s="1">
        <v>8</v>
      </c>
      <c r="B1405" s="1" t="s">
        <v>44</v>
      </c>
      <c r="C1405" s="11">
        <v>0</v>
      </c>
      <c r="D1405" s="11">
        <v>0</v>
      </c>
      <c r="E1405" s="2">
        <f t="shared" si="40"/>
        <v>0</v>
      </c>
      <c r="F1405" s="11">
        <v>6.2E-2</v>
      </c>
      <c r="G1405" s="3" t="e">
        <f t="shared" si="52"/>
        <v>#DIV/0!</v>
      </c>
    </row>
    <row r="1406" spans="1:7" hidden="1">
      <c r="A1406" s="1">
        <v>9</v>
      </c>
      <c r="B1406" s="1" t="s">
        <v>44</v>
      </c>
      <c r="C1406" s="11">
        <v>20</v>
      </c>
      <c r="D1406" s="11">
        <v>19.98</v>
      </c>
      <c r="E1406" s="2">
        <f t="shared" ref="E1406:E1428" si="53">C1406-D1406</f>
        <v>1.9999999999999574E-2</v>
      </c>
      <c r="F1406" s="11">
        <v>6.6000000000000003E-2</v>
      </c>
      <c r="G1406" s="3">
        <f t="shared" si="52"/>
        <v>4.2999999999999792E-3</v>
      </c>
    </row>
    <row r="1407" spans="1:7" hidden="1">
      <c r="A1407" s="1">
        <v>10</v>
      </c>
      <c r="B1407" s="1" t="s">
        <v>44</v>
      </c>
      <c r="C1407" s="11">
        <v>0</v>
      </c>
      <c r="D1407" s="11">
        <v>0</v>
      </c>
      <c r="E1407" s="2">
        <f t="shared" si="53"/>
        <v>0</v>
      </c>
      <c r="F1407" s="11">
        <v>7.3999999999999996E-2</v>
      </c>
      <c r="G1407" s="3" t="e">
        <f t="shared" si="52"/>
        <v>#DIV/0!</v>
      </c>
    </row>
    <row r="1408" spans="1:7" hidden="1">
      <c r="A1408" s="1">
        <v>11</v>
      </c>
      <c r="B1408" s="1" t="s">
        <v>44</v>
      </c>
      <c r="C1408" s="11">
        <v>0</v>
      </c>
      <c r="D1408" s="11">
        <v>0</v>
      </c>
      <c r="E1408" s="2">
        <f t="shared" si="53"/>
        <v>0</v>
      </c>
      <c r="F1408" s="11">
        <v>6.2E-2</v>
      </c>
      <c r="G1408" s="3" t="e">
        <f t="shared" si="52"/>
        <v>#DIV/0!</v>
      </c>
    </row>
    <row r="1409" spans="1:7" hidden="1">
      <c r="A1409" s="1">
        <v>12</v>
      </c>
      <c r="B1409" s="1" t="s">
        <v>44</v>
      </c>
      <c r="C1409" s="11">
        <v>0</v>
      </c>
      <c r="D1409" s="11">
        <v>0</v>
      </c>
      <c r="E1409" s="2">
        <f t="shared" si="53"/>
        <v>0</v>
      </c>
      <c r="F1409" s="11">
        <v>3.7999999999999999E-2</v>
      </c>
      <c r="G1409" s="3" t="e">
        <f t="shared" si="52"/>
        <v>#DIV/0!</v>
      </c>
    </row>
    <row r="1410" spans="1:7" hidden="1">
      <c r="A1410" s="1">
        <v>13</v>
      </c>
      <c r="B1410" s="1" t="s">
        <v>44</v>
      </c>
      <c r="C1410" s="11">
        <v>0</v>
      </c>
      <c r="D1410" s="11">
        <v>0</v>
      </c>
      <c r="E1410" s="2">
        <f t="shared" si="53"/>
        <v>0</v>
      </c>
      <c r="F1410" s="11">
        <v>5.1999999999999998E-2</v>
      </c>
      <c r="G1410" s="3" t="e">
        <f t="shared" si="52"/>
        <v>#DIV/0!</v>
      </c>
    </row>
    <row r="1411" spans="1:7" hidden="1">
      <c r="A1411" s="1">
        <v>14</v>
      </c>
      <c r="B1411" s="1" t="s">
        <v>44</v>
      </c>
      <c r="C1411" s="11">
        <v>0</v>
      </c>
      <c r="D1411" s="11">
        <v>0</v>
      </c>
      <c r="E1411" s="2">
        <f t="shared" si="53"/>
        <v>0</v>
      </c>
      <c r="F1411" s="11">
        <v>0.06</v>
      </c>
      <c r="G1411" s="3" t="e">
        <f t="shared" si="52"/>
        <v>#DIV/0!</v>
      </c>
    </row>
    <row r="1412" spans="1:7" hidden="1">
      <c r="A1412" s="1">
        <v>15</v>
      </c>
      <c r="B1412" s="1" t="s">
        <v>44</v>
      </c>
      <c r="C1412" s="11">
        <v>0</v>
      </c>
      <c r="D1412" s="11">
        <v>0</v>
      </c>
      <c r="E1412" s="2">
        <f t="shared" si="53"/>
        <v>0</v>
      </c>
      <c r="F1412" s="11">
        <v>6.2E-2</v>
      </c>
      <c r="G1412" s="3" t="e">
        <f t="shared" si="52"/>
        <v>#DIV/0!</v>
      </c>
    </row>
    <row r="1413" spans="1:7" hidden="1">
      <c r="A1413" s="1">
        <v>16</v>
      </c>
      <c r="B1413" s="1" t="s">
        <v>44</v>
      </c>
      <c r="C1413" s="11">
        <v>0</v>
      </c>
      <c r="D1413" s="11">
        <v>0</v>
      </c>
      <c r="E1413" s="2">
        <f t="shared" si="53"/>
        <v>0</v>
      </c>
      <c r="F1413" s="11">
        <v>0.06</v>
      </c>
      <c r="G1413" s="3" t="e">
        <f t="shared" si="52"/>
        <v>#DIV/0!</v>
      </c>
    </row>
    <row r="1414" spans="1:7" hidden="1">
      <c r="A1414" s="1">
        <v>17</v>
      </c>
      <c r="B1414" s="1" t="s">
        <v>44</v>
      </c>
      <c r="C1414" s="11">
        <v>0</v>
      </c>
      <c r="D1414" s="11">
        <v>0</v>
      </c>
      <c r="E1414" s="2">
        <f t="shared" si="53"/>
        <v>0</v>
      </c>
      <c r="F1414" s="11">
        <v>5.1999999999999998E-2</v>
      </c>
      <c r="G1414" s="3" t="e">
        <f t="shared" si="52"/>
        <v>#DIV/0!</v>
      </c>
    </row>
    <row r="1415" spans="1:7" hidden="1">
      <c r="A1415" s="1">
        <v>18</v>
      </c>
      <c r="B1415" s="1" t="s">
        <v>44</v>
      </c>
      <c r="C1415" s="11">
        <v>0</v>
      </c>
      <c r="D1415" s="11">
        <v>0</v>
      </c>
      <c r="E1415" s="2">
        <f t="shared" si="53"/>
        <v>0</v>
      </c>
      <c r="F1415" s="11">
        <v>6.2E-2</v>
      </c>
      <c r="G1415" s="3" t="e">
        <f t="shared" si="52"/>
        <v>#DIV/0!</v>
      </c>
    </row>
    <row r="1416" spans="1:7" hidden="1">
      <c r="A1416" s="1">
        <v>19</v>
      </c>
      <c r="B1416" s="1" t="s">
        <v>44</v>
      </c>
      <c r="C1416" s="11">
        <v>0</v>
      </c>
      <c r="D1416" s="11">
        <v>0</v>
      </c>
      <c r="E1416" s="2">
        <f t="shared" si="53"/>
        <v>0</v>
      </c>
      <c r="F1416" s="11">
        <v>5.8000000000000003E-2</v>
      </c>
      <c r="G1416" s="3" t="e">
        <f t="shared" si="52"/>
        <v>#DIV/0!</v>
      </c>
    </row>
    <row r="1417" spans="1:7" hidden="1">
      <c r="A1417" s="1">
        <v>20</v>
      </c>
      <c r="B1417" s="1" t="s">
        <v>44</v>
      </c>
      <c r="C1417" s="11">
        <v>0</v>
      </c>
      <c r="D1417" s="11">
        <v>0</v>
      </c>
      <c r="E1417" s="2">
        <f t="shared" si="53"/>
        <v>0</v>
      </c>
      <c r="F1417" s="11">
        <v>6.2E-2</v>
      </c>
      <c r="G1417" s="3" t="e">
        <f t="shared" si="52"/>
        <v>#DIV/0!</v>
      </c>
    </row>
    <row r="1418" spans="1:7" hidden="1">
      <c r="A1418" s="1">
        <v>21</v>
      </c>
      <c r="B1418" s="1" t="s">
        <v>44</v>
      </c>
      <c r="C1418" s="11">
        <v>0</v>
      </c>
      <c r="D1418" s="11">
        <v>0</v>
      </c>
      <c r="E1418" s="2">
        <f t="shared" si="53"/>
        <v>0</v>
      </c>
      <c r="F1418" s="11">
        <v>3.4000000000000002E-2</v>
      </c>
      <c r="G1418" s="3" t="e">
        <f t="shared" si="52"/>
        <v>#DIV/0!</v>
      </c>
    </row>
    <row r="1419" spans="1:7" hidden="1">
      <c r="A1419" s="1">
        <v>22</v>
      </c>
      <c r="B1419" s="1" t="s">
        <v>44</v>
      </c>
      <c r="C1419" s="11">
        <v>0</v>
      </c>
      <c r="D1419" s="11">
        <v>0</v>
      </c>
      <c r="E1419" s="2">
        <f t="shared" si="53"/>
        <v>0</v>
      </c>
      <c r="F1419" s="11">
        <v>0.06</v>
      </c>
      <c r="G1419" s="3" t="e">
        <f t="shared" si="52"/>
        <v>#DIV/0!</v>
      </c>
    </row>
    <row r="1420" spans="1:7" hidden="1">
      <c r="A1420" s="1">
        <v>23</v>
      </c>
      <c r="B1420" s="1" t="s">
        <v>44</v>
      </c>
      <c r="C1420" s="11">
        <v>0</v>
      </c>
      <c r="D1420" s="11">
        <v>0</v>
      </c>
      <c r="E1420" s="2">
        <f t="shared" si="53"/>
        <v>0</v>
      </c>
      <c r="F1420" s="11">
        <v>5.1999999999999998E-2</v>
      </c>
      <c r="G1420" s="3" t="e">
        <f t="shared" si="52"/>
        <v>#DIV/0!</v>
      </c>
    </row>
    <row r="1421" spans="1:7" hidden="1">
      <c r="A1421" s="1">
        <v>24</v>
      </c>
      <c r="B1421" s="1" t="s">
        <v>44</v>
      </c>
      <c r="C1421" s="11">
        <v>0</v>
      </c>
      <c r="D1421" s="11">
        <v>0</v>
      </c>
      <c r="E1421" s="2">
        <f t="shared" si="53"/>
        <v>0</v>
      </c>
      <c r="F1421" s="11">
        <v>0.06</v>
      </c>
      <c r="G1421" s="3" t="e">
        <f t="shared" si="52"/>
        <v>#DIV/0!</v>
      </c>
    </row>
    <row r="1422" spans="1:7" hidden="1">
      <c r="A1422" s="1">
        <v>25</v>
      </c>
      <c r="B1422" s="1" t="s">
        <v>44</v>
      </c>
      <c r="C1422" s="11">
        <v>0</v>
      </c>
      <c r="D1422" s="11">
        <v>0</v>
      </c>
      <c r="E1422" s="2">
        <f t="shared" si="53"/>
        <v>0</v>
      </c>
      <c r="F1422" s="11">
        <v>0</v>
      </c>
      <c r="G1422" s="3" t="e">
        <f t="shared" si="52"/>
        <v>#DIV/0!</v>
      </c>
    </row>
    <row r="1423" spans="1:7" hidden="1">
      <c r="A1423" s="1">
        <v>26</v>
      </c>
      <c r="B1423" s="1" t="s">
        <v>44</v>
      </c>
      <c r="C1423" s="11">
        <v>0</v>
      </c>
      <c r="D1423" s="11">
        <v>0</v>
      </c>
      <c r="E1423" s="2">
        <f t="shared" si="53"/>
        <v>0</v>
      </c>
      <c r="F1423" s="11">
        <v>7.3999999999999996E-2</v>
      </c>
      <c r="G1423" s="3" t="e">
        <f t="shared" si="52"/>
        <v>#DIV/0!</v>
      </c>
    </row>
    <row r="1424" spans="1:7" hidden="1">
      <c r="A1424" s="1">
        <v>27</v>
      </c>
      <c r="B1424" s="1" t="s">
        <v>44</v>
      </c>
      <c r="C1424" s="11">
        <v>0</v>
      </c>
      <c r="D1424" s="11">
        <v>0</v>
      </c>
      <c r="E1424" s="2">
        <f t="shared" si="53"/>
        <v>0</v>
      </c>
      <c r="F1424" s="11">
        <v>5.1999999999999998E-2</v>
      </c>
      <c r="G1424" s="3" t="e">
        <f t="shared" si="52"/>
        <v>#DIV/0!</v>
      </c>
    </row>
    <row r="1425" spans="1:7" hidden="1">
      <c r="A1425" s="1">
        <v>28</v>
      </c>
      <c r="B1425" s="1" t="s">
        <v>44</v>
      </c>
      <c r="C1425" s="11">
        <v>0</v>
      </c>
      <c r="D1425" s="11">
        <v>0</v>
      </c>
      <c r="E1425" s="2">
        <f t="shared" si="53"/>
        <v>0</v>
      </c>
      <c r="F1425" s="11">
        <v>5.8000000000000003E-2</v>
      </c>
      <c r="G1425" s="3" t="e">
        <f t="shared" si="52"/>
        <v>#DIV/0!</v>
      </c>
    </row>
    <row r="1426" spans="1:7" hidden="1">
      <c r="A1426" s="1">
        <v>29</v>
      </c>
      <c r="B1426" s="1" t="s">
        <v>44</v>
      </c>
      <c r="C1426" s="11">
        <v>0</v>
      </c>
      <c r="D1426" s="11">
        <v>0</v>
      </c>
      <c r="E1426" s="2">
        <f t="shared" si="53"/>
        <v>0</v>
      </c>
      <c r="F1426" s="11">
        <v>0.05</v>
      </c>
      <c r="G1426" s="3" t="e">
        <f t="shared" si="52"/>
        <v>#DIV/0!</v>
      </c>
    </row>
    <row r="1427" spans="1:7" hidden="1">
      <c r="A1427" s="1">
        <v>30</v>
      </c>
      <c r="B1427" s="1" t="s">
        <v>44</v>
      </c>
      <c r="C1427" s="11">
        <v>0</v>
      </c>
      <c r="D1427" s="11">
        <v>0</v>
      </c>
      <c r="E1427" s="2">
        <f t="shared" si="53"/>
        <v>0</v>
      </c>
      <c r="F1427" s="11">
        <v>0.06</v>
      </c>
      <c r="G1427" s="3" t="e">
        <f t="shared" si="52"/>
        <v>#DIV/0!</v>
      </c>
    </row>
    <row r="1428" spans="1:7" hidden="1">
      <c r="A1428" s="1">
        <v>31</v>
      </c>
      <c r="B1428" s="1" t="s">
        <v>44</v>
      </c>
      <c r="C1428" s="11">
        <v>0</v>
      </c>
      <c r="D1428" s="11">
        <v>0</v>
      </c>
      <c r="E1428" s="2">
        <f t="shared" si="53"/>
        <v>0</v>
      </c>
      <c r="F1428" s="11">
        <v>5.8000000000000003E-2</v>
      </c>
      <c r="G1428" s="3" t="e">
        <f t="shared" si="52"/>
        <v>#DIV/0!</v>
      </c>
    </row>
  </sheetData>
  <autoFilter ref="A2:N1428" xr:uid="{66FE5A9A-9193-47BF-874B-1B93A907DA29}">
    <filterColumn colId="1">
      <filters>
        <filter val="TDN CIMANGGIS"/>
      </filters>
    </filterColumn>
  </autoFilter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BDE44-DC17-476B-952D-0BFF2C54B250}">
  <dimension ref="A1:AJ94"/>
  <sheetViews>
    <sheetView topLeftCell="A72" workbookViewId="0">
      <pane xSplit="1" topLeftCell="V1" activePane="topRight" state="frozen"/>
      <selection activeCell="A3" sqref="A3:K41"/>
      <selection pane="topRight" activeCell="Y91" sqref="Y91"/>
    </sheetView>
  </sheetViews>
  <sheetFormatPr defaultRowHeight="14.4"/>
  <cols>
    <col min="1" max="1" width="33.21875" bestFit="1" customWidth="1"/>
    <col min="2" max="2" width="6.44140625" bestFit="1" customWidth="1"/>
  </cols>
  <sheetData>
    <row r="1" spans="1:35">
      <c r="A1">
        <v>13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</row>
    <row r="2" spans="1:35">
      <c r="A2" s="1" t="s">
        <v>113</v>
      </c>
      <c r="B2" s="45" t="s">
        <v>79</v>
      </c>
      <c r="C2" s="45" t="s">
        <v>80</v>
      </c>
      <c r="D2" s="45" t="s">
        <v>81</v>
      </c>
      <c r="E2" s="45" t="s">
        <v>82</v>
      </c>
      <c r="F2" s="45" t="s">
        <v>83</v>
      </c>
      <c r="G2" s="45" t="s">
        <v>84</v>
      </c>
      <c r="H2" s="45" t="s">
        <v>85</v>
      </c>
      <c r="I2" s="45" t="s">
        <v>86</v>
      </c>
      <c r="J2" s="45" t="s">
        <v>87</v>
      </c>
      <c r="K2" s="45" t="s">
        <v>88</v>
      </c>
      <c r="L2" s="45" t="s">
        <v>89</v>
      </c>
      <c r="M2" s="45" t="s">
        <v>90</v>
      </c>
      <c r="N2" s="45" t="s">
        <v>91</v>
      </c>
      <c r="O2" s="45" t="s">
        <v>92</v>
      </c>
      <c r="P2" s="45" t="s">
        <v>93</v>
      </c>
      <c r="Q2" s="45" t="s">
        <v>94</v>
      </c>
      <c r="R2" s="45" t="s">
        <v>95</v>
      </c>
      <c r="S2" s="45" t="s">
        <v>96</v>
      </c>
      <c r="T2" s="45" t="s">
        <v>97</v>
      </c>
      <c r="U2" s="45" t="s">
        <v>98</v>
      </c>
      <c r="V2" s="45" t="s">
        <v>99</v>
      </c>
      <c r="W2" s="45" t="s">
        <v>100</v>
      </c>
      <c r="X2" s="45" t="s">
        <v>101</v>
      </c>
      <c r="Y2" s="48" t="s">
        <v>102</v>
      </c>
      <c r="Z2" s="45" t="s">
        <v>103</v>
      </c>
      <c r="AA2" s="45" t="s">
        <v>104</v>
      </c>
      <c r="AB2" s="45" t="s">
        <v>105</v>
      </c>
      <c r="AC2" s="45" t="s">
        <v>106</v>
      </c>
      <c r="AD2" s="45" t="s">
        <v>107</v>
      </c>
      <c r="AE2" s="45" t="s">
        <v>108</v>
      </c>
      <c r="AF2" s="45" t="s">
        <v>109</v>
      </c>
      <c r="AG2" s="45" t="s">
        <v>110</v>
      </c>
      <c r="AH2" s="45" t="s">
        <v>111</v>
      </c>
      <c r="AI2" s="45" t="s">
        <v>112</v>
      </c>
    </row>
    <row r="3" spans="1:35">
      <c r="A3" s="1" t="s">
        <v>73</v>
      </c>
      <c r="B3" s="1">
        <v>48.904000000000003</v>
      </c>
      <c r="C3" s="1">
        <v>0.58400000000000318</v>
      </c>
      <c r="D3" s="1">
        <v>23.175999999999998</v>
      </c>
      <c r="E3" s="1">
        <v>49.601000000000006</v>
      </c>
      <c r="F3" s="1">
        <v>12.230999999999995</v>
      </c>
      <c r="G3" s="1">
        <v>38.24</v>
      </c>
      <c r="H3" s="1">
        <v>25.206999999999994</v>
      </c>
      <c r="I3" s="11">
        <v>21.918390000000002</v>
      </c>
      <c r="J3" s="1">
        <v>15.059999999999988</v>
      </c>
      <c r="K3" s="1">
        <v>22.456999999999994</v>
      </c>
      <c r="L3" s="1">
        <v>63.149000000000001</v>
      </c>
      <c r="M3" s="1">
        <v>13.760999999999996</v>
      </c>
      <c r="N3" s="1">
        <v>24.155999999999999</v>
      </c>
      <c r="O3" s="1">
        <v>6.266</v>
      </c>
      <c r="P3" s="1">
        <v>14.154</v>
      </c>
      <c r="Q3" s="1">
        <v>5.8220000000000169</v>
      </c>
      <c r="R3" s="1">
        <v>15.403000000000002</v>
      </c>
      <c r="S3" s="1">
        <v>22.644000000000002</v>
      </c>
      <c r="T3" s="1">
        <v>2.4409999999999989</v>
      </c>
      <c r="U3" s="1">
        <v>8.5380000000000003</v>
      </c>
      <c r="V3" s="1">
        <v>13.264999999999999</v>
      </c>
      <c r="W3" s="1">
        <v>25.515000000000011</v>
      </c>
      <c r="X3" s="1">
        <v>6.3249999999999993</v>
      </c>
      <c r="Y3" s="1">
        <v>10.424999999999997</v>
      </c>
      <c r="Z3" s="1">
        <v>41.331999999999994</v>
      </c>
      <c r="AA3" s="1">
        <v>40.554999999999993</v>
      </c>
      <c r="AB3" s="1">
        <v>39.189</v>
      </c>
      <c r="AC3" s="1">
        <v>53.89</v>
      </c>
      <c r="AD3" s="1">
        <v>2.3050000000000002</v>
      </c>
      <c r="AE3" s="1">
        <v>35.817000000000007</v>
      </c>
      <c r="AF3" s="1">
        <v>49.265000000000001</v>
      </c>
      <c r="AG3" s="1">
        <v>9.4320000000000022</v>
      </c>
      <c r="AH3" s="1">
        <v>4.4500000000000037</v>
      </c>
      <c r="AI3" s="1">
        <v>29.693999999999999</v>
      </c>
    </row>
    <row r="4" spans="1:35">
      <c r="A4" s="1" t="s">
        <v>114</v>
      </c>
      <c r="B4" s="1">
        <v>101.80400000000003</v>
      </c>
      <c r="C4" s="1">
        <v>57.669999999999973</v>
      </c>
      <c r="D4" s="1">
        <v>82.683000000000007</v>
      </c>
      <c r="E4" s="1">
        <v>65.789999999999992</v>
      </c>
      <c r="F4" s="1">
        <v>39.47399999999999</v>
      </c>
      <c r="G4" s="1">
        <v>55.180999999999997</v>
      </c>
      <c r="H4" s="1">
        <v>44.609999999999985</v>
      </c>
      <c r="I4" s="11">
        <v>25.208979999999993</v>
      </c>
      <c r="J4" s="1">
        <v>63.586000000000006</v>
      </c>
      <c r="K4" s="1">
        <v>54.314999999999991</v>
      </c>
      <c r="L4" s="1">
        <v>90.978999999999999</v>
      </c>
      <c r="M4" s="1">
        <v>67.75</v>
      </c>
      <c r="N4" s="1">
        <v>10.975000000000003</v>
      </c>
      <c r="O4" s="1">
        <v>147.38300000000001</v>
      </c>
      <c r="P4" s="1">
        <v>11.476000000000004</v>
      </c>
      <c r="Q4" s="1">
        <v>94.766000000000034</v>
      </c>
      <c r="R4" s="1">
        <v>53.146000000000001</v>
      </c>
      <c r="S4" s="1">
        <v>87.496000000000024</v>
      </c>
      <c r="T4" s="1">
        <v>93.299000000000007</v>
      </c>
      <c r="U4" s="1">
        <v>80.802999999999997</v>
      </c>
      <c r="V4" s="1">
        <v>2.8699999999999974</v>
      </c>
      <c r="W4" s="1">
        <v>31.060000000000006</v>
      </c>
      <c r="X4" s="1">
        <v>79.795000000000016</v>
      </c>
      <c r="Y4" s="1">
        <v>24.155999999999999</v>
      </c>
      <c r="Z4" s="1">
        <v>140.37299999999999</v>
      </c>
      <c r="AA4" s="1">
        <v>154.80099999999999</v>
      </c>
      <c r="AB4" s="1">
        <v>39.749999999999993</v>
      </c>
      <c r="AC4" s="1">
        <v>34.453000000000003</v>
      </c>
      <c r="AD4" s="1">
        <v>1.62</v>
      </c>
      <c r="AE4" s="1">
        <v>50.190000000000005</v>
      </c>
      <c r="AF4" s="1">
        <v>21.197999999999993</v>
      </c>
      <c r="AG4" s="1">
        <v>89.125</v>
      </c>
      <c r="AH4" s="1">
        <v>10.239999999999981</v>
      </c>
      <c r="AI4" s="1">
        <v>26.222999999999999</v>
      </c>
    </row>
    <row r="5" spans="1:35">
      <c r="A5" s="1" t="s">
        <v>75</v>
      </c>
      <c r="B5" s="1">
        <v>1.0300000000000011</v>
      </c>
      <c r="C5" s="1">
        <v>0.50400000000000134</v>
      </c>
      <c r="D5" s="1">
        <v>6.2859999999999996</v>
      </c>
      <c r="E5" s="1">
        <v>0</v>
      </c>
      <c r="F5" s="1">
        <v>54.308999999999997</v>
      </c>
      <c r="G5" s="1">
        <v>27.859999999999992</v>
      </c>
      <c r="H5" s="1">
        <v>17.844000000000001</v>
      </c>
      <c r="I5" s="11">
        <v>0</v>
      </c>
      <c r="J5" s="1">
        <v>17.634</v>
      </c>
      <c r="K5" s="1">
        <v>0</v>
      </c>
      <c r="L5" s="1">
        <v>0</v>
      </c>
      <c r="M5" s="1">
        <v>17.846</v>
      </c>
      <c r="N5" s="1">
        <v>31.897999999999996</v>
      </c>
      <c r="O5" s="1">
        <v>0</v>
      </c>
      <c r="P5" s="1">
        <v>0</v>
      </c>
      <c r="Q5" s="1">
        <v>0.12800000000000722</v>
      </c>
      <c r="R5" s="1">
        <v>30.344999999999999</v>
      </c>
      <c r="S5" s="1">
        <v>0</v>
      </c>
      <c r="T5" s="1">
        <v>7.4849999999999994</v>
      </c>
      <c r="U5" s="1">
        <v>6.8019999999999996</v>
      </c>
      <c r="V5" s="1">
        <v>31.799999999999997</v>
      </c>
      <c r="W5" s="1">
        <v>21.84</v>
      </c>
      <c r="X5" s="1">
        <v>49.175000000000004</v>
      </c>
      <c r="Y5" s="1">
        <v>0</v>
      </c>
      <c r="Z5" s="1">
        <v>13.010000000000002</v>
      </c>
      <c r="AA5" s="1">
        <v>31.657999999999998</v>
      </c>
      <c r="AB5" s="1">
        <v>30.222999999999999</v>
      </c>
      <c r="AC5" s="1">
        <v>26.353000000000002</v>
      </c>
      <c r="AD5" s="1">
        <v>3.6950000000000003</v>
      </c>
      <c r="AE5" s="1">
        <v>0</v>
      </c>
      <c r="AF5" s="1">
        <v>0</v>
      </c>
      <c r="AG5" s="1">
        <v>32.164999999999999</v>
      </c>
      <c r="AH5" s="1">
        <v>3.4310000000000009</v>
      </c>
      <c r="AI5" s="1">
        <v>16.994</v>
      </c>
    </row>
    <row r="6" spans="1:35">
      <c r="A6" s="1" t="s">
        <v>115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</row>
    <row r="7" spans="1:35">
      <c r="A7" s="1" t="s">
        <v>76</v>
      </c>
      <c r="B7" s="1">
        <v>41.202999999999975</v>
      </c>
      <c r="C7" s="1">
        <v>42.583999999999996</v>
      </c>
      <c r="D7" s="1">
        <v>1.357</v>
      </c>
      <c r="E7" s="1">
        <v>16.7</v>
      </c>
      <c r="F7" s="1">
        <v>2.6640000000000015</v>
      </c>
      <c r="G7" s="1">
        <v>21.15</v>
      </c>
      <c r="H7" s="1">
        <v>19.060000000000002</v>
      </c>
      <c r="I7" s="11">
        <v>42.394029999999958</v>
      </c>
      <c r="J7" s="1">
        <v>18.523</v>
      </c>
      <c r="K7" s="1">
        <v>14.2</v>
      </c>
      <c r="L7" s="1">
        <v>13.898</v>
      </c>
      <c r="M7" s="1">
        <v>45.433</v>
      </c>
      <c r="N7" s="1">
        <v>54.065999999999995</v>
      </c>
      <c r="O7" s="1">
        <v>64.540999999999997</v>
      </c>
      <c r="P7" s="1">
        <v>22.963999999999999</v>
      </c>
      <c r="Q7" s="1">
        <v>152.79699999999994</v>
      </c>
      <c r="R7" s="1">
        <v>8.3320000000000007</v>
      </c>
      <c r="S7" s="1">
        <v>10.532200000000001</v>
      </c>
      <c r="T7" s="1">
        <v>0</v>
      </c>
      <c r="U7" s="1">
        <v>7.8139999999999983</v>
      </c>
      <c r="V7" s="1">
        <v>4.0000000000000009</v>
      </c>
      <c r="W7" s="1">
        <v>26.044999999999995</v>
      </c>
      <c r="X7" s="1">
        <v>22.38</v>
      </c>
      <c r="Y7" s="1">
        <v>15.744999999999997</v>
      </c>
      <c r="Z7" s="1">
        <v>21.366</v>
      </c>
      <c r="AA7" s="1">
        <v>43.39</v>
      </c>
      <c r="AB7" s="1">
        <v>7.6400000000000006</v>
      </c>
      <c r="AC7" s="1">
        <v>18.18</v>
      </c>
      <c r="AD7" s="1">
        <v>4.3149999999999995</v>
      </c>
      <c r="AE7" s="1">
        <v>0.67099999999999937</v>
      </c>
      <c r="AF7" s="1">
        <v>82.025000000000006</v>
      </c>
      <c r="AG7" s="1">
        <v>15.489999999999998</v>
      </c>
      <c r="AH7" s="1">
        <v>10.462000000000003</v>
      </c>
      <c r="AI7" s="1">
        <v>2.1589999999999998</v>
      </c>
    </row>
    <row r="10" spans="1:35">
      <c r="A10">
        <v>14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  <c r="N10">
        <v>13</v>
      </c>
      <c r="O10">
        <v>14</v>
      </c>
      <c r="P10">
        <v>15</v>
      </c>
      <c r="Q10">
        <v>16</v>
      </c>
      <c r="R10">
        <v>17</v>
      </c>
      <c r="S10">
        <v>18</v>
      </c>
      <c r="T10">
        <v>19</v>
      </c>
      <c r="U10">
        <v>20</v>
      </c>
      <c r="V10">
        <v>21</v>
      </c>
      <c r="W10">
        <v>22</v>
      </c>
      <c r="X10">
        <v>23</v>
      </c>
      <c r="Y10">
        <v>24</v>
      </c>
      <c r="Z10">
        <v>25</v>
      </c>
      <c r="AA10">
        <v>26</v>
      </c>
      <c r="AB10">
        <v>27</v>
      </c>
      <c r="AC10">
        <v>28</v>
      </c>
      <c r="AD10">
        <v>29</v>
      </c>
      <c r="AE10">
        <v>30</v>
      </c>
      <c r="AF10">
        <v>31</v>
      </c>
      <c r="AG10">
        <v>32</v>
      </c>
      <c r="AH10">
        <v>33</v>
      </c>
      <c r="AI10">
        <v>34</v>
      </c>
    </row>
    <row r="11" spans="1:35">
      <c r="A11" s="1" t="s">
        <v>113</v>
      </c>
      <c r="B11" s="45" t="s">
        <v>79</v>
      </c>
      <c r="C11" s="45" t="s">
        <v>80</v>
      </c>
      <c r="D11" s="45" t="s">
        <v>81</v>
      </c>
      <c r="E11" s="45" t="s">
        <v>82</v>
      </c>
      <c r="F11" s="45" t="s">
        <v>83</v>
      </c>
      <c r="G11" s="45" t="s">
        <v>84</v>
      </c>
      <c r="H11" s="45" t="s">
        <v>85</v>
      </c>
      <c r="I11" s="45" t="s">
        <v>86</v>
      </c>
      <c r="J11" s="45" t="s">
        <v>87</v>
      </c>
      <c r="K11" s="45" t="s">
        <v>88</v>
      </c>
      <c r="L11" s="45" t="s">
        <v>89</v>
      </c>
      <c r="M11" s="45" t="s">
        <v>90</v>
      </c>
      <c r="N11" s="45" t="s">
        <v>91</v>
      </c>
      <c r="O11" s="45" t="s">
        <v>92</v>
      </c>
      <c r="P11" s="45" t="s">
        <v>93</v>
      </c>
      <c r="Q11" s="45" t="s">
        <v>94</v>
      </c>
      <c r="R11" s="45" t="s">
        <v>95</v>
      </c>
      <c r="S11" s="45" t="s">
        <v>96</v>
      </c>
      <c r="T11" s="45" t="s">
        <v>97</v>
      </c>
      <c r="U11" s="45" t="s">
        <v>98</v>
      </c>
      <c r="V11" s="45" t="s">
        <v>99</v>
      </c>
      <c r="W11" s="45" t="s">
        <v>100</v>
      </c>
      <c r="X11" s="45" t="s">
        <v>101</v>
      </c>
      <c r="Y11" s="48" t="s">
        <v>102</v>
      </c>
      <c r="Z11" s="45" t="s">
        <v>103</v>
      </c>
      <c r="AA11" s="45" t="s">
        <v>104</v>
      </c>
      <c r="AB11" s="45" t="s">
        <v>105</v>
      </c>
      <c r="AC11" s="45" t="s">
        <v>106</v>
      </c>
      <c r="AD11" s="45" t="s">
        <v>107</v>
      </c>
      <c r="AE11" s="45" t="s">
        <v>108</v>
      </c>
      <c r="AF11" s="45" t="s">
        <v>109</v>
      </c>
      <c r="AG11" s="45" t="s">
        <v>110</v>
      </c>
      <c r="AH11" s="45" t="s">
        <v>111</v>
      </c>
      <c r="AI11" s="45" t="s">
        <v>112</v>
      </c>
    </row>
    <row r="12" spans="1:35">
      <c r="A12" s="1" t="s">
        <v>73</v>
      </c>
      <c r="B12" s="1">
        <v>24.549999999999997</v>
      </c>
      <c r="C12" s="1">
        <v>19.734999999999999</v>
      </c>
      <c r="D12" s="1">
        <v>18.21599999999998</v>
      </c>
      <c r="E12" s="1">
        <v>16.143999999999991</v>
      </c>
      <c r="F12" s="1">
        <v>19.013999999999989</v>
      </c>
      <c r="G12" s="1">
        <v>45.279999999999987</v>
      </c>
      <c r="H12" s="1">
        <v>12.218000000000004</v>
      </c>
      <c r="I12" s="11">
        <v>10.934060000000001</v>
      </c>
      <c r="J12" s="1">
        <v>15.278999999999989</v>
      </c>
      <c r="K12" s="1">
        <v>36.506</v>
      </c>
      <c r="L12" s="1">
        <v>54.322000000000003</v>
      </c>
      <c r="M12" s="1">
        <v>26.901999999999987</v>
      </c>
      <c r="N12" s="1">
        <v>28.459999999999994</v>
      </c>
      <c r="O12" s="1">
        <v>14.491900000000001</v>
      </c>
      <c r="P12" s="1">
        <v>24.404</v>
      </c>
      <c r="Q12" s="1">
        <v>20.955999999999989</v>
      </c>
      <c r="R12" s="1">
        <v>26.085000000000001</v>
      </c>
      <c r="S12" s="1">
        <v>40.872199999999999</v>
      </c>
      <c r="T12" s="1">
        <v>26.535</v>
      </c>
      <c r="U12" s="1">
        <v>23.491000000000003</v>
      </c>
      <c r="V12" s="1">
        <v>29.414999999999996</v>
      </c>
      <c r="W12" s="1">
        <v>5.0800000000000125</v>
      </c>
      <c r="X12" s="1">
        <v>27.519999999999996</v>
      </c>
      <c r="Y12" s="1">
        <v>12.799999999999997</v>
      </c>
      <c r="Z12" s="1">
        <v>18.64</v>
      </c>
      <c r="AA12" s="1">
        <v>17.050999999999998</v>
      </c>
      <c r="AB12" s="1">
        <v>20.532000000000004</v>
      </c>
      <c r="AC12" s="1">
        <v>49.050999999999995</v>
      </c>
      <c r="AD12" s="1">
        <v>24.97</v>
      </c>
      <c r="AE12" s="1">
        <v>12.500999999999991</v>
      </c>
      <c r="AF12" s="1">
        <v>36.692</v>
      </c>
      <c r="AG12" s="1">
        <v>9.1969999999999992</v>
      </c>
      <c r="AH12" s="1">
        <v>20.644999999999975</v>
      </c>
      <c r="AI12" s="1">
        <v>35.248999999999995</v>
      </c>
    </row>
    <row r="13" spans="1:35">
      <c r="A13" s="1" t="s">
        <v>114</v>
      </c>
      <c r="B13" s="1">
        <v>79.69</v>
      </c>
      <c r="C13" s="1">
        <v>40.125000000000057</v>
      </c>
      <c r="D13" s="1">
        <v>39.864000000000026</v>
      </c>
      <c r="E13" s="1">
        <v>75.013000000000005</v>
      </c>
      <c r="F13" s="1">
        <v>38.322999999999979</v>
      </c>
      <c r="G13" s="1">
        <v>84.658999999999992</v>
      </c>
      <c r="H13" s="1">
        <v>114.97999999999999</v>
      </c>
      <c r="I13" s="11">
        <v>22.338000000000001</v>
      </c>
      <c r="J13" s="1">
        <v>30.10100000000002</v>
      </c>
      <c r="K13" s="1">
        <v>73.61699999999999</v>
      </c>
      <c r="L13" s="1">
        <v>122.28899999999999</v>
      </c>
      <c r="M13" s="1">
        <v>75.174999999999997</v>
      </c>
      <c r="N13" s="1">
        <v>1.8330000000000011</v>
      </c>
      <c r="O13" s="1">
        <v>136.952</v>
      </c>
      <c r="P13" s="1">
        <v>15.826000000000001</v>
      </c>
      <c r="Q13" s="1">
        <v>48.501000000000019</v>
      </c>
      <c r="R13" s="1">
        <v>50.97</v>
      </c>
      <c r="S13" s="1">
        <v>21.297200000000004</v>
      </c>
      <c r="T13" s="1">
        <v>118.435</v>
      </c>
      <c r="U13" s="1">
        <v>80.228000000000009</v>
      </c>
      <c r="V13" s="1">
        <v>19.175000000000001</v>
      </c>
      <c r="W13" s="1">
        <v>37.880000000000003</v>
      </c>
      <c r="X13" s="1">
        <v>96.059999999999988</v>
      </c>
      <c r="Y13" s="1">
        <v>11.514000000000003</v>
      </c>
      <c r="Z13" s="1">
        <v>129.47800000000001</v>
      </c>
      <c r="AA13" s="1">
        <v>197.846</v>
      </c>
      <c r="AB13" s="1">
        <v>47.869</v>
      </c>
      <c r="AC13" s="1">
        <v>25.982999999999997</v>
      </c>
      <c r="AD13" s="1">
        <v>2.0649999999999995</v>
      </c>
      <c r="AE13" s="1">
        <v>24.264999999999986</v>
      </c>
      <c r="AF13" s="1">
        <v>24.745999999999999</v>
      </c>
      <c r="AG13" s="1">
        <v>106</v>
      </c>
      <c r="AH13" s="1">
        <v>34.814999999999991</v>
      </c>
      <c r="AI13" s="1">
        <v>42.296000000000006</v>
      </c>
    </row>
    <row r="14" spans="1:35">
      <c r="A14" s="1" t="s">
        <v>75</v>
      </c>
      <c r="B14" s="1">
        <v>0</v>
      </c>
      <c r="C14" s="1">
        <v>16.925999999999998</v>
      </c>
      <c r="D14" s="1">
        <v>5.4149999999999991</v>
      </c>
      <c r="E14" s="1">
        <v>0</v>
      </c>
      <c r="F14" s="1">
        <v>52.282000000000004</v>
      </c>
      <c r="G14" s="1">
        <v>12.769999999999996</v>
      </c>
      <c r="H14" s="1">
        <v>8.9840000000000018</v>
      </c>
      <c r="I14" s="11">
        <v>0</v>
      </c>
      <c r="J14" s="1">
        <v>7.506000000000002</v>
      </c>
      <c r="K14" s="1">
        <v>0</v>
      </c>
      <c r="L14" s="1">
        <v>0</v>
      </c>
      <c r="M14" s="1">
        <v>19.272000000000006</v>
      </c>
      <c r="N14" s="1">
        <v>20.738</v>
      </c>
      <c r="O14" s="1">
        <v>0</v>
      </c>
      <c r="P14" s="1">
        <v>0</v>
      </c>
      <c r="Q14" s="1">
        <v>11.328000000000003</v>
      </c>
      <c r="R14" s="1">
        <v>57.800000000000004</v>
      </c>
      <c r="S14" s="1">
        <v>12.810000000000002</v>
      </c>
      <c r="T14" s="1">
        <v>0</v>
      </c>
      <c r="U14" s="1">
        <v>0</v>
      </c>
      <c r="V14" s="1">
        <v>22.339999999999996</v>
      </c>
      <c r="W14" s="1">
        <v>16.939999999999998</v>
      </c>
      <c r="X14" s="1">
        <v>47.64</v>
      </c>
      <c r="Y14" s="1">
        <v>0</v>
      </c>
      <c r="Z14" s="1">
        <v>12.875999999999999</v>
      </c>
      <c r="AA14" s="1">
        <v>29.965</v>
      </c>
      <c r="AB14" s="1">
        <v>39.804000000000002</v>
      </c>
      <c r="AC14" s="1">
        <v>16.004999999999999</v>
      </c>
      <c r="AD14" s="1">
        <v>1.85</v>
      </c>
      <c r="AE14" s="1">
        <v>0</v>
      </c>
      <c r="AF14" s="1">
        <v>0</v>
      </c>
      <c r="AG14" s="1">
        <v>55.68</v>
      </c>
      <c r="AH14" s="1">
        <v>0</v>
      </c>
      <c r="AI14" s="1">
        <v>11.994000000000002</v>
      </c>
    </row>
    <row r="15" spans="1:35">
      <c r="A15" s="1" t="s">
        <v>115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</row>
    <row r="16" spans="1:35">
      <c r="A16" s="1" t="s">
        <v>76</v>
      </c>
      <c r="B16" s="1">
        <v>31.97</v>
      </c>
      <c r="C16" s="1">
        <v>20.486000000000001</v>
      </c>
      <c r="D16" s="1">
        <v>11.646000000000001</v>
      </c>
      <c r="E16" s="1">
        <v>24.83</v>
      </c>
      <c r="F16" s="1">
        <v>3.7999999999999972</v>
      </c>
      <c r="G16" s="1">
        <v>15.93</v>
      </c>
      <c r="H16" s="1">
        <v>35.049999999999997</v>
      </c>
      <c r="I16" s="11">
        <v>31.102730000000001</v>
      </c>
      <c r="J16" s="1">
        <v>11.115000000000002</v>
      </c>
      <c r="K16" s="1">
        <v>12.995999999999999</v>
      </c>
      <c r="L16" s="1">
        <v>24.187999999999999</v>
      </c>
      <c r="M16" s="1">
        <v>27.262</v>
      </c>
      <c r="N16" s="1">
        <v>43.345999999999997</v>
      </c>
      <c r="O16" s="1">
        <v>74.516000000000005</v>
      </c>
      <c r="P16" s="1">
        <v>35.994</v>
      </c>
      <c r="Q16" s="1">
        <v>144.27099999999999</v>
      </c>
      <c r="R16" s="1">
        <v>24.585000000000001</v>
      </c>
      <c r="S16" s="1">
        <v>4.7629999999999999</v>
      </c>
      <c r="T16" s="1">
        <v>2.1649999999999991</v>
      </c>
      <c r="U16" s="1">
        <v>19.274000000000001</v>
      </c>
      <c r="V16" s="1">
        <v>0.7849999999999997</v>
      </c>
      <c r="W16" s="1">
        <v>21.234999999999996</v>
      </c>
      <c r="X16" s="1">
        <v>0.5299999999999998</v>
      </c>
      <c r="Y16" s="1">
        <v>0.35399999999999743</v>
      </c>
      <c r="Z16" s="1">
        <v>19.966000000000001</v>
      </c>
      <c r="AA16" s="1">
        <v>43.089999999999996</v>
      </c>
      <c r="AB16" s="1">
        <v>11.488000000000003</v>
      </c>
      <c r="AC16" s="1">
        <v>12.731999999999999</v>
      </c>
      <c r="AD16" s="1">
        <v>1.3199999999999998</v>
      </c>
      <c r="AE16" s="1">
        <v>1.0569999999999986</v>
      </c>
      <c r="AF16" s="1">
        <v>73.617000000000004</v>
      </c>
      <c r="AG16" s="1">
        <v>5.4410000000000007</v>
      </c>
      <c r="AH16" s="1">
        <v>18.715</v>
      </c>
      <c r="AI16" s="1">
        <v>17.076000000000001</v>
      </c>
    </row>
    <row r="17" spans="1:35">
      <c r="AG17">
        <v>176.31800000000001</v>
      </c>
    </row>
    <row r="19" spans="1:35">
      <c r="A19">
        <v>15</v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  <c r="K19">
        <v>10</v>
      </c>
      <c r="L19">
        <v>11</v>
      </c>
      <c r="M19">
        <v>12</v>
      </c>
      <c r="N19">
        <v>13</v>
      </c>
      <c r="O19">
        <v>14</v>
      </c>
      <c r="P19">
        <v>15</v>
      </c>
      <c r="Q19">
        <v>16</v>
      </c>
      <c r="R19">
        <v>17</v>
      </c>
      <c r="S19">
        <v>18</v>
      </c>
      <c r="T19">
        <v>19</v>
      </c>
      <c r="U19">
        <v>20</v>
      </c>
      <c r="V19">
        <v>21</v>
      </c>
      <c r="W19">
        <v>22</v>
      </c>
      <c r="X19">
        <v>23</v>
      </c>
      <c r="Y19">
        <v>24</v>
      </c>
      <c r="Z19">
        <v>25</v>
      </c>
      <c r="AA19">
        <v>26</v>
      </c>
      <c r="AB19">
        <v>27</v>
      </c>
      <c r="AC19">
        <v>28</v>
      </c>
      <c r="AD19">
        <v>29</v>
      </c>
      <c r="AE19">
        <v>30</v>
      </c>
      <c r="AF19">
        <v>31</v>
      </c>
      <c r="AG19">
        <v>32</v>
      </c>
      <c r="AH19">
        <v>33</v>
      </c>
      <c r="AI19">
        <v>34</v>
      </c>
    </row>
    <row r="20" spans="1:35">
      <c r="A20" s="1" t="s">
        <v>113</v>
      </c>
      <c r="B20" s="45" t="s">
        <v>79</v>
      </c>
      <c r="C20" s="45" t="s">
        <v>80</v>
      </c>
      <c r="D20" s="45" t="s">
        <v>81</v>
      </c>
      <c r="E20" s="45" t="s">
        <v>82</v>
      </c>
      <c r="F20" s="45" t="s">
        <v>83</v>
      </c>
      <c r="G20" s="45" t="s">
        <v>84</v>
      </c>
      <c r="H20" s="45" t="s">
        <v>85</v>
      </c>
      <c r="I20" s="45" t="s">
        <v>86</v>
      </c>
      <c r="J20" s="45" t="s">
        <v>87</v>
      </c>
      <c r="K20" s="45" t="s">
        <v>88</v>
      </c>
      <c r="L20" s="45" t="s">
        <v>89</v>
      </c>
      <c r="M20" s="45" t="s">
        <v>90</v>
      </c>
      <c r="N20" s="45" t="s">
        <v>91</v>
      </c>
      <c r="O20" s="45" t="s">
        <v>92</v>
      </c>
      <c r="P20" s="45" t="s">
        <v>93</v>
      </c>
      <c r="Q20" s="45" t="s">
        <v>94</v>
      </c>
      <c r="R20" s="45" t="s">
        <v>95</v>
      </c>
      <c r="S20" s="45" t="s">
        <v>96</v>
      </c>
      <c r="T20" s="45" t="s">
        <v>97</v>
      </c>
      <c r="U20" s="45" t="s">
        <v>98</v>
      </c>
      <c r="V20" s="45" t="s">
        <v>99</v>
      </c>
      <c r="W20" s="45" t="s">
        <v>100</v>
      </c>
      <c r="X20" s="45" t="s">
        <v>101</v>
      </c>
      <c r="Y20" s="48" t="s">
        <v>102</v>
      </c>
      <c r="Z20" s="45" t="s">
        <v>103</v>
      </c>
      <c r="AA20" s="45" t="s">
        <v>104</v>
      </c>
      <c r="AB20" s="45" t="s">
        <v>105</v>
      </c>
      <c r="AC20" s="45" t="s">
        <v>106</v>
      </c>
      <c r="AD20" s="45" t="s">
        <v>107</v>
      </c>
      <c r="AE20" s="45" t="s">
        <v>108</v>
      </c>
      <c r="AF20" s="45" t="s">
        <v>109</v>
      </c>
      <c r="AG20" s="45" t="s">
        <v>110</v>
      </c>
      <c r="AH20" s="45" t="s">
        <v>111</v>
      </c>
      <c r="AI20" s="45" t="s">
        <v>112</v>
      </c>
    </row>
    <row r="21" spans="1:35">
      <c r="A21" s="1" t="s">
        <v>73</v>
      </c>
      <c r="B21" s="1">
        <v>18.633999999999958</v>
      </c>
      <c r="C21" s="1">
        <v>-5.700000000000216E-2</v>
      </c>
      <c r="D21" s="1">
        <v>0.60899999999998045</v>
      </c>
      <c r="E21" s="1">
        <v>43.844999999999999</v>
      </c>
      <c r="F21" s="1">
        <v>17.529000000000003</v>
      </c>
      <c r="G21" s="1">
        <v>60.69</v>
      </c>
      <c r="H21" s="1">
        <v>9.6590000000000025</v>
      </c>
      <c r="I21" s="11">
        <v>4.0706499999999997</v>
      </c>
      <c r="J21" s="1">
        <v>3.7929999999999922</v>
      </c>
      <c r="K21" s="1">
        <v>34.822000000000003</v>
      </c>
      <c r="L21" s="1">
        <v>35.441999999999993</v>
      </c>
      <c r="M21" s="1">
        <v>22.660000000000011</v>
      </c>
      <c r="N21" s="1">
        <v>27.660999999999998</v>
      </c>
      <c r="O21" s="1">
        <v>17.764000000000003</v>
      </c>
      <c r="P21" s="1">
        <v>21.650000000000002</v>
      </c>
      <c r="Q21" s="1">
        <v>28.650000000000006</v>
      </c>
      <c r="R21" s="1">
        <v>24.760000000000005</v>
      </c>
      <c r="S21" s="1">
        <v>37.896000000000001</v>
      </c>
      <c r="T21" s="1">
        <v>6.9329999999999998</v>
      </c>
      <c r="U21" s="1">
        <v>22.492000000000001</v>
      </c>
      <c r="V21" s="1">
        <v>12.160000000000004</v>
      </c>
      <c r="W21" s="1">
        <v>8.0399999999999956</v>
      </c>
      <c r="X21" s="1">
        <v>14.295000000000002</v>
      </c>
      <c r="Y21" s="1">
        <v>28.224999999999994</v>
      </c>
      <c r="Z21" s="1">
        <v>23.138000000000002</v>
      </c>
      <c r="AA21" s="1">
        <v>16.715</v>
      </c>
      <c r="AB21" s="1">
        <v>53.587000000000003</v>
      </c>
      <c r="AC21" s="1">
        <v>52.286000000000001</v>
      </c>
      <c r="AD21" s="1">
        <v>17.950000000000003</v>
      </c>
      <c r="AE21" s="1">
        <v>1.5250000000000057</v>
      </c>
      <c r="AF21" s="1">
        <v>32.201000000000001</v>
      </c>
      <c r="AG21" s="1">
        <v>16.646999999999998</v>
      </c>
      <c r="AH21" s="1">
        <v>19.854999999999997</v>
      </c>
      <c r="AI21" s="73">
        <v>16.601999999999997</v>
      </c>
    </row>
    <row r="22" spans="1:35">
      <c r="A22" s="1" t="s">
        <v>114</v>
      </c>
      <c r="B22" s="1">
        <v>75.77800000000002</v>
      </c>
      <c r="C22" s="1">
        <v>317.73700000000002</v>
      </c>
      <c r="D22" s="1">
        <v>60.687999999999988</v>
      </c>
      <c r="E22" s="1">
        <v>80.632000000000033</v>
      </c>
      <c r="F22" s="1">
        <v>37.797999999999995</v>
      </c>
      <c r="G22" s="1">
        <v>61.009999999999991</v>
      </c>
      <c r="H22" s="1">
        <v>86.047000000000011</v>
      </c>
      <c r="I22" s="11">
        <v>7.6221700000000041</v>
      </c>
      <c r="J22" s="1">
        <v>25.757000000000012</v>
      </c>
      <c r="K22" s="1">
        <v>114.73000000000002</v>
      </c>
      <c r="L22" s="1">
        <v>64.027000000000015</v>
      </c>
      <c r="M22" s="1">
        <v>79.315999999999988</v>
      </c>
      <c r="N22" s="1">
        <v>28.024000000000004</v>
      </c>
      <c r="O22" s="1">
        <v>86.674999999999997</v>
      </c>
      <c r="P22" s="1">
        <v>25.719999999999988</v>
      </c>
      <c r="Q22" s="1">
        <v>40.664999999999999</v>
      </c>
      <c r="R22" s="1">
        <v>29.907999999999994</v>
      </c>
      <c r="S22" s="1">
        <v>91.985000000000014</v>
      </c>
      <c r="T22" s="1">
        <v>113.614</v>
      </c>
      <c r="U22" s="1">
        <v>61.618000000000002</v>
      </c>
      <c r="V22" s="1">
        <v>19.89</v>
      </c>
      <c r="W22" s="1">
        <v>63.49499999999999</v>
      </c>
      <c r="X22" s="1">
        <v>67.53</v>
      </c>
      <c r="Y22" s="1">
        <v>36.043999999999997</v>
      </c>
      <c r="Z22" s="1">
        <v>140.07400000000001</v>
      </c>
      <c r="AA22" s="1">
        <v>149.88800000000001</v>
      </c>
      <c r="AB22" s="1">
        <v>30.363</v>
      </c>
      <c r="AC22" s="1">
        <v>13.408999999999999</v>
      </c>
      <c r="AD22" s="1">
        <v>8.5750000000000011</v>
      </c>
      <c r="AE22" s="1">
        <v>32.609000000000023</v>
      </c>
      <c r="AF22" s="1">
        <v>12.378</v>
      </c>
      <c r="AG22" s="1">
        <v>94.724999999999994</v>
      </c>
      <c r="AH22" s="1">
        <v>16.131000000000007</v>
      </c>
      <c r="AI22" s="73">
        <v>34.190000000000005</v>
      </c>
    </row>
    <row r="23" spans="1:35">
      <c r="A23" s="1" t="s">
        <v>75</v>
      </c>
      <c r="B23" s="1">
        <v>0</v>
      </c>
      <c r="C23" s="1">
        <v>40.352999999999994</v>
      </c>
      <c r="D23" s="1">
        <v>0</v>
      </c>
      <c r="E23" s="1">
        <v>0</v>
      </c>
      <c r="F23" s="1">
        <v>54.484999999999999</v>
      </c>
      <c r="G23" s="1">
        <v>18.230000000000004</v>
      </c>
      <c r="H23" s="1">
        <v>53.604000000000006</v>
      </c>
      <c r="I23" s="11">
        <v>0</v>
      </c>
      <c r="J23" s="1">
        <v>30.95</v>
      </c>
      <c r="K23" s="1">
        <v>0</v>
      </c>
      <c r="L23" s="1">
        <v>0</v>
      </c>
      <c r="M23" s="1">
        <v>24.330000000000002</v>
      </c>
      <c r="N23" s="1">
        <v>32.116</v>
      </c>
      <c r="O23" s="1">
        <v>0</v>
      </c>
      <c r="P23" s="1">
        <v>0</v>
      </c>
      <c r="Q23" s="1">
        <v>32.666000000000004</v>
      </c>
      <c r="R23" s="1">
        <v>44.21</v>
      </c>
      <c r="S23" s="1">
        <v>0</v>
      </c>
      <c r="T23" s="1">
        <v>20.325000000000003</v>
      </c>
      <c r="U23" s="1">
        <v>5.8330000000000002</v>
      </c>
      <c r="V23" s="1">
        <v>12.000000000000002</v>
      </c>
      <c r="W23" s="1">
        <v>40.414999999999992</v>
      </c>
      <c r="X23" s="1">
        <v>45.03</v>
      </c>
      <c r="Y23" s="1">
        <v>15.462</v>
      </c>
      <c r="Z23" s="1">
        <v>12.432</v>
      </c>
      <c r="AA23" s="1">
        <v>26.096</v>
      </c>
      <c r="AB23" s="1">
        <v>65.8</v>
      </c>
      <c r="AC23" s="1">
        <v>8.3049999999999997</v>
      </c>
      <c r="AD23" s="1">
        <v>8.09</v>
      </c>
      <c r="AE23" s="1">
        <v>0</v>
      </c>
      <c r="AF23" s="1">
        <v>0</v>
      </c>
      <c r="AG23" s="1">
        <v>67.264999999999986</v>
      </c>
      <c r="AH23" s="1">
        <v>0</v>
      </c>
      <c r="AI23" s="73">
        <v>9.5640000000000001</v>
      </c>
    </row>
    <row r="24" spans="1:35">
      <c r="A24" s="1" t="s">
        <v>115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73">
        <v>0</v>
      </c>
    </row>
    <row r="25" spans="1:35">
      <c r="A25" s="1" t="s">
        <v>76</v>
      </c>
      <c r="B25" s="1">
        <v>18.780000000000015</v>
      </c>
      <c r="C25" s="1">
        <v>25.541000000000004</v>
      </c>
      <c r="D25" s="1">
        <v>9.4960000000000004</v>
      </c>
      <c r="E25" s="1">
        <v>81.864999999999995</v>
      </c>
      <c r="F25" s="1">
        <v>40.345999999999997</v>
      </c>
      <c r="G25" s="1">
        <v>28.664000000000001</v>
      </c>
      <c r="H25" s="1">
        <v>8.1730000000000018</v>
      </c>
      <c r="I25" s="11">
        <v>43.290759999999999</v>
      </c>
      <c r="J25" s="1">
        <v>19.002000000000002</v>
      </c>
      <c r="K25" s="1">
        <v>7.0719999999999956</v>
      </c>
      <c r="L25" s="1">
        <v>31.544000000000004</v>
      </c>
      <c r="M25" s="1">
        <v>13.906000000000001</v>
      </c>
      <c r="N25" s="1">
        <v>58.464000000000006</v>
      </c>
      <c r="O25" s="1">
        <v>93.430999999999997</v>
      </c>
      <c r="P25" s="1">
        <v>33.711999999999996</v>
      </c>
      <c r="Q25" s="1">
        <v>141.08700000000002</v>
      </c>
      <c r="R25" s="1">
        <v>16.864000000000001</v>
      </c>
      <c r="S25" s="1">
        <v>0.70439999999999969</v>
      </c>
      <c r="T25" s="1">
        <v>0</v>
      </c>
      <c r="U25" s="1">
        <v>8.5220000000000002</v>
      </c>
      <c r="V25" s="1">
        <v>2.7699999999999996</v>
      </c>
      <c r="W25" s="1">
        <v>19.12</v>
      </c>
      <c r="X25" s="1">
        <v>15.719999999999999</v>
      </c>
      <c r="Y25" s="1">
        <v>8.3379999999999956</v>
      </c>
      <c r="Z25" s="1">
        <v>27.346</v>
      </c>
      <c r="AA25" s="1">
        <v>40.159999999999997</v>
      </c>
      <c r="AB25" s="1">
        <v>26.068000000000001</v>
      </c>
      <c r="AC25" s="1">
        <v>39.607999999999997</v>
      </c>
      <c r="AD25" s="1">
        <v>6.414999999999992</v>
      </c>
      <c r="AE25" s="1">
        <v>16.689999999999998</v>
      </c>
      <c r="AF25" s="1">
        <v>67.268999999999991</v>
      </c>
      <c r="AG25" s="1">
        <v>0</v>
      </c>
      <c r="AH25" s="1">
        <v>13.091999999999999</v>
      </c>
      <c r="AI25" s="73">
        <v>14.113000000000001</v>
      </c>
    </row>
    <row r="28" spans="1:35">
      <c r="A28" s="72">
        <v>46159</v>
      </c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  <c r="H28">
        <v>7</v>
      </c>
      <c r="I28">
        <v>8</v>
      </c>
      <c r="J28">
        <v>9</v>
      </c>
      <c r="K28">
        <v>10</v>
      </c>
      <c r="L28">
        <v>11</v>
      </c>
      <c r="M28">
        <v>12</v>
      </c>
      <c r="N28">
        <v>13</v>
      </c>
      <c r="O28">
        <v>14</v>
      </c>
      <c r="P28">
        <v>15</v>
      </c>
      <c r="Q28">
        <v>16</v>
      </c>
      <c r="R28">
        <v>17</v>
      </c>
      <c r="S28">
        <v>18</v>
      </c>
      <c r="T28">
        <v>19</v>
      </c>
      <c r="U28">
        <v>20</v>
      </c>
      <c r="V28">
        <v>21</v>
      </c>
      <c r="W28">
        <v>22</v>
      </c>
      <c r="X28">
        <v>23</v>
      </c>
      <c r="Y28">
        <v>24</v>
      </c>
      <c r="Z28">
        <v>25</v>
      </c>
      <c r="AA28">
        <v>26</v>
      </c>
      <c r="AB28">
        <v>27</v>
      </c>
      <c r="AC28">
        <v>28</v>
      </c>
      <c r="AD28">
        <v>29</v>
      </c>
      <c r="AE28">
        <v>30</v>
      </c>
      <c r="AF28">
        <v>31</v>
      </c>
      <c r="AG28">
        <v>32</v>
      </c>
      <c r="AH28">
        <v>33</v>
      </c>
      <c r="AI28">
        <v>34</v>
      </c>
    </row>
    <row r="29" spans="1:35">
      <c r="A29" s="1" t="s">
        <v>113</v>
      </c>
      <c r="B29" s="45" t="s">
        <v>79</v>
      </c>
      <c r="C29" s="45" t="s">
        <v>80</v>
      </c>
      <c r="D29" s="45" t="s">
        <v>81</v>
      </c>
      <c r="E29" s="45" t="s">
        <v>82</v>
      </c>
      <c r="F29" s="45" t="s">
        <v>83</v>
      </c>
      <c r="G29" s="45" t="s">
        <v>84</v>
      </c>
      <c r="H29" s="45" t="s">
        <v>85</v>
      </c>
      <c r="I29" s="45" t="s">
        <v>86</v>
      </c>
      <c r="J29" s="45" t="s">
        <v>87</v>
      </c>
      <c r="K29" s="45" t="s">
        <v>88</v>
      </c>
      <c r="L29" s="45" t="s">
        <v>89</v>
      </c>
      <c r="M29" s="45" t="s">
        <v>90</v>
      </c>
      <c r="N29" s="45" t="s">
        <v>91</v>
      </c>
      <c r="O29" s="45" t="s">
        <v>92</v>
      </c>
      <c r="P29" s="45" t="s">
        <v>93</v>
      </c>
      <c r="Q29" s="45" t="s">
        <v>94</v>
      </c>
      <c r="R29" s="45" t="s">
        <v>95</v>
      </c>
      <c r="S29" s="45" t="s">
        <v>96</v>
      </c>
      <c r="T29" s="45" t="s">
        <v>97</v>
      </c>
      <c r="U29" s="45" t="s">
        <v>98</v>
      </c>
      <c r="V29" s="45" t="s">
        <v>99</v>
      </c>
      <c r="W29" s="45" t="s">
        <v>100</v>
      </c>
      <c r="X29" s="45" t="s">
        <v>101</v>
      </c>
      <c r="Y29" s="48" t="s">
        <v>102</v>
      </c>
      <c r="Z29" s="45" t="s">
        <v>103</v>
      </c>
      <c r="AA29" s="45" t="s">
        <v>104</v>
      </c>
      <c r="AB29" s="45" t="s">
        <v>105</v>
      </c>
      <c r="AC29" s="45" t="s">
        <v>106</v>
      </c>
      <c r="AD29" s="45" t="s">
        <v>107</v>
      </c>
      <c r="AE29" s="45" t="s">
        <v>108</v>
      </c>
      <c r="AF29" s="45" t="s">
        <v>109</v>
      </c>
      <c r="AG29" s="45" t="s">
        <v>110</v>
      </c>
      <c r="AH29" s="45" t="s">
        <v>111</v>
      </c>
      <c r="AI29" s="45" t="s">
        <v>112</v>
      </c>
    </row>
    <row r="30" spans="1:35">
      <c r="A30" s="1" t="s">
        <v>73</v>
      </c>
      <c r="B30" s="1">
        <v>0.49200000000003286</v>
      </c>
      <c r="C30" s="1">
        <v>49.623999999999995</v>
      </c>
      <c r="D30" s="1">
        <v>0</v>
      </c>
      <c r="E30" s="1">
        <v>3.1280000000000001</v>
      </c>
      <c r="F30" s="1">
        <v>4.0309999999999917</v>
      </c>
      <c r="G30" s="1">
        <v>19.739999999999998</v>
      </c>
      <c r="H30" s="1">
        <v>26.595999999999997</v>
      </c>
      <c r="I30" s="11">
        <v>4.3689999999999998</v>
      </c>
      <c r="J30" s="1">
        <v>31.151999999999987</v>
      </c>
      <c r="K30" s="1">
        <v>2.7839999999999847</v>
      </c>
      <c r="L30" s="1">
        <v>92.138999999999996</v>
      </c>
      <c r="M30" s="1">
        <v>22.924999999999997</v>
      </c>
      <c r="N30" s="1">
        <v>26.488</v>
      </c>
      <c r="O30" s="1">
        <v>26.337999999999994</v>
      </c>
      <c r="P30" s="1">
        <v>4.1539999999999999</v>
      </c>
      <c r="Q30" s="1">
        <v>18.716000000000001</v>
      </c>
      <c r="R30" s="1">
        <v>13.262999999999998</v>
      </c>
      <c r="S30" s="1">
        <v>17.800999999999998</v>
      </c>
      <c r="T30" s="1">
        <v>15.813999999999993</v>
      </c>
      <c r="U30" s="1">
        <v>16.925000000000001</v>
      </c>
      <c r="V30" s="1">
        <v>35.864999999999995</v>
      </c>
      <c r="W30" s="1">
        <v>14.705000000000002</v>
      </c>
      <c r="X30" s="1">
        <v>27.974999999999994</v>
      </c>
      <c r="Y30" s="1">
        <v>25.548999999999999</v>
      </c>
      <c r="Z30" s="1">
        <v>32.725999999999999</v>
      </c>
      <c r="AA30" s="1">
        <v>24.250999999999998</v>
      </c>
      <c r="AB30" s="1">
        <v>41.963999999999999</v>
      </c>
      <c r="AC30" s="1">
        <v>82.808000000000021</v>
      </c>
      <c r="AD30" s="1">
        <v>24.715</v>
      </c>
      <c r="AE30" s="1">
        <v>7.9230000000000018</v>
      </c>
      <c r="AF30" s="1">
        <v>46.771999999999998</v>
      </c>
      <c r="AG30" s="1">
        <v>0</v>
      </c>
      <c r="AH30" s="1">
        <v>12.681999999999999</v>
      </c>
      <c r="AI30" s="73">
        <v>27.33</v>
      </c>
    </row>
    <row r="31" spans="1:35">
      <c r="A31" s="1" t="s">
        <v>114</v>
      </c>
      <c r="B31" s="1">
        <v>32.694999999999986</v>
      </c>
      <c r="C31" s="1">
        <v>314.39999999999998</v>
      </c>
      <c r="D31" s="1">
        <v>142.52000000000004</v>
      </c>
      <c r="E31" s="1">
        <v>113.11500000000007</v>
      </c>
      <c r="F31" s="1">
        <v>79.959000000000003</v>
      </c>
      <c r="G31" s="1">
        <v>60.682000000000002</v>
      </c>
      <c r="H31" s="1">
        <v>130.15400000000002</v>
      </c>
      <c r="I31" s="11">
        <v>14.255000000000001</v>
      </c>
      <c r="J31" s="1">
        <v>0.60700000000001353</v>
      </c>
      <c r="K31" s="1">
        <v>101.685</v>
      </c>
      <c r="L31" s="1">
        <v>199.01300000000003</v>
      </c>
      <c r="M31" s="1">
        <v>84.569000000000017</v>
      </c>
      <c r="N31" s="1">
        <v>38.490000000000023</v>
      </c>
      <c r="O31" s="1">
        <v>123.20700000000004</v>
      </c>
      <c r="P31" s="1">
        <v>25.788000000000004</v>
      </c>
      <c r="Q31" s="1">
        <v>258.37799999999999</v>
      </c>
      <c r="R31" s="1">
        <v>62.203000000000017</v>
      </c>
      <c r="S31" s="1">
        <v>62.200999999999993</v>
      </c>
      <c r="T31" s="1">
        <v>155.85</v>
      </c>
      <c r="U31" s="1">
        <v>41.725999999999999</v>
      </c>
      <c r="V31" s="1">
        <v>18.229999999999997</v>
      </c>
      <c r="W31" s="1">
        <v>55.999999999999986</v>
      </c>
      <c r="X31" s="1">
        <v>58.620000000000005</v>
      </c>
      <c r="Y31" s="1">
        <v>32.365000000000016</v>
      </c>
      <c r="Z31" s="1">
        <v>139.97300000000001</v>
      </c>
      <c r="AA31" s="1">
        <v>130.92699999999999</v>
      </c>
      <c r="AB31" s="1">
        <v>70.143000000000001</v>
      </c>
      <c r="AC31" s="1">
        <v>23.852</v>
      </c>
      <c r="AD31" s="1">
        <v>6.4600000000000009</v>
      </c>
      <c r="AE31" s="1">
        <v>65.37</v>
      </c>
      <c r="AF31" s="1">
        <v>6.5389999999999979</v>
      </c>
      <c r="AG31" s="1">
        <v>29.015000000000004</v>
      </c>
      <c r="AH31" s="1">
        <v>44.736000000000004</v>
      </c>
      <c r="AI31" s="73">
        <v>13.823</v>
      </c>
    </row>
    <row r="32" spans="1:35">
      <c r="A32" s="1" t="s">
        <v>75</v>
      </c>
      <c r="B32" s="1">
        <v>31.380000000000003</v>
      </c>
      <c r="C32" s="1">
        <v>21.555</v>
      </c>
      <c r="D32" s="1">
        <v>6.5980000000000025</v>
      </c>
      <c r="E32" s="1">
        <v>0</v>
      </c>
      <c r="F32" s="1">
        <v>20.674999999999997</v>
      </c>
      <c r="G32" s="1">
        <v>4.3600000000000003</v>
      </c>
      <c r="H32" s="1">
        <v>28.154999999999994</v>
      </c>
      <c r="I32" s="11">
        <v>0</v>
      </c>
      <c r="J32" s="1">
        <v>17.003999999999994</v>
      </c>
      <c r="K32" s="1">
        <v>0</v>
      </c>
      <c r="L32" s="1">
        <v>0</v>
      </c>
      <c r="M32" s="1">
        <v>4.8439999999999976</v>
      </c>
      <c r="N32" s="1">
        <v>25.995999999999999</v>
      </c>
      <c r="O32" s="1">
        <v>0</v>
      </c>
      <c r="P32" s="1">
        <v>0</v>
      </c>
      <c r="Q32" s="1">
        <v>12.158000000000007</v>
      </c>
      <c r="R32" s="1">
        <v>33.589999999999996</v>
      </c>
      <c r="S32" s="1">
        <v>0</v>
      </c>
      <c r="T32" s="1">
        <v>0</v>
      </c>
      <c r="U32" s="1">
        <v>7.7140000000000004</v>
      </c>
      <c r="V32" s="1">
        <v>21.509999999999998</v>
      </c>
      <c r="W32" s="1">
        <v>30.3</v>
      </c>
      <c r="X32" s="1">
        <v>62.449999999999989</v>
      </c>
      <c r="Y32" s="1">
        <v>0</v>
      </c>
      <c r="Z32" s="1">
        <v>9.3579999999999988</v>
      </c>
      <c r="AA32" s="1">
        <v>12.203999999999999</v>
      </c>
      <c r="AB32" s="1">
        <v>46.12</v>
      </c>
      <c r="AC32" s="1">
        <v>23.423000000000002</v>
      </c>
      <c r="AD32" s="1">
        <v>7.0949999999999998</v>
      </c>
      <c r="AE32" s="1">
        <v>0</v>
      </c>
      <c r="AF32" s="1">
        <v>0</v>
      </c>
      <c r="AG32" s="1">
        <v>61.175000000000004</v>
      </c>
      <c r="AH32" s="1">
        <v>20.59</v>
      </c>
      <c r="AI32" s="73">
        <v>18.334999999999997</v>
      </c>
    </row>
    <row r="33" spans="1:35">
      <c r="A33" s="1" t="s">
        <v>115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73">
        <v>0</v>
      </c>
    </row>
    <row r="34" spans="1:35">
      <c r="A34" s="1" t="s">
        <v>76</v>
      </c>
      <c r="B34" s="1">
        <v>10.29</v>
      </c>
      <c r="C34" s="1">
        <v>15.969999999999999</v>
      </c>
      <c r="D34" s="1">
        <v>15.242000000000001</v>
      </c>
      <c r="E34" s="1">
        <v>158.68499999999997</v>
      </c>
      <c r="F34" s="1">
        <v>27.521999999999998</v>
      </c>
      <c r="G34" s="1">
        <v>23.15</v>
      </c>
      <c r="H34" s="1">
        <v>4.7979999999999947</v>
      </c>
      <c r="I34" s="11">
        <v>3.4740000000000002</v>
      </c>
      <c r="J34" s="1">
        <v>8.3040000000000038</v>
      </c>
      <c r="K34" s="1">
        <v>10.731999999999999</v>
      </c>
      <c r="L34" s="1">
        <v>14.339999999999996</v>
      </c>
      <c r="M34" s="1">
        <v>28.358000000000004</v>
      </c>
      <c r="N34" s="1">
        <v>12</v>
      </c>
      <c r="O34" s="1">
        <v>107.062</v>
      </c>
      <c r="P34" s="1">
        <v>24.498000000000001</v>
      </c>
      <c r="Q34" s="1">
        <v>127.96100000000001</v>
      </c>
      <c r="R34" s="1">
        <v>0.24200000000000088</v>
      </c>
      <c r="S34" s="1">
        <v>0</v>
      </c>
      <c r="T34" s="1">
        <v>21.323</v>
      </c>
      <c r="U34" s="1">
        <v>31.911000000000001</v>
      </c>
      <c r="V34" s="1">
        <v>16.795000000000002</v>
      </c>
      <c r="W34" s="1">
        <v>5.7350000000000003</v>
      </c>
      <c r="X34" s="1">
        <v>0.27999999999999936</v>
      </c>
      <c r="Y34" s="1">
        <v>24.262</v>
      </c>
      <c r="Z34" s="1">
        <v>38.094000000000001</v>
      </c>
      <c r="AA34" s="1">
        <v>52.114999999999995</v>
      </c>
      <c r="AB34" s="1">
        <v>9.9159999999999986</v>
      </c>
      <c r="AC34" s="1">
        <v>26.248000000000001</v>
      </c>
      <c r="AD34" s="1">
        <v>3.8850000000000007</v>
      </c>
      <c r="AE34" s="1">
        <v>23.768000000000001</v>
      </c>
      <c r="AF34" s="1">
        <v>50.651000000000003</v>
      </c>
      <c r="AG34" s="1">
        <v>12.19</v>
      </c>
      <c r="AH34" s="1">
        <v>17.34</v>
      </c>
      <c r="AI34" s="73">
        <v>4.2410000000000005</v>
      </c>
    </row>
    <row r="35" spans="1:35">
      <c r="S35" s="45"/>
      <c r="T35" s="1"/>
      <c r="U35" s="1"/>
      <c r="V35" s="1"/>
      <c r="W35" s="1"/>
      <c r="X35" s="1"/>
    </row>
    <row r="36" spans="1:35">
      <c r="A36" s="72">
        <v>46160</v>
      </c>
      <c r="B36">
        <v>1</v>
      </c>
      <c r="C36">
        <v>2</v>
      </c>
      <c r="D36">
        <v>3</v>
      </c>
      <c r="E36">
        <v>4</v>
      </c>
      <c r="F36">
        <v>5</v>
      </c>
      <c r="G36">
        <v>6</v>
      </c>
      <c r="H36">
        <v>7</v>
      </c>
      <c r="I36">
        <v>8</v>
      </c>
      <c r="J36">
        <v>9</v>
      </c>
      <c r="K36">
        <v>10</v>
      </c>
      <c r="L36">
        <v>11</v>
      </c>
      <c r="M36">
        <v>12</v>
      </c>
      <c r="N36">
        <v>13</v>
      </c>
      <c r="O36">
        <v>14</v>
      </c>
      <c r="P36">
        <v>15</v>
      </c>
      <c r="Q36">
        <v>16</v>
      </c>
      <c r="R36">
        <v>17</v>
      </c>
      <c r="S36">
        <v>18</v>
      </c>
      <c r="T36">
        <v>19</v>
      </c>
      <c r="U36">
        <v>20</v>
      </c>
      <c r="V36">
        <v>21</v>
      </c>
      <c r="W36">
        <v>22</v>
      </c>
      <c r="X36">
        <v>23</v>
      </c>
      <c r="Y36">
        <v>24</v>
      </c>
      <c r="Z36">
        <v>25</v>
      </c>
      <c r="AA36">
        <v>26</v>
      </c>
      <c r="AB36">
        <v>27</v>
      </c>
      <c r="AC36">
        <v>28</v>
      </c>
      <c r="AD36">
        <v>29</v>
      </c>
      <c r="AE36">
        <v>30</v>
      </c>
      <c r="AF36">
        <v>31</v>
      </c>
      <c r="AG36">
        <v>32</v>
      </c>
      <c r="AH36">
        <v>33</v>
      </c>
      <c r="AI36">
        <v>34</v>
      </c>
    </row>
    <row r="37" spans="1:35">
      <c r="A37" s="1" t="s">
        <v>113</v>
      </c>
      <c r="B37" s="45" t="s">
        <v>79</v>
      </c>
      <c r="C37" s="45" t="s">
        <v>80</v>
      </c>
      <c r="D37" s="45" t="s">
        <v>81</v>
      </c>
      <c r="E37" s="45" t="s">
        <v>82</v>
      </c>
      <c r="F37" s="45" t="s">
        <v>83</v>
      </c>
      <c r="G37" s="45" t="s">
        <v>84</v>
      </c>
      <c r="H37" s="45" t="s">
        <v>85</v>
      </c>
      <c r="I37" s="45" t="s">
        <v>86</v>
      </c>
      <c r="J37" s="45" t="s">
        <v>87</v>
      </c>
      <c r="K37" s="45" t="s">
        <v>88</v>
      </c>
      <c r="L37" s="45" t="s">
        <v>89</v>
      </c>
      <c r="M37" s="45" t="s">
        <v>90</v>
      </c>
      <c r="N37" s="45" t="s">
        <v>91</v>
      </c>
      <c r="O37" s="45" t="s">
        <v>92</v>
      </c>
      <c r="P37" s="45" t="s">
        <v>93</v>
      </c>
      <c r="Q37" s="45" t="s">
        <v>94</v>
      </c>
      <c r="R37" s="45" t="s">
        <v>95</v>
      </c>
      <c r="S37" s="45" t="s">
        <v>96</v>
      </c>
      <c r="T37" s="45" t="s">
        <v>97</v>
      </c>
      <c r="U37" s="45" t="s">
        <v>98</v>
      </c>
      <c r="V37" s="45" t="s">
        <v>99</v>
      </c>
      <c r="W37" s="45" t="s">
        <v>100</v>
      </c>
      <c r="X37" s="45" t="s">
        <v>101</v>
      </c>
      <c r="Y37" s="48" t="s">
        <v>102</v>
      </c>
      <c r="Z37" s="45" t="s">
        <v>103</v>
      </c>
      <c r="AA37" s="45" t="s">
        <v>104</v>
      </c>
      <c r="AB37" s="45" t="s">
        <v>105</v>
      </c>
      <c r="AC37" s="45" t="s">
        <v>106</v>
      </c>
      <c r="AD37" s="45" t="s">
        <v>107</v>
      </c>
      <c r="AE37" s="45" t="s">
        <v>108</v>
      </c>
      <c r="AF37" s="45" t="s">
        <v>109</v>
      </c>
      <c r="AG37" s="45" t="s">
        <v>110</v>
      </c>
      <c r="AH37" s="45" t="s">
        <v>111</v>
      </c>
      <c r="AI37" s="45" t="s">
        <v>112</v>
      </c>
    </row>
    <row r="38" spans="1:35">
      <c r="A38" s="1" t="s">
        <v>73</v>
      </c>
      <c r="B38" s="1">
        <v>15.391000000000005</v>
      </c>
      <c r="C38" s="1">
        <v>4.0360000000000014</v>
      </c>
      <c r="D38" s="1">
        <v>24.582000000000001</v>
      </c>
      <c r="E38" s="1">
        <v>0</v>
      </c>
      <c r="F38" s="1">
        <v>9.4970000000000425</v>
      </c>
      <c r="G38" s="1">
        <v>28.389999999999986</v>
      </c>
      <c r="H38" s="1">
        <v>23.545000000000002</v>
      </c>
      <c r="I38" s="11">
        <v>20.647790000000001</v>
      </c>
      <c r="J38" s="1">
        <v>16.429999999999993</v>
      </c>
      <c r="K38" s="1">
        <v>3.4570000000000007</v>
      </c>
      <c r="L38" s="1">
        <v>13.61</v>
      </c>
      <c r="M38" s="1">
        <v>31.433999999999983</v>
      </c>
      <c r="N38" s="1">
        <v>32.701000000000001</v>
      </c>
      <c r="O38" s="1">
        <v>40.28</v>
      </c>
      <c r="P38" s="1">
        <v>10.191000000000003</v>
      </c>
      <c r="Q38" s="1">
        <v>20.007999999999996</v>
      </c>
      <c r="R38" s="1">
        <v>16.039999999999996</v>
      </c>
      <c r="S38" s="1">
        <v>28.784399999999998</v>
      </c>
      <c r="T38" s="1">
        <v>4.6190000000000015</v>
      </c>
      <c r="U38" s="1">
        <v>27.285</v>
      </c>
      <c r="V38" s="1">
        <v>9.0500000000000043</v>
      </c>
      <c r="W38" s="1">
        <v>5.9699999999999989</v>
      </c>
      <c r="X38" s="1">
        <v>27.859999999999992</v>
      </c>
      <c r="Y38" s="1">
        <v>2.2210000000000107</v>
      </c>
      <c r="Z38" s="1">
        <v>26.648</v>
      </c>
      <c r="AA38" s="1">
        <v>19.579000000000001</v>
      </c>
      <c r="AB38" s="1">
        <v>19.355999999999998</v>
      </c>
      <c r="AC38" s="1">
        <v>50.958000000000013</v>
      </c>
      <c r="AD38" s="1">
        <v>2.9000000000000021</v>
      </c>
      <c r="AE38" s="1">
        <v>1.0350000000000001</v>
      </c>
      <c r="AF38" s="1">
        <v>34.382999999999996</v>
      </c>
      <c r="AG38" s="1">
        <v>0</v>
      </c>
      <c r="AH38" s="1">
        <v>11.297000000000004</v>
      </c>
      <c r="AI38" s="73">
        <v>19.297999999999998</v>
      </c>
    </row>
    <row r="39" spans="1:35">
      <c r="A39" s="1" t="s">
        <v>114</v>
      </c>
      <c r="B39" s="1">
        <v>19.310000000000002</v>
      </c>
      <c r="C39" s="1">
        <v>76.030999999999992</v>
      </c>
      <c r="D39" s="1">
        <v>55.497999999999962</v>
      </c>
      <c r="E39" s="1">
        <v>151.44800000000009</v>
      </c>
      <c r="F39" s="1">
        <v>101.76099999999997</v>
      </c>
      <c r="G39" s="1">
        <v>61.382000000000005</v>
      </c>
      <c r="H39" s="1">
        <v>100.813</v>
      </c>
      <c r="I39" s="11">
        <v>17.083150000000025</v>
      </c>
      <c r="J39" s="1">
        <v>1.8620000000000037</v>
      </c>
      <c r="K39" s="1">
        <v>59.553999999999995</v>
      </c>
      <c r="L39" s="1">
        <v>111.38200000000001</v>
      </c>
      <c r="M39" s="1">
        <v>93.945999999999998</v>
      </c>
      <c r="N39" s="1">
        <v>18.166</v>
      </c>
      <c r="O39" s="1">
        <v>117.75699999999999</v>
      </c>
      <c r="P39" s="1">
        <v>18.904999999999994</v>
      </c>
      <c r="Q39" s="1">
        <v>237.41399999999999</v>
      </c>
      <c r="R39" s="1">
        <v>125.49299999999999</v>
      </c>
      <c r="S39" s="1">
        <v>36.138999999999996</v>
      </c>
      <c r="T39" s="1">
        <v>139.77600000000001</v>
      </c>
      <c r="U39" s="1">
        <v>56.309999999999988</v>
      </c>
      <c r="V39" s="1">
        <v>11.059999999999999</v>
      </c>
      <c r="W39" s="1">
        <v>35.96</v>
      </c>
      <c r="X39" s="1">
        <v>69.254999999999995</v>
      </c>
      <c r="Y39" s="1">
        <v>46.999000000000024</v>
      </c>
      <c r="Z39" s="1">
        <v>145.10399999999998</v>
      </c>
      <c r="AA39" s="1">
        <v>160.55700000000002</v>
      </c>
      <c r="AB39" s="1">
        <v>49.841999999999999</v>
      </c>
      <c r="AC39" s="1">
        <v>27.748999999999995</v>
      </c>
      <c r="AD39" s="1">
        <v>4.43</v>
      </c>
      <c r="AE39" s="1">
        <v>61.694000000000003</v>
      </c>
      <c r="AF39" s="1">
        <v>16.358000000000004</v>
      </c>
      <c r="AG39" s="1">
        <v>13.081000000000003</v>
      </c>
      <c r="AH39" s="1">
        <v>23.333999999999996</v>
      </c>
      <c r="AI39" s="73">
        <v>22.927999999999997</v>
      </c>
    </row>
    <row r="40" spans="1:35">
      <c r="A40" s="1" t="s">
        <v>75</v>
      </c>
      <c r="B40" s="1">
        <v>0</v>
      </c>
      <c r="C40" s="1">
        <v>66.260000000000005</v>
      </c>
      <c r="D40" s="1">
        <v>14.978999999999999</v>
      </c>
      <c r="E40" s="1">
        <v>0</v>
      </c>
      <c r="F40" s="1">
        <v>3.0789999999999971</v>
      </c>
      <c r="G40" s="1">
        <v>16.590000000000018</v>
      </c>
      <c r="H40" s="1">
        <v>25.486999999999998</v>
      </c>
      <c r="I40" s="11">
        <v>0</v>
      </c>
      <c r="J40" s="1">
        <v>30.027999999999992</v>
      </c>
      <c r="K40" s="1">
        <v>0</v>
      </c>
      <c r="L40" s="1">
        <v>14.635999999999999</v>
      </c>
      <c r="M40" s="1">
        <v>8.0429999999999993</v>
      </c>
      <c r="N40" s="1">
        <v>21.524999999999999</v>
      </c>
      <c r="O40" s="1">
        <v>0</v>
      </c>
      <c r="P40" s="1">
        <v>0</v>
      </c>
      <c r="Q40" s="1">
        <v>27.282000000000007</v>
      </c>
      <c r="R40" s="1">
        <v>50.905999999999999</v>
      </c>
      <c r="S40" s="1">
        <v>23.5</v>
      </c>
      <c r="T40" s="1">
        <v>21.465000000000003</v>
      </c>
      <c r="U40" s="1">
        <v>16.350000000000001</v>
      </c>
      <c r="V40" s="1">
        <v>13.7</v>
      </c>
      <c r="W40" s="1">
        <v>28.26</v>
      </c>
      <c r="X40" s="1">
        <v>55.505000000000003</v>
      </c>
      <c r="Y40" s="1">
        <v>11.260000000000002</v>
      </c>
      <c r="Z40" s="1">
        <v>6.4370000000000003</v>
      </c>
      <c r="AA40" s="1">
        <v>8.6029999999999998</v>
      </c>
      <c r="AB40" s="1">
        <v>39.087999999999994</v>
      </c>
      <c r="AC40" s="1">
        <v>22.686</v>
      </c>
      <c r="AD40" s="1">
        <v>6.07</v>
      </c>
      <c r="AE40" s="1">
        <v>2.3059999999999992</v>
      </c>
      <c r="AF40" s="1">
        <v>0</v>
      </c>
      <c r="AG40" s="1">
        <v>71.11</v>
      </c>
      <c r="AH40" s="1">
        <v>13.721</v>
      </c>
      <c r="AI40" s="73">
        <v>16.488</v>
      </c>
    </row>
    <row r="41" spans="1:35">
      <c r="A41" s="1" t="s">
        <v>115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73">
        <v>0</v>
      </c>
    </row>
    <row r="42" spans="1:35">
      <c r="A42" s="1" t="s">
        <v>76</v>
      </c>
      <c r="B42" s="1">
        <v>0</v>
      </c>
      <c r="C42" s="1">
        <v>6.6159999999999997</v>
      </c>
      <c r="D42" s="1">
        <v>17.382000000000005</v>
      </c>
      <c r="E42" s="1">
        <v>146.60999999999999</v>
      </c>
      <c r="F42" s="1">
        <v>31.899000000000001</v>
      </c>
      <c r="G42" s="1">
        <v>26.83</v>
      </c>
      <c r="H42" s="1">
        <v>7.1630000000000003</v>
      </c>
      <c r="I42" s="11">
        <v>12.702109999999989</v>
      </c>
      <c r="J42" s="1">
        <v>16.580000000000005</v>
      </c>
      <c r="K42" s="1">
        <v>13.338000000000005</v>
      </c>
      <c r="L42" s="1">
        <v>27.215999999999998</v>
      </c>
      <c r="M42" s="1">
        <v>24.47</v>
      </c>
      <c r="N42" s="1">
        <v>21.164000000000001</v>
      </c>
      <c r="O42" s="1">
        <v>94.909000000000006</v>
      </c>
      <c r="P42" s="1">
        <v>26.728000000000009</v>
      </c>
      <c r="Q42" s="1">
        <v>126.13700000000001</v>
      </c>
      <c r="R42" s="1">
        <v>19.067</v>
      </c>
      <c r="S42" s="1">
        <v>15.654999999999999</v>
      </c>
      <c r="T42" s="1">
        <v>12.099</v>
      </c>
      <c r="U42" s="1">
        <v>26.704999999999998</v>
      </c>
      <c r="V42" s="1">
        <v>32.215000000000003</v>
      </c>
      <c r="W42" s="1">
        <v>18.924999999999997</v>
      </c>
      <c r="X42" s="1">
        <v>6.52</v>
      </c>
      <c r="Y42" s="1">
        <v>12.72</v>
      </c>
      <c r="Z42" s="1">
        <v>32.332000000000001</v>
      </c>
      <c r="AA42" s="1">
        <v>49.616</v>
      </c>
      <c r="AB42" s="1">
        <v>2.8860000000000001</v>
      </c>
      <c r="AC42" s="1">
        <v>21.602</v>
      </c>
      <c r="AD42" s="1">
        <v>3.865000000000002</v>
      </c>
      <c r="AE42" s="1">
        <v>19.491</v>
      </c>
      <c r="AF42" s="1">
        <v>37.766999999999996</v>
      </c>
      <c r="AG42" s="1">
        <v>4.1019999999999985</v>
      </c>
      <c r="AH42" s="1">
        <v>15.862000000000002</v>
      </c>
      <c r="AI42" s="73">
        <v>18.795999999999999</v>
      </c>
    </row>
    <row r="45" spans="1:35">
      <c r="A45" s="72">
        <v>46161</v>
      </c>
      <c r="B45">
        <v>1</v>
      </c>
      <c r="C45">
        <v>2</v>
      </c>
      <c r="D45">
        <v>3</v>
      </c>
      <c r="E45">
        <v>4</v>
      </c>
      <c r="F45">
        <v>5</v>
      </c>
      <c r="G45">
        <v>6</v>
      </c>
      <c r="H45">
        <v>7</v>
      </c>
      <c r="I45">
        <v>8</v>
      </c>
      <c r="J45">
        <v>9</v>
      </c>
      <c r="K45">
        <v>10</v>
      </c>
      <c r="L45">
        <v>11</v>
      </c>
      <c r="M45">
        <v>12</v>
      </c>
      <c r="N45">
        <v>13</v>
      </c>
      <c r="O45">
        <v>14</v>
      </c>
      <c r="P45">
        <v>15</v>
      </c>
      <c r="Q45">
        <v>16</v>
      </c>
      <c r="R45">
        <v>17</v>
      </c>
      <c r="S45">
        <v>18</v>
      </c>
      <c r="T45">
        <v>19</v>
      </c>
      <c r="U45">
        <v>20</v>
      </c>
      <c r="V45">
        <v>21</v>
      </c>
      <c r="W45">
        <v>22</v>
      </c>
      <c r="X45">
        <v>23</v>
      </c>
      <c r="Y45">
        <v>24</v>
      </c>
      <c r="Z45">
        <v>25</v>
      </c>
      <c r="AA45">
        <v>26</v>
      </c>
      <c r="AB45">
        <v>27</v>
      </c>
      <c r="AC45">
        <v>28</v>
      </c>
      <c r="AD45">
        <v>29</v>
      </c>
      <c r="AE45">
        <v>30</v>
      </c>
      <c r="AF45">
        <v>31</v>
      </c>
      <c r="AG45">
        <v>32</v>
      </c>
      <c r="AH45">
        <v>33</v>
      </c>
      <c r="AI45">
        <v>34</v>
      </c>
    </row>
    <row r="46" spans="1:35">
      <c r="A46" s="1" t="s">
        <v>113</v>
      </c>
      <c r="B46" s="45" t="s">
        <v>79</v>
      </c>
      <c r="C46" s="45" t="s">
        <v>80</v>
      </c>
      <c r="D46" s="45" t="s">
        <v>81</v>
      </c>
      <c r="E46" s="45" t="s">
        <v>82</v>
      </c>
      <c r="F46" s="45" t="s">
        <v>83</v>
      </c>
      <c r="G46" s="45" t="s">
        <v>84</v>
      </c>
      <c r="H46" s="45" t="s">
        <v>85</v>
      </c>
      <c r="I46" s="45" t="s">
        <v>86</v>
      </c>
      <c r="J46" s="45" t="s">
        <v>87</v>
      </c>
      <c r="K46" s="45" t="s">
        <v>88</v>
      </c>
      <c r="L46" s="45" t="s">
        <v>89</v>
      </c>
      <c r="M46" s="45" t="s">
        <v>90</v>
      </c>
      <c r="N46" s="45" t="s">
        <v>91</v>
      </c>
      <c r="O46" s="45" t="s">
        <v>92</v>
      </c>
      <c r="P46" s="45" t="s">
        <v>93</v>
      </c>
      <c r="Q46" s="45" t="s">
        <v>94</v>
      </c>
      <c r="R46" s="45" t="s">
        <v>95</v>
      </c>
      <c r="S46" s="45" t="s">
        <v>96</v>
      </c>
      <c r="T46" s="45" t="s">
        <v>97</v>
      </c>
      <c r="U46" s="45" t="s">
        <v>98</v>
      </c>
      <c r="V46" s="45" t="s">
        <v>99</v>
      </c>
      <c r="W46" s="45" t="s">
        <v>100</v>
      </c>
      <c r="X46" s="45" t="s">
        <v>101</v>
      </c>
      <c r="Y46" s="48" t="s">
        <v>102</v>
      </c>
      <c r="Z46" s="45" t="s">
        <v>103</v>
      </c>
      <c r="AA46" s="45" t="s">
        <v>104</v>
      </c>
      <c r="AB46" s="45" t="s">
        <v>105</v>
      </c>
      <c r="AC46" s="45" t="s">
        <v>106</v>
      </c>
      <c r="AD46" s="45" t="s">
        <v>107</v>
      </c>
      <c r="AE46" s="45" t="s">
        <v>108</v>
      </c>
      <c r="AF46" s="45" t="s">
        <v>109</v>
      </c>
      <c r="AG46" s="45" t="s">
        <v>110</v>
      </c>
      <c r="AH46" s="45" t="s">
        <v>111</v>
      </c>
      <c r="AI46" s="45" t="s">
        <v>112</v>
      </c>
    </row>
    <row r="47" spans="1:35">
      <c r="A47" s="1" t="s">
        <v>73</v>
      </c>
      <c r="B47" s="1">
        <v>17.28000000000003</v>
      </c>
      <c r="C47" s="1">
        <v>2.9689999999999941</v>
      </c>
      <c r="D47" s="1">
        <v>20.757999999999996</v>
      </c>
      <c r="E47" s="1">
        <v>14.878</v>
      </c>
      <c r="F47" s="2">
        <v>0</v>
      </c>
      <c r="G47" s="1">
        <v>40.340000000000003</v>
      </c>
      <c r="H47" s="1">
        <v>62.812999999999988</v>
      </c>
      <c r="I47" s="11">
        <v>4.9418100000000003</v>
      </c>
      <c r="J47" s="1">
        <v>21.413999999999987</v>
      </c>
      <c r="K47" s="1">
        <v>21.208000000000002</v>
      </c>
      <c r="L47" s="1">
        <v>37.896999999999991</v>
      </c>
      <c r="M47" s="1">
        <v>31.466000000000001</v>
      </c>
      <c r="N47" s="1">
        <v>19.846000000000004</v>
      </c>
      <c r="O47" s="1">
        <v>21.849000000000004</v>
      </c>
      <c r="P47" s="1">
        <v>11.297999999999998</v>
      </c>
      <c r="Q47" s="1">
        <v>18.11699999999999</v>
      </c>
      <c r="R47" s="1">
        <v>30.305</v>
      </c>
      <c r="S47" s="1">
        <v>31.749999999999996</v>
      </c>
      <c r="T47" s="1">
        <v>0</v>
      </c>
      <c r="U47" s="1">
        <v>20.271000000000001</v>
      </c>
      <c r="V47" s="1">
        <v>23.749999999999996</v>
      </c>
      <c r="W47" s="1">
        <v>5.4649999999999963</v>
      </c>
      <c r="X47" s="1">
        <v>21.07</v>
      </c>
      <c r="Y47" s="1">
        <v>18.103000000000002</v>
      </c>
      <c r="Z47" s="1">
        <v>25.516000000000002</v>
      </c>
      <c r="AA47" s="1">
        <v>3.548</v>
      </c>
      <c r="AB47" s="1">
        <v>25.125999999999994</v>
      </c>
      <c r="AC47" s="1">
        <v>83.575000000000003</v>
      </c>
      <c r="AD47" s="1">
        <v>21.154999999999973</v>
      </c>
      <c r="AE47" s="1">
        <v>29.980000000000004</v>
      </c>
      <c r="AF47" s="1">
        <v>43.781000000000006</v>
      </c>
      <c r="AG47" s="1">
        <v>41.984999999999999</v>
      </c>
      <c r="AH47" s="1">
        <v>21.636999999999997</v>
      </c>
      <c r="AI47" s="73">
        <v>14.433000000000003</v>
      </c>
    </row>
    <row r="48" spans="1:35">
      <c r="A48" s="1" t="s">
        <v>114</v>
      </c>
      <c r="B48" s="1">
        <v>114.26999999999998</v>
      </c>
      <c r="C48" s="1">
        <v>25.879000000000019</v>
      </c>
      <c r="D48" s="1">
        <v>84.489999999999952</v>
      </c>
      <c r="E48" s="1">
        <v>161.95400000000001</v>
      </c>
      <c r="F48" s="2">
        <v>2.9753977059954195E-14</v>
      </c>
      <c r="G48" s="1">
        <v>78.639999999999986</v>
      </c>
      <c r="H48" s="1">
        <v>70.135999999999981</v>
      </c>
      <c r="I48" s="11">
        <v>13.952384999999992</v>
      </c>
      <c r="J48" s="1">
        <v>21.580000000000005</v>
      </c>
      <c r="K48" s="1">
        <v>35.38600000000001</v>
      </c>
      <c r="L48" s="1">
        <v>76.887</v>
      </c>
      <c r="M48" s="1">
        <v>74.849000000000004</v>
      </c>
      <c r="N48" s="1">
        <v>3.9640000000000128</v>
      </c>
      <c r="O48" s="1">
        <v>92.495000000000005</v>
      </c>
      <c r="P48" s="1">
        <v>23.444000000000003</v>
      </c>
      <c r="Q48" s="1">
        <v>261.709</v>
      </c>
      <c r="R48" s="1">
        <v>64.830000000000013</v>
      </c>
      <c r="S48" s="1">
        <v>81.340999999999994</v>
      </c>
      <c r="T48" s="1">
        <v>108.84700000000002</v>
      </c>
      <c r="U48" s="1">
        <v>30.830000000000013</v>
      </c>
      <c r="V48" s="1">
        <v>16.434999999999995</v>
      </c>
      <c r="W48" s="1">
        <v>44.375</v>
      </c>
      <c r="X48" s="1">
        <v>118.765</v>
      </c>
      <c r="Y48" s="1">
        <v>54.90300000000002</v>
      </c>
      <c r="Z48" s="1">
        <v>116.32900000000001</v>
      </c>
      <c r="AA48" s="1">
        <v>168.53199999999995</v>
      </c>
      <c r="AB48" s="1">
        <v>52.903000000000006</v>
      </c>
      <c r="AC48" s="1">
        <v>11.838999999999999</v>
      </c>
      <c r="AD48" s="1">
        <v>5.4349999999999996</v>
      </c>
      <c r="AE48" s="1">
        <v>110.726</v>
      </c>
      <c r="AF48" s="1">
        <v>22.71</v>
      </c>
      <c r="AG48" s="1">
        <v>51.920999999999992</v>
      </c>
      <c r="AH48" s="1">
        <v>18.048999999999996</v>
      </c>
      <c r="AI48" s="73">
        <v>15.978999999999996</v>
      </c>
    </row>
    <row r="49" spans="1:35">
      <c r="A49" s="1" t="s">
        <v>75</v>
      </c>
      <c r="B49" s="1">
        <v>3.230000000000004</v>
      </c>
      <c r="C49" s="1">
        <v>37.981999999999999</v>
      </c>
      <c r="D49" s="1">
        <v>8.3640000000000043</v>
      </c>
      <c r="E49" s="1">
        <v>0</v>
      </c>
      <c r="F49" s="2">
        <v>8.0910000000000011</v>
      </c>
      <c r="G49" s="1">
        <v>18.529999999999994</v>
      </c>
      <c r="H49" s="1">
        <v>47.360999999999997</v>
      </c>
      <c r="I49" s="11">
        <v>0</v>
      </c>
      <c r="J49" s="1">
        <v>10.744999999999997</v>
      </c>
      <c r="K49" s="1">
        <v>0</v>
      </c>
      <c r="L49" s="1">
        <v>0</v>
      </c>
      <c r="M49" s="1">
        <v>27.004000000000001</v>
      </c>
      <c r="N49" s="1">
        <v>46.249000000000002</v>
      </c>
      <c r="O49" s="1">
        <v>0</v>
      </c>
      <c r="P49" s="1">
        <v>0</v>
      </c>
      <c r="Q49" s="1">
        <v>20.676000000000005</v>
      </c>
      <c r="R49" s="1">
        <v>42.122</v>
      </c>
      <c r="S49" s="1">
        <v>10.678000000000001</v>
      </c>
      <c r="T49" s="1">
        <v>44.901000000000003</v>
      </c>
      <c r="U49" s="1">
        <v>20.76</v>
      </c>
      <c r="V49" s="1">
        <v>6.8349999999999991</v>
      </c>
      <c r="W49" s="1">
        <v>25.355000000000004</v>
      </c>
      <c r="X49" s="1">
        <v>52.65</v>
      </c>
      <c r="Y49" s="1">
        <v>6.6780000000000017</v>
      </c>
      <c r="Z49" s="1">
        <v>3.6819999999999999</v>
      </c>
      <c r="AA49" s="1">
        <v>27.747000000000003</v>
      </c>
      <c r="AB49" s="1">
        <v>65.44</v>
      </c>
      <c r="AC49" s="1">
        <v>17.065999999999999</v>
      </c>
      <c r="AD49" s="1">
        <v>1.7399999999999993</v>
      </c>
      <c r="AE49" s="1">
        <v>13.425999999999995</v>
      </c>
      <c r="AF49" s="1">
        <v>0</v>
      </c>
      <c r="AG49" s="1">
        <v>59.295000000000002</v>
      </c>
      <c r="AH49" s="1">
        <v>9.8219999999999992</v>
      </c>
      <c r="AI49" s="73">
        <v>11.068999999999999</v>
      </c>
    </row>
    <row r="50" spans="1:35">
      <c r="A50" s="1" t="s">
        <v>115</v>
      </c>
      <c r="B50" s="1">
        <v>0</v>
      </c>
      <c r="C50" s="1">
        <v>0</v>
      </c>
      <c r="D50" s="1">
        <v>0</v>
      </c>
      <c r="E50" s="1">
        <v>0</v>
      </c>
      <c r="F50" s="2">
        <v>0</v>
      </c>
      <c r="G50" s="1">
        <v>0</v>
      </c>
      <c r="H50" s="1">
        <v>0</v>
      </c>
      <c r="I50" s="1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73">
        <v>0</v>
      </c>
    </row>
    <row r="51" spans="1:35">
      <c r="A51" s="1" t="s">
        <v>76</v>
      </c>
      <c r="B51" s="1">
        <v>28.79999999999999</v>
      </c>
      <c r="C51" s="1">
        <v>0.83599999999999497</v>
      </c>
      <c r="D51" s="1">
        <v>7.4260000000000055</v>
      </c>
      <c r="E51" s="1">
        <v>129.88800000000001</v>
      </c>
      <c r="F51" s="2">
        <v>0</v>
      </c>
      <c r="G51" s="1">
        <v>34.240000000000009</v>
      </c>
      <c r="H51" s="1">
        <v>11.019</v>
      </c>
      <c r="I51" s="11">
        <v>10.29980999999999</v>
      </c>
      <c r="J51" s="1">
        <v>7.7239999999999984</v>
      </c>
      <c r="K51" s="1">
        <v>20.212000000000003</v>
      </c>
      <c r="L51" s="1">
        <v>38.114999999999995</v>
      </c>
      <c r="M51" s="1">
        <v>8.2739999999999991</v>
      </c>
      <c r="N51" s="1">
        <v>0.2289999999999992</v>
      </c>
      <c r="O51" s="1">
        <v>85.731999999999999</v>
      </c>
      <c r="P51" s="1">
        <v>13.207999999999998</v>
      </c>
      <c r="Q51" s="1">
        <v>123.06900000000002</v>
      </c>
      <c r="R51" s="1">
        <v>32.255000000000003</v>
      </c>
      <c r="S51" s="1">
        <v>6.1361000000000008</v>
      </c>
      <c r="T51" s="1">
        <v>0</v>
      </c>
      <c r="U51" s="1">
        <v>44.551999999999992</v>
      </c>
      <c r="V51" s="1">
        <v>29.685000000000002</v>
      </c>
      <c r="W51" s="1">
        <v>15.569999999999999</v>
      </c>
      <c r="X51" s="1">
        <v>0</v>
      </c>
      <c r="Y51" s="1">
        <v>27.908000000000005</v>
      </c>
      <c r="Z51" s="1">
        <v>27.616</v>
      </c>
      <c r="AA51" s="1">
        <v>48.225000000000001</v>
      </c>
      <c r="AB51" s="1">
        <v>19.594000000000001</v>
      </c>
      <c r="AC51" s="1">
        <v>17.302</v>
      </c>
      <c r="AD51" s="1">
        <v>3.5549999999999997</v>
      </c>
      <c r="AE51" s="1">
        <v>11.635</v>
      </c>
      <c r="AF51" s="1">
        <v>30.828999999999997</v>
      </c>
      <c r="AG51" s="1">
        <v>11.497</v>
      </c>
      <c r="AH51" s="1">
        <v>29.144000000000002</v>
      </c>
      <c r="AI51" s="73">
        <v>17.335000000000001</v>
      </c>
    </row>
    <row r="54" spans="1:35">
      <c r="A54" s="72">
        <v>46162</v>
      </c>
      <c r="B54">
        <v>1</v>
      </c>
      <c r="C54">
        <v>2</v>
      </c>
      <c r="D54">
        <v>3</v>
      </c>
      <c r="E54">
        <v>4</v>
      </c>
      <c r="F54">
        <v>5</v>
      </c>
      <c r="G54">
        <v>6</v>
      </c>
      <c r="H54">
        <v>7</v>
      </c>
      <c r="I54">
        <v>8</v>
      </c>
      <c r="J54">
        <v>9</v>
      </c>
      <c r="K54">
        <v>10</v>
      </c>
      <c r="L54">
        <v>11</v>
      </c>
      <c r="M54">
        <v>12</v>
      </c>
      <c r="N54">
        <v>13</v>
      </c>
      <c r="O54">
        <v>14</v>
      </c>
      <c r="P54">
        <v>15</v>
      </c>
      <c r="Q54">
        <v>16</v>
      </c>
      <c r="R54">
        <v>17</v>
      </c>
      <c r="S54">
        <v>18</v>
      </c>
      <c r="T54">
        <v>19</v>
      </c>
      <c r="U54">
        <v>20</v>
      </c>
      <c r="V54">
        <v>21</v>
      </c>
      <c r="W54">
        <v>22</v>
      </c>
      <c r="X54">
        <v>23</v>
      </c>
      <c r="Y54">
        <v>24</v>
      </c>
      <c r="Z54">
        <v>25</v>
      </c>
      <c r="AA54">
        <v>26</v>
      </c>
      <c r="AB54">
        <v>27</v>
      </c>
      <c r="AC54">
        <v>28</v>
      </c>
      <c r="AD54">
        <v>29</v>
      </c>
      <c r="AE54">
        <v>30</v>
      </c>
      <c r="AF54">
        <v>31</v>
      </c>
      <c r="AG54">
        <v>32</v>
      </c>
      <c r="AH54">
        <v>33</v>
      </c>
      <c r="AI54">
        <v>34</v>
      </c>
    </row>
    <row r="55" spans="1:35">
      <c r="A55" s="1" t="s">
        <v>113</v>
      </c>
      <c r="B55" s="45" t="s">
        <v>79</v>
      </c>
      <c r="C55" s="45" t="s">
        <v>80</v>
      </c>
      <c r="D55" s="45" t="s">
        <v>81</v>
      </c>
      <c r="E55" s="45" t="s">
        <v>82</v>
      </c>
      <c r="F55" s="45" t="s">
        <v>83</v>
      </c>
      <c r="G55" s="45" t="s">
        <v>84</v>
      </c>
      <c r="H55" s="45" t="s">
        <v>85</v>
      </c>
      <c r="I55" s="45" t="s">
        <v>86</v>
      </c>
      <c r="J55" s="45" t="s">
        <v>87</v>
      </c>
      <c r="K55" s="45" t="s">
        <v>88</v>
      </c>
      <c r="L55" s="45" t="s">
        <v>89</v>
      </c>
      <c r="M55" s="45" t="s">
        <v>90</v>
      </c>
      <c r="N55" s="45" t="s">
        <v>91</v>
      </c>
      <c r="O55" s="45" t="s">
        <v>92</v>
      </c>
      <c r="P55" s="45" t="s">
        <v>93</v>
      </c>
      <c r="Q55" s="45" t="s">
        <v>94</v>
      </c>
      <c r="R55" s="45" t="s">
        <v>95</v>
      </c>
      <c r="S55" s="45" t="s">
        <v>96</v>
      </c>
      <c r="T55" s="45" t="s">
        <v>97</v>
      </c>
      <c r="U55" s="45" t="s">
        <v>98</v>
      </c>
      <c r="V55" s="45" t="s">
        <v>99</v>
      </c>
      <c r="W55" s="45" t="s">
        <v>100</v>
      </c>
      <c r="X55" s="45" t="s">
        <v>101</v>
      </c>
      <c r="Y55" s="48" t="s">
        <v>102</v>
      </c>
      <c r="Z55" s="45" t="s">
        <v>103</v>
      </c>
      <c r="AA55" s="45" t="s">
        <v>104</v>
      </c>
      <c r="AB55" s="45" t="s">
        <v>105</v>
      </c>
      <c r="AC55" s="45" t="s">
        <v>106</v>
      </c>
      <c r="AD55" s="45" t="s">
        <v>107</v>
      </c>
      <c r="AE55" s="45" t="s">
        <v>108</v>
      </c>
      <c r="AF55" s="45" t="s">
        <v>109</v>
      </c>
      <c r="AG55" s="45" t="s">
        <v>110</v>
      </c>
      <c r="AH55" s="45" t="s">
        <v>111</v>
      </c>
      <c r="AI55" s="45" t="s">
        <v>112</v>
      </c>
    </row>
    <row r="56" spans="1:35">
      <c r="A56" s="1" t="s">
        <v>73</v>
      </c>
      <c r="B56" s="1">
        <v>29.195000000000022</v>
      </c>
      <c r="C56" s="1">
        <v>3.3260000000000005</v>
      </c>
      <c r="D56" s="1">
        <v>0</v>
      </c>
      <c r="E56" s="1">
        <v>51</v>
      </c>
      <c r="F56" s="2">
        <v>0</v>
      </c>
      <c r="G56" s="1">
        <v>51.11</v>
      </c>
      <c r="H56" s="1">
        <v>40.284999999999997</v>
      </c>
      <c r="I56" s="11">
        <v>20.558139999999998</v>
      </c>
      <c r="J56" s="1">
        <v>5.637999999999991</v>
      </c>
      <c r="K56" s="1">
        <v>22.946999999999999</v>
      </c>
      <c r="L56" s="1">
        <v>120.63099999999997</v>
      </c>
      <c r="M56" s="1">
        <v>28.838999999999999</v>
      </c>
      <c r="N56" s="1">
        <v>3.1479999999999961</v>
      </c>
      <c r="O56" s="1">
        <v>6.5740000000000016</v>
      </c>
      <c r="P56" s="1">
        <v>18.048999999999999</v>
      </c>
      <c r="Q56" s="1">
        <v>28.012999999999991</v>
      </c>
      <c r="R56" s="1">
        <v>26.542000000000002</v>
      </c>
      <c r="S56" s="1">
        <v>18.593000000000004</v>
      </c>
      <c r="T56" s="1">
        <v>5.7149999999999999</v>
      </c>
      <c r="U56" s="1">
        <v>34.677999999999997</v>
      </c>
      <c r="V56" s="1">
        <v>6.7150000000000034</v>
      </c>
      <c r="W56" s="1">
        <v>9.4049999999999976</v>
      </c>
      <c r="X56" s="1">
        <v>32.340000000000003</v>
      </c>
      <c r="Y56" s="1">
        <v>0</v>
      </c>
      <c r="Z56" s="1">
        <v>52.505999999999993</v>
      </c>
      <c r="AA56" s="1">
        <v>0.221</v>
      </c>
      <c r="AB56" s="1">
        <v>38.515999999999998</v>
      </c>
      <c r="AC56" s="1">
        <v>44.453000000000003</v>
      </c>
      <c r="AD56" s="1">
        <v>12.914999999999992</v>
      </c>
      <c r="AE56" s="1">
        <v>19.984000000000002</v>
      </c>
      <c r="AF56" s="1">
        <v>38.218000000000004</v>
      </c>
      <c r="AG56" s="1">
        <v>30.757000000000001</v>
      </c>
      <c r="AH56" s="1">
        <v>15.976000000000006</v>
      </c>
      <c r="AI56" s="73">
        <v>32.463000000000001</v>
      </c>
    </row>
    <row r="57" spans="1:35">
      <c r="A57" s="1" t="s">
        <v>114</v>
      </c>
      <c r="B57" s="1">
        <v>124.56</v>
      </c>
      <c r="C57" s="1">
        <v>67.670000000000016</v>
      </c>
      <c r="D57" s="1">
        <v>71.250999999999976</v>
      </c>
      <c r="E57" s="1">
        <v>213.18999999999994</v>
      </c>
      <c r="F57" s="2">
        <v>2.9753977059954195E-14</v>
      </c>
      <c r="G57" s="1">
        <v>55.291999999999987</v>
      </c>
      <c r="H57" s="1">
        <v>351.82599999999996</v>
      </c>
      <c r="I57" s="11">
        <v>112.75121499999997</v>
      </c>
      <c r="J57" s="1">
        <v>19.806000000000015</v>
      </c>
      <c r="K57" s="1">
        <v>60.52600000000001</v>
      </c>
      <c r="L57" s="1">
        <v>82.260999999999996</v>
      </c>
      <c r="M57" s="1">
        <v>5.8990000000000133</v>
      </c>
      <c r="N57" s="1">
        <v>53.282999999999987</v>
      </c>
      <c r="O57" s="1">
        <v>93.103999999999999</v>
      </c>
      <c r="P57" s="1">
        <v>24.910000000000011</v>
      </c>
      <c r="Q57" s="1">
        <v>283.95100000000002</v>
      </c>
      <c r="R57" s="1">
        <v>69.48599999999999</v>
      </c>
      <c r="S57" s="1">
        <v>32.061999999999998</v>
      </c>
      <c r="T57" s="1">
        <v>101.077</v>
      </c>
      <c r="U57" s="1">
        <v>29.259</v>
      </c>
      <c r="V57" s="1">
        <v>17.920000000000002</v>
      </c>
      <c r="W57" s="1">
        <v>41.150000000000006</v>
      </c>
      <c r="X57" s="1">
        <v>106.895</v>
      </c>
      <c r="Y57" s="1">
        <v>40.282999999999987</v>
      </c>
      <c r="Z57" s="1">
        <v>149.66800000000001</v>
      </c>
      <c r="AA57" s="1">
        <v>151.149</v>
      </c>
      <c r="AB57" s="1">
        <v>48.741999999999962</v>
      </c>
      <c r="AC57" s="1">
        <v>49.233000000000004</v>
      </c>
      <c r="AD57" s="1">
        <v>1.1649999999999991</v>
      </c>
      <c r="AE57" s="1">
        <v>84.798000000000002</v>
      </c>
      <c r="AF57" s="1">
        <v>19.167000000000002</v>
      </c>
      <c r="AG57" s="1">
        <v>31.894000000000002</v>
      </c>
      <c r="AH57" s="1">
        <v>23.063000000000009</v>
      </c>
      <c r="AI57" s="73">
        <v>7.5089999999999986</v>
      </c>
    </row>
    <row r="58" spans="1:35">
      <c r="A58" s="1" t="s">
        <v>75</v>
      </c>
      <c r="B58" s="1">
        <v>16.279999999999994</v>
      </c>
      <c r="C58" s="1">
        <v>22.321999999999999</v>
      </c>
      <c r="D58" s="1">
        <v>10.874000000000006</v>
      </c>
      <c r="E58" s="1">
        <v>0</v>
      </c>
      <c r="F58" s="2">
        <v>8.0910000000000011</v>
      </c>
      <c r="G58" s="1">
        <v>45.550000000000004</v>
      </c>
      <c r="H58" s="1">
        <v>41.604999999999997</v>
      </c>
      <c r="I58" s="11">
        <v>0</v>
      </c>
      <c r="J58" s="1">
        <v>5.4640000000000004</v>
      </c>
      <c r="K58" s="1">
        <v>0</v>
      </c>
      <c r="L58" s="1">
        <v>11.525999999999998</v>
      </c>
      <c r="M58" s="1">
        <v>25.068999999999999</v>
      </c>
      <c r="N58" s="1">
        <v>37.448</v>
      </c>
      <c r="O58" s="1">
        <v>0</v>
      </c>
      <c r="P58" s="1">
        <v>0</v>
      </c>
      <c r="Q58" s="1">
        <v>7.1500000000000057</v>
      </c>
      <c r="R58" s="1">
        <v>39.787999999999997</v>
      </c>
      <c r="S58" s="1">
        <v>19.387000000000004</v>
      </c>
      <c r="T58" s="1">
        <v>36.685000000000002</v>
      </c>
      <c r="U58" s="1">
        <v>31.190999999999999</v>
      </c>
      <c r="V58" s="1">
        <v>5</v>
      </c>
      <c r="W58" s="1">
        <v>22.67</v>
      </c>
      <c r="X58" s="1">
        <v>41.62</v>
      </c>
      <c r="Y58" s="1">
        <v>23.11</v>
      </c>
      <c r="Z58" s="1">
        <v>-0.6339999999999999</v>
      </c>
      <c r="AA58" s="1">
        <v>21.7</v>
      </c>
      <c r="AB58" s="1">
        <v>61.097999999999999</v>
      </c>
      <c r="AC58" s="1">
        <v>43.284000000000006</v>
      </c>
      <c r="AD58" s="1">
        <v>4.7749999999999995</v>
      </c>
      <c r="AE58" s="1">
        <v>4.2460000000000004</v>
      </c>
      <c r="AF58" s="1">
        <v>0</v>
      </c>
      <c r="AG58" s="1">
        <v>50.230000000000004</v>
      </c>
      <c r="AH58" s="1">
        <v>4.145999999999999</v>
      </c>
      <c r="AI58" s="73">
        <v>37.744</v>
      </c>
    </row>
    <row r="59" spans="1:35">
      <c r="A59" s="1" t="s">
        <v>115</v>
      </c>
      <c r="B59" s="1">
        <v>0</v>
      </c>
      <c r="C59" s="1">
        <v>0</v>
      </c>
      <c r="D59" s="1">
        <v>0</v>
      </c>
      <c r="E59" s="1">
        <v>0</v>
      </c>
      <c r="F59" s="2">
        <v>0</v>
      </c>
      <c r="G59" s="1">
        <v>0</v>
      </c>
      <c r="H59" s="1">
        <v>0</v>
      </c>
      <c r="I59" s="1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73">
        <v>0</v>
      </c>
    </row>
    <row r="60" spans="1:35">
      <c r="A60" s="1" t="s">
        <v>76</v>
      </c>
      <c r="B60" s="1">
        <v>36.809999999999988</v>
      </c>
      <c r="C60" s="1">
        <v>3.1599999999999966</v>
      </c>
      <c r="D60" s="1">
        <v>12.226000000000006</v>
      </c>
      <c r="E60" s="1">
        <v>116.295</v>
      </c>
      <c r="F60" s="2">
        <v>0</v>
      </c>
      <c r="G60" s="1">
        <v>31.740000000000002</v>
      </c>
      <c r="H60" s="1">
        <v>14.150999999999996</v>
      </c>
      <c r="I60" s="11">
        <v>1.8479399999999906</v>
      </c>
      <c r="J60" s="1">
        <v>10.322000000000003</v>
      </c>
      <c r="K60" s="1">
        <v>29.558</v>
      </c>
      <c r="L60" s="1">
        <v>32.195</v>
      </c>
      <c r="M60" s="1">
        <v>9.5280000000000022</v>
      </c>
      <c r="N60" s="1">
        <v>11.998000000000001</v>
      </c>
      <c r="O60" s="1">
        <v>65.786000000000001</v>
      </c>
      <c r="P60" s="1">
        <v>4.9959999999999969</v>
      </c>
      <c r="Q60" s="1">
        <v>111.15500000000003</v>
      </c>
      <c r="R60" s="1">
        <v>38.184000000000005</v>
      </c>
      <c r="S60" s="1">
        <v>0</v>
      </c>
      <c r="T60" s="1">
        <v>4.8254999999999981</v>
      </c>
      <c r="U60" s="1">
        <v>35.491999999999997</v>
      </c>
      <c r="V60" s="1">
        <v>26.664999999999999</v>
      </c>
      <c r="W60" s="1">
        <v>12.894999999999998</v>
      </c>
      <c r="X60" s="1">
        <v>6.7909999999999968</v>
      </c>
      <c r="Y60" s="1">
        <v>17.724000000000004</v>
      </c>
      <c r="Z60" s="1">
        <v>24.292000000000002</v>
      </c>
      <c r="AA60" s="1">
        <v>65.938000000000002</v>
      </c>
      <c r="AB60" s="1">
        <v>11.272000000000002</v>
      </c>
      <c r="AC60" s="1">
        <v>15.292999999999999</v>
      </c>
      <c r="AD60" s="1">
        <v>1.5249999999999999</v>
      </c>
      <c r="AE60" s="1">
        <v>22.912999999999997</v>
      </c>
      <c r="AF60" s="1">
        <v>29.709000000000003</v>
      </c>
      <c r="AG60" s="1">
        <v>2.5429999999999993</v>
      </c>
      <c r="AH60" s="1">
        <v>21.589999999999996</v>
      </c>
      <c r="AI60" s="73">
        <v>16.695</v>
      </c>
    </row>
    <row r="63" spans="1:35">
      <c r="A63" s="72">
        <v>46163</v>
      </c>
      <c r="B63">
        <v>1</v>
      </c>
      <c r="C63">
        <v>2</v>
      </c>
      <c r="D63">
        <v>3</v>
      </c>
      <c r="E63">
        <v>4</v>
      </c>
      <c r="F63">
        <v>5</v>
      </c>
      <c r="G63">
        <v>6</v>
      </c>
      <c r="H63">
        <v>7</v>
      </c>
      <c r="I63">
        <v>8</v>
      </c>
      <c r="J63">
        <v>9</v>
      </c>
      <c r="K63">
        <v>10</v>
      </c>
      <c r="L63">
        <v>11</v>
      </c>
      <c r="M63">
        <v>12</v>
      </c>
      <c r="N63">
        <v>13</v>
      </c>
      <c r="O63">
        <v>14</v>
      </c>
      <c r="P63">
        <v>15</v>
      </c>
      <c r="Q63">
        <v>16</v>
      </c>
      <c r="R63">
        <v>17</v>
      </c>
      <c r="S63">
        <v>18</v>
      </c>
      <c r="T63">
        <v>19</v>
      </c>
      <c r="U63">
        <v>20</v>
      </c>
      <c r="V63">
        <v>21</v>
      </c>
      <c r="W63">
        <v>22</v>
      </c>
      <c r="X63">
        <v>23</v>
      </c>
      <c r="Y63">
        <v>24</v>
      </c>
      <c r="Z63">
        <v>25</v>
      </c>
      <c r="AA63">
        <v>26</v>
      </c>
      <c r="AB63">
        <v>27</v>
      </c>
      <c r="AC63">
        <v>28</v>
      </c>
      <c r="AD63">
        <v>29</v>
      </c>
      <c r="AE63">
        <v>30</v>
      </c>
      <c r="AF63">
        <v>31</v>
      </c>
      <c r="AG63">
        <v>32</v>
      </c>
      <c r="AH63">
        <v>33</v>
      </c>
      <c r="AI63">
        <v>34</v>
      </c>
    </row>
    <row r="64" spans="1:35">
      <c r="A64" s="1" t="s">
        <v>113</v>
      </c>
      <c r="B64" s="45" t="s">
        <v>79</v>
      </c>
      <c r="C64" s="45" t="s">
        <v>80</v>
      </c>
      <c r="D64" s="45" t="s">
        <v>81</v>
      </c>
      <c r="E64" s="45" t="s">
        <v>82</v>
      </c>
      <c r="F64" s="45" t="s">
        <v>83</v>
      </c>
      <c r="G64" s="45" t="s">
        <v>84</v>
      </c>
      <c r="H64" s="45" t="s">
        <v>85</v>
      </c>
      <c r="I64" s="45" t="s">
        <v>86</v>
      </c>
      <c r="J64" s="45" t="s">
        <v>87</v>
      </c>
      <c r="K64" s="45" t="s">
        <v>88</v>
      </c>
      <c r="L64" s="45" t="s">
        <v>89</v>
      </c>
      <c r="M64" s="45" t="s">
        <v>90</v>
      </c>
      <c r="N64" s="45" t="s">
        <v>91</v>
      </c>
      <c r="O64" s="45" t="s">
        <v>92</v>
      </c>
      <c r="P64" s="45" t="s">
        <v>93</v>
      </c>
      <c r="Q64" s="45" t="s">
        <v>94</v>
      </c>
      <c r="R64" s="45" t="s">
        <v>95</v>
      </c>
      <c r="S64" s="45" t="s">
        <v>96</v>
      </c>
      <c r="T64" s="45" t="s">
        <v>97</v>
      </c>
      <c r="U64" s="45" t="s">
        <v>98</v>
      </c>
      <c r="V64" s="45" t="s">
        <v>99</v>
      </c>
      <c r="W64" s="45" t="s">
        <v>100</v>
      </c>
      <c r="X64" s="45" t="s">
        <v>101</v>
      </c>
      <c r="Y64" s="48" t="s">
        <v>102</v>
      </c>
      <c r="Z64" s="45" t="s">
        <v>103</v>
      </c>
      <c r="AA64" s="45" t="s">
        <v>104</v>
      </c>
      <c r="AB64" s="45" t="s">
        <v>105</v>
      </c>
      <c r="AC64" s="45" t="s">
        <v>106</v>
      </c>
      <c r="AD64" s="45" t="s">
        <v>107</v>
      </c>
      <c r="AE64" s="45" t="s">
        <v>108</v>
      </c>
      <c r="AF64" s="45" t="s">
        <v>109</v>
      </c>
      <c r="AG64" s="45" t="s">
        <v>110</v>
      </c>
      <c r="AH64" s="45" t="s">
        <v>111</v>
      </c>
      <c r="AI64" s="45" t="s">
        <v>112</v>
      </c>
    </row>
    <row r="65" spans="1:35">
      <c r="A65" s="1" t="s">
        <v>73</v>
      </c>
      <c r="B65" s="1">
        <v>20.915000000000006</v>
      </c>
      <c r="C65" s="1">
        <v>2.9849999999999994</v>
      </c>
      <c r="D65" s="1">
        <v>0</v>
      </c>
      <c r="E65" s="1">
        <v>32.68</v>
      </c>
      <c r="F65" s="2">
        <v>8.8759999999999906</v>
      </c>
      <c r="G65" s="1">
        <v>24.53</v>
      </c>
      <c r="H65" s="1">
        <v>40.199000000000005</v>
      </c>
      <c r="I65" s="11">
        <v>25.663739999999997</v>
      </c>
      <c r="J65" s="1">
        <v>30.337000000000018</v>
      </c>
      <c r="K65" s="1">
        <v>6.9380000000000166</v>
      </c>
      <c r="L65" s="1">
        <v>30.099999999999994</v>
      </c>
      <c r="M65" s="1">
        <v>40.492999999999981</v>
      </c>
      <c r="N65" s="1">
        <v>26.131</v>
      </c>
      <c r="O65" s="1">
        <v>6.1190000000000282</v>
      </c>
      <c r="P65" s="1">
        <v>15.467999999999989</v>
      </c>
      <c r="Q65" s="1">
        <v>36.670999999999985</v>
      </c>
      <c r="R65" s="1">
        <v>19.150000000000002</v>
      </c>
      <c r="S65" s="1">
        <v>27.112000000000002</v>
      </c>
      <c r="T65" s="1">
        <v>13.534000000000002</v>
      </c>
      <c r="U65" s="1">
        <v>15.635999999999999</v>
      </c>
      <c r="V65" s="1">
        <v>11.994999999999997</v>
      </c>
      <c r="W65" s="1">
        <v>6.9499999999999993</v>
      </c>
      <c r="X65" s="1">
        <v>57.454999999999998</v>
      </c>
      <c r="Y65" s="1">
        <v>12.328000000000003</v>
      </c>
      <c r="Z65" s="1">
        <v>3.1139999999999901</v>
      </c>
      <c r="AA65" s="1">
        <v>3.7150000000000034</v>
      </c>
      <c r="AB65" s="1">
        <v>11.326000000000004</v>
      </c>
      <c r="AC65" s="1">
        <v>2.7999999999998693E-2</v>
      </c>
      <c r="AD65" s="1">
        <v>17.135000000000002</v>
      </c>
      <c r="AE65" s="1">
        <v>8.0470000000000006</v>
      </c>
      <c r="AF65" s="1">
        <v>18.059000000000001</v>
      </c>
      <c r="AG65" s="1">
        <v>5.8150000000000013</v>
      </c>
      <c r="AH65" s="1">
        <v>6.4319999999999951</v>
      </c>
      <c r="AI65" s="73">
        <v>25.165999999999997</v>
      </c>
    </row>
    <row r="66" spans="1:35">
      <c r="A66" s="1" t="s">
        <v>114</v>
      </c>
      <c r="B66" s="1">
        <v>64.711000000000013</v>
      </c>
      <c r="C66" s="1">
        <v>14.540000000000013</v>
      </c>
      <c r="D66" s="1">
        <v>75.643999999999977</v>
      </c>
      <c r="E66" s="1">
        <v>153.68299999999991</v>
      </c>
      <c r="F66" s="2">
        <v>39.441999999999972</v>
      </c>
      <c r="G66" s="1">
        <v>47.888000000000019</v>
      </c>
      <c r="H66" s="1">
        <v>42.833000000000013</v>
      </c>
      <c r="I66" s="11">
        <v>6.5730000000000075</v>
      </c>
      <c r="J66" s="1">
        <v>21.684999999999995</v>
      </c>
      <c r="K66" s="1">
        <v>83.551999999999992</v>
      </c>
      <c r="L66" s="1">
        <v>28.388000000000034</v>
      </c>
      <c r="M66" s="1">
        <v>27.998999999999967</v>
      </c>
      <c r="N66" s="1">
        <v>2.3279999999999998</v>
      </c>
      <c r="O66" s="1">
        <v>97.995900000000006</v>
      </c>
      <c r="P66" s="1">
        <v>15.051999999999996</v>
      </c>
      <c r="Q66" s="1">
        <v>60.752000000000038</v>
      </c>
      <c r="R66" s="1">
        <v>92.730000000000018</v>
      </c>
      <c r="S66" s="1">
        <v>24.397999999999996</v>
      </c>
      <c r="T66" s="1">
        <v>128.31400000000002</v>
      </c>
      <c r="U66" s="1">
        <v>28.982000000000003</v>
      </c>
      <c r="V66" s="1">
        <v>8.8199999999999967</v>
      </c>
      <c r="W66" s="1">
        <v>55.985000000000014</v>
      </c>
      <c r="X66" s="1">
        <v>106.94999999999999</v>
      </c>
      <c r="Y66" s="1">
        <v>37.705999999999989</v>
      </c>
      <c r="Z66" s="1">
        <v>220.065</v>
      </c>
      <c r="AA66" s="1">
        <v>139.08799999999999</v>
      </c>
      <c r="AB66" s="1">
        <v>76.926999999999992</v>
      </c>
      <c r="AC66" s="1">
        <v>7.68</v>
      </c>
      <c r="AD66" s="1">
        <v>6.45</v>
      </c>
      <c r="AE66" s="1">
        <v>71.2</v>
      </c>
      <c r="AF66" s="1">
        <v>16.914999999999999</v>
      </c>
      <c r="AG66" s="1">
        <v>0</v>
      </c>
      <c r="AH66" s="1">
        <v>20.627000000000002</v>
      </c>
      <c r="AI66" s="73">
        <v>9.3309999999999995</v>
      </c>
    </row>
    <row r="67" spans="1:35">
      <c r="A67" s="1" t="s">
        <v>75</v>
      </c>
      <c r="B67" s="1">
        <v>27.990000000000009</v>
      </c>
      <c r="C67" s="1">
        <v>1.8159999999999989</v>
      </c>
      <c r="D67" s="1">
        <v>22.395000000000003</v>
      </c>
      <c r="E67" s="1">
        <v>0</v>
      </c>
      <c r="F67" s="2">
        <v>49.486000000000004</v>
      </c>
      <c r="G67" s="1">
        <v>21.719999999999992</v>
      </c>
      <c r="H67" s="1">
        <v>26.684999999999995</v>
      </c>
      <c r="I67" s="11">
        <v>0</v>
      </c>
      <c r="J67" s="1">
        <v>0</v>
      </c>
      <c r="K67" s="1">
        <v>0</v>
      </c>
      <c r="L67" s="1">
        <v>0</v>
      </c>
      <c r="M67" s="1">
        <v>23.874999999999996</v>
      </c>
      <c r="N67" s="1">
        <v>32.088000000000001</v>
      </c>
      <c r="O67" s="1">
        <v>0</v>
      </c>
      <c r="P67" s="1">
        <v>0</v>
      </c>
      <c r="Q67" s="1">
        <v>23.388000000000005</v>
      </c>
      <c r="R67" s="1">
        <v>54.640999999999998</v>
      </c>
      <c r="S67" s="1">
        <v>11.393000000000001</v>
      </c>
      <c r="T67" s="1">
        <v>30.960000000000004</v>
      </c>
      <c r="U67" s="1">
        <v>29.105999999999998</v>
      </c>
      <c r="V67" s="1">
        <v>26.554999999999996</v>
      </c>
      <c r="W67" s="1">
        <v>19.245000000000001</v>
      </c>
      <c r="X67" s="1">
        <v>62.89500000000001</v>
      </c>
      <c r="Y67" s="1">
        <v>9.8990000000000009</v>
      </c>
      <c r="Z67" s="1">
        <v>7.6320000000000014</v>
      </c>
      <c r="AA67" s="1">
        <v>14.289000000000001</v>
      </c>
      <c r="AB67" s="1">
        <v>49.057000000000002</v>
      </c>
      <c r="AC67" s="1">
        <v>9.1259999999999994</v>
      </c>
      <c r="AD67" s="1">
        <v>2.6149999999999998</v>
      </c>
      <c r="AE67" s="1">
        <v>0</v>
      </c>
      <c r="AF67" s="1">
        <v>-3.81</v>
      </c>
      <c r="AG67" s="1">
        <v>49.550000000000004</v>
      </c>
      <c r="AH67" s="1">
        <v>25.468</v>
      </c>
      <c r="AI67" s="73">
        <v>36.369000000000007</v>
      </c>
    </row>
    <row r="68" spans="1:35">
      <c r="A68" s="1" t="s">
        <v>115</v>
      </c>
      <c r="B68" s="1">
        <v>0</v>
      </c>
      <c r="C68" s="1">
        <v>0</v>
      </c>
      <c r="D68" s="1">
        <v>0</v>
      </c>
      <c r="E68" s="1">
        <v>0</v>
      </c>
      <c r="F68" s="2">
        <v>0</v>
      </c>
      <c r="G68" s="1">
        <v>0</v>
      </c>
      <c r="H68" s="1">
        <v>0</v>
      </c>
      <c r="I68" s="1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73">
        <v>0</v>
      </c>
    </row>
    <row r="69" spans="1:35">
      <c r="A69" s="1" t="s">
        <v>76</v>
      </c>
      <c r="B69" s="1">
        <v>17.759999999999991</v>
      </c>
      <c r="C69" s="1">
        <v>1.093</v>
      </c>
      <c r="D69" s="1">
        <v>3.7359999999999989</v>
      </c>
      <c r="E69" s="1">
        <v>110.58</v>
      </c>
      <c r="F69" s="2">
        <v>0</v>
      </c>
      <c r="G69" s="1">
        <v>20.341999999999999</v>
      </c>
      <c r="H69" s="1">
        <v>8.394999999999996</v>
      </c>
      <c r="I69" s="11">
        <v>20.251669999999994</v>
      </c>
      <c r="J69" s="1">
        <v>10.662000000000003</v>
      </c>
      <c r="K69" s="1">
        <v>1.3939999999999984</v>
      </c>
      <c r="L69" s="1">
        <v>28.423999999999999</v>
      </c>
      <c r="M69" s="1">
        <v>14.393000000000008</v>
      </c>
      <c r="N69" s="1">
        <v>8.8840000000000003</v>
      </c>
      <c r="O69" s="1">
        <v>80.878</v>
      </c>
      <c r="P69" s="1">
        <v>27.617999999999999</v>
      </c>
      <c r="Q69" s="1">
        <v>106.95500000000003</v>
      </c>
      <c r="R69" s="1">
        <v>31.015000000000001</v>
      </c>
      <c r="S69" s="1">
        <v>0</v>
      </c>
      <c r="T69" s="1">
        <v>0</v>
      </c>
      <c r="U69" s="1">
        <v>32.423999999999999</v>
      </c>
      <c r="V69" s="1">
        <v>21.754999999999999</v>
      </c>
      <c r="W69" s="1">
        <v>7.7899999999999983</v>
      </c>
      <c r="X69" s="1">
        <v>4.8550000000000004</v>
      </c>
      <c r="Y69" s="1">
        <v>10.763000000000002</v>
      </c>
      <c r="Z69" s="1">
        <v>30.086000000000002</v>
      </c>
      <c r="AA69" s="1">
        <v>60.936</v>
      </c>
      <c r="AB69" s="1">
        <v>8.3099999999999987</v>
      </c>
      <c r="AC69" s="1">
        <v>11.012</v>
      </c>
      <c r="AD69" s="1">
        <v>0.84499999999999986</v>
      </c>
      <c r="AE69" s="1">
        <v>17.492999999999999</v>
      </c>
      <c r="AF69" s="1">
        <v>14.837999999999999</v>
      </c>
      <c r="AG69" s="1">
        <v>6.3549999999999978</v>
      </c>
      <c r="AH69" s="1">
        <v>11.925999999999998</v>
      </c>
      <c r="AI69" s="73">
        <v>14.008000000000003</v>
      </c>
    </row>
    <row r="72" spans="1:35">
      <c r="A72" s="72">
        <v>46164</v>
      </c>
      <c r="B72">
        <v>1</v>
      </c>
      <c r="C72">
        <v>2</v>
      </c>
      <c r="D72">
        <v>3</v>
      </c>
      <c r="E72">
        <v>4</v>
      </c>
      <c r="F72">
        <v>5</v>
      </c>
      <c r="G72">
        <v>6</v>
      </c>
      <c r="H72">
        <v>7</v>
      </c>
      <c r="I72">
        <v>8</v>
      </c>
      <c r="J72">
        <v>9</v>
      </c>
      <c r="K72">
        <v>10</v>
      </c>
      <c r="L72">
        <v>11</v>
      </c>
      <c r="M72">
        <v>12</v>
      </c>
      <c r="N72">
        <v>13</v>
      </c>
      <c r="O72">
        <v>14</v>
      </c>
      <c r="P72">
        <v>15</v>
      </c>
      <c r="Q72">
        <v>16</v>
      </c>
      <c r="R72">
        <v>17</v>
      </c>
      <c r="S72">
        <v>18</v>
      </c>
      <c r="T72">
        <v>19</v>
      </c>
      <c r="U72">
        <v>20</v>
      </c>
      <c r="V72">
        <v>21</v>
      </c>
      <c r="W72">
        <v>22</v>
      </c>
      <c r="X72">
        <v>23</v>
      </c>
      <c r="Y72">
        <v>24</v>
      </c>
      <c r="Z72">
        <v>25</v>
      </c>
      <c r="AA72">
        <v>26</v>
      </c>
      <c r="AB72">
        <v>27</v>
      </c>
      <c r="AC72">
        <v>28</v>
      </c>
      <c r="AD72">
        <v>29</v>
      </c>
      <c r="AE72">
        <v>30</v>
      </c>
      <c r="AF72">
        <v>31</v>
      </c>
      <c r="AG72">
        <v>32</v>
      </c>
      <c r="AH72">
        <v>33</v>
      </c>
      <c r="AI72">
        <v>34</v>
      </c>
    </row>
    <row r="73" spans="1:35">
      <c r="A73" s="1" t="s">
        <v>113</v>
      </c>
      <c r="B73" s="45" t="s">
        <v>79</v>
      </c>
      <c r="C73" s="45" t="s">
        <v>80</v>
      </c>
      <c r="D73" s="45" t="s">
        <v>81</v>
      </c>
      <c r="E73" s="45" t="s">
        <v>82</v>
      </c>
      <c r="F73" s="45" t="s">
        <v>83</v>
      </c>
      <c r="G73" s="45" t="s">
        <v>84</v>
      </c>
      <c r="H73" s="45" t="s">
        <v>85</v>
      </c>
      <c r="I73" s="45" t="s">
        <v>86</v>
      </c>
      <c r="J73" s="45" t="s">
        <v>87</v>
      </c>
      <c r="K73" s="45" t="s">
        <v>88</v>
      </c>
      <c r="L73" s="45" t="s">
        <v>89</v>
      </c>
      <c r="M73" s="45" t="s">
        <v>90</v>
      </c>
      <c r="N73" s="45" t="s">
        <v>91</v>
      </c>
      <c r="O73" s="45" t="s">
        <v>92</v>
      </c>
      <c r="P73" s="45" t="s">
        <v>93</v>
      </c>
      <c r="Q73" s="45" t="s">
        <v>94</v>
      </c>
      <c r="R73" s="45" t="s">
        <v>95</v>
      </c>
      <c r="S73" s="45" t="s">
        <v>96</v>
      </c>
      <c r="T73" s="45" t="s">
        <v>97</v>
      </c>
      <c r="U73" s="45" t="s">
        <v>98</v>
      </c>
      <c r="V73" s="45" t="s">
        <v>99</v>
      </c>
      <c r="W73" s="45" t="s">
        <v>100</v>
      </c>
      <c r="X73" s="45" t="s">
        <v>101</v>
      </c>
      <c r="Y73" s="48" t="s">
        <v>102</v>
      </c>
      <c r="Z73" s="45" t="s">
        <v>103</v>
      </c>
      <c r="AA73" s="45" t="s">
        <v>104</v>
      </c>
      <c r="AB73" s="45" t="s">
        <v>105</v>
      </c>
      <c r="AC73" s="45" t="s">
        <v>106</v>
      </c>
      <c r="AD73" s="45" t="s">
        <v>107</v>
      </c>
      <c r="AE73" s="45" t="s">
        <v>108</v>
      </c>
      <c r="AF73" s="45" t="s">
        <v>109</v>
      </c>
      <c r="AG73" s="45" t="s">
        <v>110</v>
      </c>
      <c r="AH73" s="45" t="s">
        <v>111</v>
      </c>
      <c r="AI73" s="45" t="s">
        <v>112</v>
      </c>
    </row>
    <row r="74" spans="1:35">
      <c r="A74" s="1" t="s">
        <v>73</v>
      </c>
      <c r="B74" s="1">
        <v>12.180000000000007</v>
      </c>
      <c r="C74" s="1">
        <v>7.8140000000000001</v>
      </c>
      <c r="D74" s="1">
        <v>0</v>
      </c>
      <c r="E74" s="1">
        <v>51.849999999999994</v>
      </c>
      <c r="F74" s="2">
        <v>16.448000000000022</v>
      </c>
      <c r="G74" s="1">
        <v>47.72</v>
      </c>
      <c r="H74" s="1">
        <v>26.448999999999998</v>
      </c>
      <c r="I74" s="11">
        <v>51.103999999999999</v>
      </c>
      <c r="J74" s="1">
        <v>3.31</v>
      </c>
      <c r="K74" s="1">
        <v>5.33</v>
      </c>
      <c r="L74" s="1">
        <v>59.375</v>
      </c>
      <c r="M74" s="1">
        <v>29.041</v>
      </c>
      <c r="N74" s="1">
        <v>53.57</v>
      </c>
      <c r="O74" s="1">
        <v>15.39</v>
      </c>
      <c r="P74" s="1">
        <v>16.826000000000001</v>
      </c>
      <c r="Q74" s="1">
        <v>32.645000000000003</v>
      </c>
      <c r="R74" s="1">
        <v>16.673999999999999</v>
      </c>
      <c r="S74" s="1">
        <v>11.173999999999999</v>
      </c>
      <c r="T74" s="1">
        <v>30.510999999999999</v>
      </c>
      <c r="U74" s="1">
        <v>26.361000000000001</v>
      </c>
      <c r="V74" s="1">
        <v>22.155000000000005</v>
      </c>
      <c r="W74" s="1">
        <v>22.684999999999999</v>
      </c>
      <c r="X74" s="1">
        <v>54.975000000000001</v>
      </c>
      <c r="Y74" s="1">
        <v>22.050999999999998</v>
      </c>
      <c r="Z74" s="1">
        <v>20.853000000000002</v>
      </c>
      <c r="AA74" s="1">
        <v>5.3760000000000003</v>
      </c>
      <c r="AB74" s="1">
        <v>53.082999999999998</v>
      </c>
      <c r="AC74" s="1">
        <v>35.987000000000002</v>
      </c>
      <c r="AD74" s="1">
        <v>21.565000000000001</v>
      </c>
      <c r="AE74" s="1">
        <v>0.38700000000000001</v>
      </c>
      <c r="AF74" s="1">
        <v>12.18</v>
      </c>
      <c r="AG74" s="1">
        <v>4.8970000000000002</v>
      </c>
      <c r="AH74" s="1">
        <v>1.482</v>
      </c>
      <c r="AI74" s="73">
        <v>22.853000000000002</v>
      </c>
    </row>
    <row r="75" spans="1:35">
      <c r="A75" s="1" t="s">
        <v>114</v>
      </c>
      <c r="B75" s="1">
        <v>78.889999999999986</v>
      </c>
      <c r="C75" s="1">
        <v>30.765000000000015</v>
      </c>
      <c r="D75" s="1">
        <v>81.944999999999993</v>
      </c>
      <c r="E75" s="1">
        <v>103.45999999999997</v>
      </c>
      <c r="F75" s="2">
        <v>69.382000000000019</v>
      </c>
      <c r="G75" s="1">
        <v>86.396000000000001</v>
      </c>
      <c r="H75" s="1">
        <v>3.2139999999999986</v>
      </c>
      <c r="I75" s="11">
        <v>10.452</v>
      </c>
      <c r="J75" s="1">
        <v>11.762</v>
      </c>
      <c r="K75" s="1">
        <v>50.290999999999997</v>
      </c>
      <c r="L75" s="1">
        <v>141.11199999999999</v>
      </c>
      <c r="M75" s="1">
        <v>43.302999999999997</v>
      </c>
      <c r="N75" s="1">
        <v>6.7640000000000002</v>
      </c>
      <c r="O75" s="1">
        <v>96.197999999999993</v>
      </c>
      <c r="P75" s="1">
        <v>17.417999999999999</v>
      </c>
      <c r="Q75" s="1">
        <v>45.567</v>
      </c>
      <c r="R75" s="1">
        <v>124.449</v>
      </c>
      <c r="S75" s="1">
        <v>15.025</v>
      </c>
      <c r="T75" s="1">
        <v>156.60499999999999</v>
      </c>
      <c r="U75" s="1">
        <v>18.893000000000001</v>
      </c>
      <c r="V75" s="1">
        <v>28.37</v>
      </c>
      <c r="W75" s="1">
        <v>68.405000000000001</v>
      </c>
      <c r="X75" s="1">
        <v>132.51</v>
      </c>
      <c r="Y75" s="1">
        <v>35.594999999999999</v>
      </c>
      <c r="Z75" s="1">
        <v>218.41499999999999</v>
      </c>
      <c r="AA75" s="1">
        <v>163.07900000000001</v>
      </c>
      <c r="AB75" s="1">
        <v>48.789000000000001</v>
      </c>
      <c r="AC75" s="1">
        <v>12.65</v>
      </c>
      <c r="AD75" s="1">
        <v>5.17</v>
      </c>
      <c r="AE75" s="1">
        <v>73.052000000000007</v>
      </c>
      <c r="AF75" s="1">
        <v>24.727</v>
      </c>
      <c r="AG75" s="1">
        <v>1.905</v>
      </c>
      <c r="AH75" s="1">
        <v>29.728999999999999</v>
      </c>
      <c r="AI75" s="73">
        <v>2.7989999999999999</v>
      </c>
    </row>
    <row r="76" spans="1:35">
      <c r="A76" s="1" t="s">
        <v>75</v>
      </c>
      <c r="B76" s="1">
        <v>22.46</v>
      </c>
      <c r="C76" s="1">
        <v>22.578000000000003</v>
      </c>
      <c r="D76" s="1">
        <v>22.814</v>
      </c>
      <c r="E76" s="1">
        <v>0</v>
      </c>
      <c r="F76" s="2">
        <v>49.468999999999994</v>
      </c>
      <c r="G76" s="1">
        <v>49.77</v>
      </c>
      <c r="H76" s="1">
        <v>17.792000000000002</v>
      </c>
      <c r="I76" s="11">
        <v>0</v>
      </c>
      <c r="J76" s="1">
        <v>0</v>
      </c>
      <c r="K76" s="1">
        <v>0</v>
      </c>
      <c r="L76" s="1">
        <v>0</v>
      </c>
      <c r="M76" s="1">
        <v>8.3460000000000001</v>
      </c>
      <c r="N76" s="1">
        <v>22.594000000000001</v>
      </c>
      <c r="O76" s="1">
        <v>0</v>
      </c>
      <c r="P76" s="1">
        <v>0</v>
      </c>
      <c r="Q76" s="1">
        <v>14.465999999999999</v>
      </c>
      <c r="R76" s="1">
        <v>71.509</v>
      </c>
      <c r="S76" s="1">
        <v>18.556999999999999</v>
      </c>
      <c r="T76" s="1">
        <v>25.210999999999999</v>
      </c>
      <c r="U76" s="1">
        <v>20.38</v>
      </c>
      <c r="V76" s="1">
        <v>18.86</v>
      </c>
      <c r="W76" s="1">
        <v>16.47</v>
      </c>
      <c r="X76" s="1">
        <v>54.545000000000002</v>
      </c>
      <c r="Y76" s="1">
        <v>19.734999999999999</v>
      </c>
      <c r="Z76" s="1">
        <v>25.725999999999999</v>
      </c>
      <c r="AA76" s="1">
        <v>1.718</v>
      </c>
      <c r="AB76" s="1">
        <v>72.052000000000007</v>
      </c>
      <c r="AC76" s="1">
        <v>31.858000000000001</v>
      </c>
      <c r="AD76" s="1">
        <v>12.065</v>
      </c>
      <c r="AE76" s="1">
        <v>0</v>
      </c>
      <c r="AF76" s="1">
        <v>20.190000000000001</v>
      </c>
      <c r="AG76" s="1">
        <v>25.61</v>
      </c>
      <c r="AH76" s="1">
        <v>6.3490000000000002</v>
      </c>
      <c r="AI76" s="73">
        <v>33.427</v>
      </c>
    </row>
    <row r="77" spans="1:35">
      <c r="A77" s="1" t="s">
        <v>115</v>
      </c>
      <c r="B77" s="1">
        <v>0</v>
      </c>
      <c r="C77" s="1">
        <v>0</v>
      </c>
      <c r="D77" s="1">
        <v>0</v>
      </c>
      <c r="E77" s="1">
        <v>0</v>
      </c>
      <c r="F77" s="2">
        <v>0</v>
      </c>
      <c r="G77" s="1">
        <v>0</v>
      </c>
      <c r="H77" s="1">
        <v>0</v>
      </c>
      <c r="I77" s="1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73">
        <v>0</v>
      </c>
    </row>
    <row r="78" spans="1:35">
      <c r="A78" s="1" t="s">
        <v>76</v>
      </c>
      <c r="B78" s="1">
        <v>27.779999999999994</v>
      </c>
      <c r="C78" s="1">
        <v>61.302999999999997</v>
      </c>
      <c r="D78" s="1">
        <v>0</v>
      </c>
      <c r="E78" s="1">
        <v>108.24</v>
      </c>
      <c r="F78" s="2">
        <v>25.344999999999999</v>
      </c>
      <c r="G78" s="1">
        <v>16.102</v>
      </c>
      <c r="H78" s="1">
        <v>28.158000000000001</v>
      </c>
      <c r="I78" s="11">
        <v>19.641999999999999</v>
      </c>
      <c r="J78" s="1">
        <v>8.3140000000000001</v>
      </c>
      <c r="K78" s="1">
        <v>5.33</v>
      </c>
      <c r="L78" s="1">
        <v>41.44</v>
      </c>
      <c r="M78" s="1">
        <v>16.213000000000001</v>
      </c>
      <c r="N78" s="1">
        <v>18.344000000000001</v>
      </c>
      <c r="O78" s="1">
        <v>57.548000000000002</v>
      </c>
      <c r="P78" s="1">
        <v>19.486000000000001</v>
      </c>
      <c r="Q78" s="1">
        <v>103.849</v>
      </c>
      <c r="R78" s="1">
        <v>43.814999999999998</v>
      </c>
      <c r="S78" s="1">
        <v>0.35</v>
      </c>
      <c r="T78" s="1">
        <v>12.177</v>
      </c>
      <c r="U78" s="1">
        <v>26.268999999999998</v>
      </c>
      <c r="V78" s="1">
        <v>15.994999999999997</v>
      </c>
      <c r="W78" s="1">
        <v>5.82</v>
      </c>
      <c r="X78" s="1">
        <v>2.3149999999999999</v>
      </c>
      <c r="Y78" s="1">
        <v>3.9590000000000001</v>
      </c>
      <c r="Z78" s="1">
        <v>25.285</v>
      </c>
      <c r="AA78" s="1">
        <v>59.872999999999998</v>
      </c>
      <c r="AB78" s="1">
        <v>5.4580000000000002</v>
      </c>
      <c r="AC78" s="1">
        <v>16.655999999999999</v>
      </c>
      <c r="AD78" s="1">
        <v>0.84499999999999997</v>
      </c>
      <c r="AE78" s="1">
        <v>12.377000000000001</v>
      </c>
      <c r="AF78" s="1">
        <v>13.04</v>
      </c>
      <c r="AG78" s="1">
        <v>0.11899999999999999</v>
      </c>
      <c r="AH78" s="1">
        <v>6.4969999999999999</v>
      </c>
      <c r="AI78" s="73">
        <v>12.618</v>
      </c>
    </row>
    <row r="80" spans="1:35">
      <c r="A80" s="72">
        <v>46166</v>
      </c>
      <c r="B80">
        <v>1</v>
      </c>
      <c r="C80">
        <v>2</v>
      </c>
      <c r="D80">
        <v>3</v>
      </c>
      <c r="E80">
        <v>4</v>
      </c>
      <c r="F80">
        <v>5</v>
      </c>
      <c r="G80">
        <v>6</v>
      </c>
      <c r="H80">
        <v>7</v>
      </c>
      <c r="I80">
        <v>8</v>
      </c>
      <c r="J80">
        <v>9</v>
      </c>
      <c r="K80">
        <v>10</v>
      </c>
      <c r="L80">
        <v>11</v>
      </c>
      <c r="M80">
        <v>12</v>
      </c>
      <c r="N80">
        <v>13</v>
      </c>
      <c r="O80">
        <v>14</v>
      </c>
      <c r="P80">
        <v>15</v>
      </c>
      <c r="Q80">
        <v>16</v>
      </c>
      <c r="R80">
        <v>17</v>
      </c>
      <c r="S80">
        <v>18</v>
      </c>
      <c r="T80">
        <v>19</v>
      </c>
      <c r="U80">
        <v>20</v>
      </c>
      <c r="V80">
        <v>21</v>
      </c>
      <c r="W80">
        <v>22</v>
      </c>
      <c r="X80">
        <v>23</v>
      </c>
      <c r="Y80">
        <v>24</v>
      </c>
      <c r="Z80">
        <v>25</v>
      </c>
      <c r="AA80">
        <v>26</v>
      </c>
      <c r="AB80">
        <v>27</v>
      </c>
      <c r="AC80">
        <v>28</v>
      </c>
      <c r="AD80">
        <v>29</v>
      </c>
      <c r="AE80">
        <v>30</v>
      </c>
      <c r="AF80">
        <v>31</v>
      </c>
      <c r="AG80">
        <v>32</v>
      </c>
      <c r="AH80">
        <v>33</v>
      </c>
      <c r="AI80">
        <v>34</v>
      </c>
    </row>
    <row r="81" spans="1:36">
      <c r="A81" s="1" t="s">
        <v>113</v>
      </c>
      <c r="B81" s="45" t="s">
        <v>79</v>
      </c>
      <c r="C81" s="45" t="s">
        <v>80</v>
      </c>
      <c r="D81" s="45" t="s">
        <v>81</v>
      </c>
      <c r="E81" s="45" t="s">
        <v>82</v>
      </c>
      <c r="F81" s="45" t="s">
        <v>83</v>
      </c>
      <c r="G81" s="45" t="s">
        <v>84</v>
      </c>
      <c r="H81" s="45" t="s">
        <v>85</v>
      </c>
      <c r="I81" s="45" t="s">
        <v>86</v>
      </c>
      <c r="J81" s="45" t="s">
        <v>87</v>
      </c>
      <c r="K81" s="45" t="s">
        <v>88</v>
      </c>
      <c r="L81" s="45" t="s">
        <v>89</v>
      </c>
      <c r="M81" s="45" t="s">
        <v>90</v>
      </c>
      <c r="N81" s="45" t="s">
        <v>91</v>
      </c>
      <c r="O81" s="45" t="s">
        <v>92</v>
      </c>
      <c r="P81" s="45" t="s">
        <v>93</v>
      </c>
      <c r="Q81" s="45" t="s">
        <v>94</v>
      </c>
      <c r="R81" s="45" t="s">
        <v>95</v>
      </c>
      <c r="S81" s="45" t="s">
        <v>96</v>
      </c>
      <c r="T81" s="45" t="s">
        <v>97</v>
      </c>
      <c r="U81" s="45" t="s">
        <v>98</v>
      </c>
      <c r="V81" s="45" t="s">
        <v>99</v>
      </c>
      <c r="W81" s="45" t="s">
        <v>100</v>
      </c>
      <c r="X81" s="45" t="s">
        <v>101</v>
      </c>
      <c r="Y81" s="48" t="s">
        <v>102</v>
      </c>
      <c r="Z81" s="45" t="s">
        <v>103</v>
      </c>
      <c r="AA81" s="45" t="s">
        <v>104</v>
      </c>
      <c r="AB81" s="45" t="s">
        <v>105</v>
      </c>
      <c r="AC81" s="45" t="s">
        <v>106</v>
      </c>
      <c r="AD81" s="45" t="s">
        <v>107</v>
      </c>
      <c r="AE81" s="45" t="s">
        <v>108</v>
      </c>
      <c r="AF81" s="45" t="s">
        <v>109</v>
      </c>
      <c r="AG81" s="45" t="s">
        <v>110</v>
      </c>
      <c r="AH81" s="45" t="s">
        <v>111</v>
      </c>
      <c r="AI81" s="45" t="s">
        <v>112</v>
      </c>
    </row>
    <row r="82" spans="1:36">
      <c r="A82" s="1" t="s">
        <v>73</v>
      </c>
      <c r="B82" s="1">
        <v>6.51</v>
      </c>
      <c r="C82" s="1">
        <v>26.194000000000003</v>
      </c>
      <c r="D82" s="1">
        <v>0</v>
      </c>
      <c r="E82" s="1">
        <v>9.1999999999999993</v>
      </c>
      <c r="F82" s="2">
        <v>18.597999999999999</v>
      </c>
      <c r="G82" s="1">
        <v>111.06999999999994</v>
      </c>
      <c r="H82" s="1">
        <v>27.670999999999992</v>
      </c>
      <c r="I82" s="11">
        <v>32.243040000000001</v>
      </c>
      <c r="J82" s="1">
        <v>3.1459999999999866</v>
      </c>
      <c r="K82" s="1">
        <v>63.701999999999998</v>
      </c>
      <c r="L82" s="1">
        <v>110.854</v>
      </c>
      <c r="M82" s="1">
        <v>10.759999999999991</v>
      </c>
      <c r="N82" s="1">
        <v>50.952999999999989</v>
      </c>
      <c r="O82" s="1">
        <v>19.687999999999999</v>
      </c>
      <c r="P82" s="1">
        <v>11.996</v>
      </c>
      <c r="Q82" s="1">
        <v>24.169000000000011</v>
      </c>
      <c r="R82" s="1">
        <v>21.364000000000001</v>
      </c>
      <c r="S82" s="1">
        <v>5.29</v>
      </c>
      <c r="T82" s="1">
        <v>9.0459999999999994</v>
      </c>
      <c r="U82" s="1">
        <v>29.896999999999998</v>
      </c>
      <c r="V82" s="1">
        <v>29.914999999999999</v>
      </c>
      <c r="W82" s="1">
        <v>4.29</v>
      </c>
      <c r="X82" s="1">
        <v>53.664999999999999</v>
      </c>
      <c r="Y82" s="1">
        <v>9.6790000000000003</v>
      </c>
      <c r="Z82" s="1">
        <v>33.252000000000002</v>
      </c>
      <c r="AA82" s="1">
        <v>21.949000000000002</v>
      </c>
      <c r="AB82" s="1">
        <v>19.88</v>
      </c>
      <c r="AC82" s="1">
        <v>162.96299999999999</v>
      </c>
      <c r="AD82" s="1">
        <v>5.88</v>
      </c>
      <c r="AE82" s="1">
        <v>8.1020000000000003</v>
      </c>
      <c r="AF82" s="1">
        <v>6.5019999999999998</v>
      </c>
      <c r="AG82" s="1">
        <v>0</v>
      </c>
      <c r="AH82" s="1">
        <v>7.516</v>
      </c>
      <c r="AI82" s="73">
        <v>9.2950000000000017</v>
      </c>
    </row>
    <row r="83" spans="1:36">
      <c r="A83" s="1" t="s">
        <v>114</v>
      </c>
      <c r="B83" s="1">
        <v>0.25</v>
      </c>
      <c r="C83" s="1">
        <v>55.966000000000008</v>
      </c>
      <c r="D83" s="1">
        <v>52.563000000000002</v>
      </c>
      <c r="E83" s="1">
        <v>56.784999999999997</v>
      </c>
      <c r="F83" s="2">
        <v>145.81100000000001</v>
      </c>
      <c r="G83" s="1">
        <v>114.37799999999999</v>
      </c>
      <c r="H83" s="1">
        <v>109.13400000000003</v>
      </c>
      <c r="I83" s="11">
        <v>42.320000000000007</v>
      </c>
      <c r="J83" s="1">
        <v>18.838000000000036</v>
      </c>
      <c r="K83" s="1">
        <v>76.846000000000004</v>
      </c>
      <c r="L83" s="1">
        <v>80.180000000000007</v>
      </c>
      <c r="M83" s="1">
        <v>10.845999999999965</v>
      </c>
      <c r="N83" s="1">
        <v>27.998000000000026</v>
      </c>
      <c r="O83" s="1">
        <v>68.433999999999997</v>
      </c>
      <c r="P83" s="1">
        <v>21.518000000000001</v>
      </c>
      <c r="Q83" s="1">
        <v>261.21499999999997</v>
      </c>
      <c r="R83" s="1">
        <v>65.38</v>
      </c>
      <c r="S83" s="1">
        <v>28.611999999999998</v>
      </c>
      <c r="T83" s="1">
        <v>86.236999999999995</v>
      </c>
      <c r="U83" s="1">
        <v>9.1720000000000006</v>
      </c>
      <c r="V83" s="1">
        <v>19.195</v>
      </c>
      <c r="W83" s="1">
        <v>48.695</v>
      </c>
      <c r="X83" s="1">
        <v>57.145000000000003</v>
      </c>
      <c r="Y83" s="1">
        <v>33.503999999999998</v>
      </c>
      <c r="Z83" s="1">
        <v>237.25700000000001</v>
      </c>
      <c r="AA83" s="1">
        <v>181.96299999999999</v>
      </c>
      <c r="AB83" s="1">
        <v>64.555999999999997</v>
      </c>
      <c r="AC83" s="1">
        <v>49.52</v>
      </c>
      <c r="AD83" s="1">
        <v>7.77</v>
      </c>
      <c r="AE83" s="1">
        <v>45.991999999999997</v>
      </c>
      <c r="AF83" s="1">
        <v>33.506</v>
      </c>
      <c r="AG83" s="1">
        <v>12.728</v>
      </c>
      <c r="AH83" s="1">
        <v>17.457999999999998</v>
      </c>
      <c r="AI83" s="73">
        <v>11.792999999999999</v>
      </c>
    </row>
    <row r="84" spans="1:36">
      <c r="A84" s="1" t="s">
        <v>75</v>
      </c>
      <c r="B84" s="1">
        <v>0</v>
      </c>
      <c r="C84" s="1">
        <v>38.742000000000004</v>
      </c>
      <c r="D84" s="1">
        <v>3.42</v>
      </c>
      <c r="E84" s="1">
        <v>0</v>
      </c>
      <c r="F84" s="2">
        <v>36.545000000000002</v>
      </c>
      <c r="G84" s="1">
        <v>72.581999999999994</v>
      </c>
      <c r="H84" s="1">
        <v>37.715999999999994</v>
      </c>
      <c r="I84" s="11">
        <v>0</v>
      </c>
      <c r="J84" s="1">
        <v>14.178000000000004</v>
      </c>
      <c r="K84" s="1">
        <v>0</v>
      </c>
      <c r="L84" s="1">
        <v>0</v>
      </c>
      <c r="M84" s="1">
        <v>0</v>
      </c>
      <c r="N84" s="1">
        <v>7.9919999999999973</v>
      </c>
      <c r="O84" s="1">
        <v>0</v>
      </c>
      <c r="P84" s="1">
        <v>0</v>
      </c>
      <c r="Q84" s="1">
        <v>18.159999999999997</v>
      </c>
      <c r="R84" s="1">
        <v>66.793000000000006</v>
      </c>
      <c r="S84" s="1">
        <v>21.555</v>
      </c>
      <c r="T84" s="1">
        <v>9.2219999999999995</v>
      </c>
      <c r="U84" s="1">
        <v>11.805999999999999</v>
      </c>
      <c r="V84" s="1">
        <v>13.244999999999999</v>
      </c>
      <c r="W84" s="1">
        <v>8.4499999999999993</v>
      </c>
      <c r="X84" s="1">
        <v>47.784999999999997</v>
      </c>
      <c r="Y84" s="1">
        <v>12.973000000000001</v>
      </c>
      <c r="Z84" s="1">
        <v>46.83</v>
      </c>
      <c r="AA84" s="1">
        <v>1.821</v>
      </c>
      <c r="AB84" s="1">
        <v>61.601999999999997</v>
      </c>
      <c r="AC84" s="1">
        <v>23.033999999999999</v>
      </c>
      <c r="AD84" s="1">
        <v>2.1549999999999998</v>
      </c>
      <c r="AE84" s="1">
        <v>0.48799999999999999</v>
      </c>
      <c r="AF84" s="1">
        <v>8.2550000000000008</v>
      </c>
      <c r="AG84" s="1">
        <v>0</v>
      </c>
      <c r="AH84" s="1">
        <v>10.43</v>
      </c>
      <c r="AI84" s="73">
        <v>10.120000000000001</v>
      </c>
    </row>
    <row r="85" spans="1:36">
      <c r="A85" s="1" t="s">
        <v>115</v>
      </c>
      <c r="B85" s="1">
        <v>0</v>
      </c>
      <c r="C85" s="1">
        <v>0</v>
      </c>
      <c r="D85" s="1">
        <v>0</v>
      </c>
      <c r="E85" s="1">
        <v>0</v>
      </c>
      <c r="F85" s="2">
        <v>0</v>
      </c>
      <c r="G85" s="1">
        <v>0</v>
      </c>
      <c r="H85" s="1">
        <v>0</v>
      </c>
      <c r="I85" s="1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73"/>
    </row>
    <row r="86" spans="1:36">
      <c r="A86" s="1" t="s">
        <v>76</v>
      </c>
      <c r="B86" s="1">
        <v>57.91</v>
      </c>
      <c r="C86" s="1">
        <v>42.372</v>
      </c>
      <c r="D86" s="1">
        <v>6.2359999999999998</v>
      </c>
      <c r="E86" s="1">
        <v>100.383</v>
      </c>
      <c r="F86" s="2">
        <v>5.8659999999999997</v>
      </c>
      <c r="G86" s="1">
        <v>17.187000000000005</v>
      </c>
      <c r="H86" s="1">
        <v>20.046000000000021</v>
      </c>
      <c r="I86" s="11">
        <v>3.5600000000000005</v>
      </c>
      <c r="J86" s="1">
        <v>16.278000000000006</v>
      </c>
      <c r="K86" s="1">
        <v>0.55400000000000005</v>
      </c>
      <c r="L86" s="1">
        <v>28.751999999999999</v>
      </c>
      <c r="M86" s="1">
        <v>7.1000000000008612E-2</v>
      </c>
      <c r="N86" s="1">
        <v>9.7289999999999992</v>
      </c>
      <c r="O86" s="1">
        <v>43.067999999999998</v>
      </c>
      <c r="P86" s="1">
        <v>11.124000000000001</v>
      </c>
      <c r="Q86" s="1">
        <v>90.101000000000013</v>
      </c>
      <c r="R86" s="1">
        <v>27.742000000000001</v>
      </c>
      <c r="S86" s="1">
        <v>0</v>
      </c>
      <c r="T86" s="1">
        <v>10.39</v>
      </c>
      <c r="U86" s="1">
        <v>5.1550000000000002</v>
      </c>
      <c r="V86" s="1">
        <v>28.14</v>
      </c>
      <c r="W86" s="1">
        <v>12.914999999999999</v>
      </c>
      <c r="X86" s="1">
        <v>14.22</v>
      </c>
      <c r="Y86" s="1">
        <v>0</v>
      </c>
      <c r="Z86" s="1">
        <v>31.295999999999999</v>
      </c>
      <c r="AA86" s="1">
        <v>63.558</v>
      </c>
      <c r="AB86" s="1">
        <v>3.6419999999999999</v>
      </c>
      <c r="AC86" s="1">
        <v>36.197000000000003</v>
      </c>
      <c r="AD86" s="1">
        <v>1.58</v>
      </c>
      <c r="AE86" s="1">
        <v>15.628</v>
      </c>
      <c r="AF86" s="1">
        <v>2.1779999999999999</v>
      </c>
      <c r="AG86" s="1">
        <v>2.4630000000000001</v>
      </c>
      <c r="AH86" s="1">
        <v>23.66</v>
      </c>
      <c r="AI86" s="73">
        <v>2.516</v>
      </c>
    </row>
    <row r="88" spans="1:36">
      <c r="A88" s="72">
        <v>46169</v>
      </c>
      <c r="B88">
        <v>1</v>
      </c>
      <c r="C88">
        <v>2</v>
      </c>
      <c r="D88">
        <v>3</v>
      </c>
      <c r="E88">
        <v>4</v>
      </c>
      <c r="F88">
        <v>5</v>
      </c>
      <c r="G88">
        <v>6</v>
      </c>
      <c r="H88">
        <v>7</v>
      </c>
      <c r="I88">
        <v>8</v>
      </c>
      <c r="J88">
        <v>9</v>
      </c>
      <c r="K88">
        <v>10</v>
      </c>
      <c r="L88">
        <v>11</v>
      </c>
      <c r="M88">
        <v>12</v>
      </c>
      <c r="N88">
        <v>13</v>
      </c>
      <c r="O88">
        <v>14</v>
      </c>
      <c r="P88">
        <v>15</v>
      </c>
      <c r="Q88">
        <v>16</v>
      </c>
      <c r="R88">
        <v>17</v>
      </c>
      <c r="S88">
        <v>18</v>
      </c>
      <c r="T88">
        <v>19</v>
      </c>
      <c r="U88">
        <v>20</v>
      </c>
      <c r="V88">
        <v>21</v>
      </c>
      <c r="W88">
        <v>22</v>
      </c>
      <c r="X88">
        <v>23</v>
      </c>
      <c r="Y88">
        <v>24</v>
      </c>
      <c r="Z88">
        <v>25</v>
      </c>
      <c r="AA88">
        <v>26</v>
      </c>
      <c r="AB88">
        <v>27</v>
      </c>
      <c r="AC88">
        <v>28</v>
      </c>
      <c r="AD88">
        <v>29</v>
      </c>
      <c r="AE88">
        <v>30</v>
      </c>
      <c r="AF88">
        <v>31</v>
      </c>
      <c r="AG88">
        <v>32</v>
      </c>
      <c r="AH88">
        <v>33</v>
      </c>
      <c r="AI88">
        <v>34</v>
      </c>
      <c r="AJ88">
        <v>35</v>
      </c>
    </row>
    <row r="89" spans="1:36">
      <c r="A89" s="1" t="s">
        <v>113</v>
      </c>
      <c r="B89" s="45" t="s">
        <v>79</v>
      </c>
      <c r="C89" s="45" t="s">
        <v>80</v>
      </c>
      <c r="D89" s="45" t="s">
        <v>81</v>
      </c>
      <c r="E89" s="45" t="s">
        <v>82</v>
      </c>
      <c r="F89" s="45" t="s">
        <v>83</v>
      </c>
      <c r="G89" s="45" t="s">
        <v>84</v>
      </c>
      <c r="H89" s="45" t="s">
        <v>85</v>
      </c>
      <c r="I89" s="45" t="s">
        <v>86</v>
      </c>
      <c r="J89" s="45" t="s">
        <v>87</v>
      </c>
      <c r="K89" s="45" t="s">
        <v>88</v>
      </c>
      <c r="L89" s="45" t="s">
        <v>89</v>
      </c>
      <c r="M89" s="45" t="s">
        <v>90</v>
      </c>
      <c r="N89" s="45" t="s">
        <v>91</v>
      </c>
      <c r="O89" s="45" t="s">
        <v>92</v>
      </c>
      <c r="P89" s="45" t="s">
        <v>93</v>
      </c>
      <c r="Q89" s="45" t="s">
        <v>94</v>
      </c>
      <c r="R89" s="45" t="s">
        <v>95</v>
      </c>
      <c r="S89" s="45" t="s">
        <v>96</v>
      </c>
      <c r="T89" s="45" t="s">
        <v>97</v>
      </c>
      <c r="U89" s="45" t="s">
        <v>98</v>
      </c>
      <c r="V89" s="45" t="s">
        <v>99</v>
      </c>
      <c r="W89" s="45" t="s">
        <v>100</v>
      </c>
      <c r="X89" s="45" t="s">
        <v>101</v>
      </c>
      <c r="Y89" s="48" t="s">
        <v>102</v>
      </c>
      <c r="Z89" s="45" t="s">
        <v>103</v>
      </c>
      <c r="AA89" s="45" t="s">
        <v>104</v>
      </c>
      <c r="AB89" s="45" t="s">
        <v>105</v>
      </c>
      <c r="AC89" s="45" t="s">
        <v>106</v>
      </c>
      <c r="AD89" s="45" t="s">
        <v>107</v>
      </c>
      <c r="AE89" s="45" t="s">
        <v>108</v>
      </c>
      <c r="AF89" s="45" t="s">
        <v>109</v>
      </c>
      <c r="AG89" s="45" t="s">
        <v>110</v>
      </c>
      <c r="AH89" s="45" t="s">
        <v>111</v>
      </c>
      <c r="AI89" s="45" t="s">
        <v>112</v>
      </c>
      <c r="AJ89" s="45" t="s">
        <v>120</v>
      </c>
    </row>
    <row r="90" spans="1:36">
      <c r="A90" s="1" t="s">
        <v>73</v>
      </c>
      <c r="B90" s="1">
        <v>26.332999999999998</v>
      </c>
      <c r="C90" s="1">
        <v>97.475999999999999</v>
      </c>
      <c r="D90" s="1">
        <v>16.033999999999999</v>
      </c>
      <c r="E90" s="1">
        <v>6.415</v>
      </c>
      <c r="F90" s="2">
        <v>15.246</v>
      </c>
      <c r="G90" s="1">
        <v>45.09</v>
      </c>
      <c r="H90" s="1">
        <v>98.911999999999992</v>
      </c>
      <c r="I90" s="11">
        <v>62.905000000000001</v>
      </c>
      <c r="J90" s="1">
        <v>3.9670000000000001</v>
      </c>
      <c r="K90" s="1">
        <v>8.8580000000000005</v>
      </c>
      <c r="L90" s="1">
        <v>145.964</v>
      </c>
      <c r="M90" s="1">
        <v>0</v>
      </c>
      <c r="N90" s="1">
        <v>19.71</v>
      </c>
      <c r="O90" s="1">
        <v>19.228000000000002</v>
      </c>
      <c r="P90" s="1">
        <v>8.8740000000000006</v>
      </c>
      <c r="Q90" s="94">
        <v>5.6300000000000168</v>
      </c>
      <c r="R90" s="1">
        <v>48.774999999999999</v>
      </c>
      <c r="S90" s="1">
        <v>13.797000000000001</v>
      </c>
      <c r="T90" s="1">
        <v>19.946999999999996</v>
      </c>
      <c r="U90" s="1">
        <v>35.140999999999998</v>
      </c>
      <c r="V90" s="1">
        <v>18.255000000000003</v>
      </c>
      <c r="W90" s="1">
        <v>9.2349999999999994</v>
      </c>
      <c r="X90" s="1">
        <v>7.46</v>
      </c>
      <c r="Y90" s="1">
        <v>21.722999999999978</v>
      </c>
      <c r="Z90" s="1">
        <v>4.1479999999999997</v>
      </c>
      <c r="AA90" s="1">
        <v>26.088000000000001</v>
      </c>
      <c r="AB90" s="1">
        <v>17.321000000000002</v>
      </c>
      <c r="AC90" s="1">
        <v>72.581999999999994</v>
      </c>
      <c r="AD90" s="1">
        <v>22.305</v>
      </c>
      <c r="AE90" s="1">
        <v>47.558</v>
      </c>
      <c r="AF90" s="1">
        <v>74.501999999999995</v>
      </c>
      <c r="AG90" s="1">
        <v>0</v>
      </c>
      <c r="AH90" s="1">
        <v>19.158999999999999</v>
      </c>
      <c r="AI90" s="73">
        <v>20.362999999999996</v>
      </c>
      <c r="AJ90" s="1">
        <v>52.255000000000003</v>
      </c>
    </row>
    <row r="91" spans="1:36">
      <c r="A91" s="1" t="s">
        <v>114</v>
      </c>
      <c r="B91" s="1">
        <v>18.569000000000003</v>
      </c>
      <c r="C91" s="1">
        <v>219.66300000000001</v>
      </c>
      <c r="D91" s="1">
        <v>51.923000000000002</v>
      </c>
      <c r="E91" s="1">
        <v>87.04</v>
      </c>
      <c r="F91" s="2">
        <v>128.13800000000001</v>
      </c>
      <c r="G91" s="1">
        <v>75.36</v>
      </c>
      <c r="H91" s="1">
        <v>88.344000000000165</v>
      </c>
      <c r="I91" s="11">
        <v>11.611999999999995</v>
      </c>
      <c r="J91" s="1">
        <v>30.225999999999999</v>
      </c>
      <c r="K91" s="1">
        <v>60.792000000000009</v>
      </c>
      <c r="L91" s="1">
        <v>70.378</v>
      </c>
      <c r="M91" s="1">
        <v>67.544000000000011</v>
      </c>
      <c r="N91" s="1">
        <v>84.10199999999999</v>
      </c>
      <c r="O91" s="1">
        <v>14.223000000000001</v>
      </c>
      <c r="P91" s="1">
        <v>22.968</v>
      </c>
      <c r="Q91" s="94">
        <v>218.49799999999988</v>
      </c>
      <c r="R91" s="1">
        <v>102.64700000000001</v>
      </c>
      <c r="S91" s="1">
        <v>32.296999999999997</v>
      </c>
      <c r="T91" s="1">
        <v>130.65799999999999</v>
      </c>
      <c r="U91" s="1">
        <v>6.48</v>
      </c>
      <c r="V91" s="1">
        <v>94.474999999999994</v>
      </c>
      <c r="W91" s="1">
        <v>87.24</v>
      </c>
      <c r="X91" s="1">
        <v>74.209999999999994</v>
      </c>
      <c r="Y91" s="1">
        <v>2.8229999999999862</v>
      </c>
      <c r="Z91" s="1">
        <v>124.38200000000001</v>
      </c>
      <c r="AA91" s="1">
        <v>200.22200000000001</v>
      </c>
      <c r="AB91" s="1">
        <v>60.210999999999999</v>
      </c>
      <c r="AC91" s="1">
        <v>55.37</v>
      </c>
      <c r="AD91" s="1">
        <v>7.91</v>
      </c>
      <c r="AE91" s="1">
        <v>22.257999999999999</v>
      </c>
      <c r="AF91" s="1">
        <v>31.44</v>
      </c>
      <c r="AG91" s="1">
        <v>9.1850000000000005</v>
      </c>
      <c r="AH91" s="1">
        <v>18.427</v>
      </c>
      <c r="AI91" s="73">
        <v>16.453000000000003</v>
      </c>
      <c r="AJ91" s="1">
        <v>10.855</v>
      </c>
    </row>
    <row r="92" spans="1:36">
      <c r="A92" s="1" t="s">
        <v>75</v>
      </c>
      <c r="B92" s="1">
        <v>42.35199999999999</v>
      </c>
      <c r="C92" s="1">
        <v>70.471999999999994</v>
      </c>
      <c r="D92" s="1">
        <v>24.898</v>
      </c>
      <c r="E92" s="1">
        <v>0</v>
      </c>
      <c r="F92" s="2">
        <v>9.2140000000000004</v>
      </c>
      <c r="G92" s="1">
        <v>134.86799999999999</v>
      </c>
      <c r="H92" s="1">
        <v>22.234999999999999</v>
      </c>
      <c r="I92" s="11">
        <v>0</v>
      </c>
      <c r="J92" s="1">
        <v>36.008000000000003</v>
      </c>
      <c r="K92" s="1">
        <v>0</v>
      </c>
      <c r="L92" s="1">
        <v>0</v>
      </c>
      <c r="M92" s="1">
        <v>0</v>
      </c>
      <c r="N92" s="1">
        <v>17.134</v>
      </c>
      <c r="O92" s="1">
        <v>0</v>
      </c>
      <c r="P92" s="1">
        <v>0</v>
      </c>
      <c r="Q92" s="94">
        <v>3.9482306313232129E-15</v>
      </c>
      <c r="R92" s="1">
        <v>48.055999999999997</v>
      </c>
      <c r="S92" s="1">
        <v>32.369999999999997</v>
      </c>
      <c r="T92" s="1">
        <v>0</v>
      </c>
      <c r="U92" s="1">
        <v>31.341000000000001</v>
      </c>
      <c r="V92" s="1">
        <v>6.7799999999999994</v>
      </c>
      <c r="W92" s="1">
        <v>6.8550000000000004</v>
      </c>
      <c r="X92" s="1">
        <v>62.784999999999997</v>
      </c>
      <c r="Y92" s="1">
        <v>5.3109999999999982</v>
      </c>
      <c r="Z92" s="1">
        <v>26.114000000000001</v>
      </c>
      <c r="AA92" s="1">
        <v>0</v>
      </c>
      <c r="AB92" s="1">
        <v>72.882000000000005</v>
      </c>
      <c r="AC92" s="1">
        <v>14.164</v>
      </c>
      <c r="AD92" s="1">
        <v>10.26</v>
      </c>
      <c r="AE92" s="1">
        <v>17.712</v>
      </c>
      <c r="AF92" s="1">
        <v>7.1870000000000003</v>
      </c>
      <c r="AG92" s="1">
        <v>43.594999999999999</v>
      </c>
      <c r="AH92" s="1">
        <v>44.723999999999997</v>
      </c>
      <c r="AI92" s="73">
        <v>4.3919999999999995</v>
      </c>
      <c r="AJ92" s="1">
        <v>1.2210000000000001</v>
      </c>
    </row>
    <row r="93" spans="1:36">
      <c r="A93" s="1" t="s">
        <v>115</v>
      </c>
      <c r="B93" s="1">
        <v>0</v>
      </c>
      <c r="C93" s="1">
        <v>0</v>
      </c>
      <c r="D93" s="1">
        <v>0</v>
      </c>
      <c r="E93" s="1">
        <v>0</v>
      </c>
      <c r="F93" s="2">
        <v>0</v>
      </c>
      <c r="G93" s="1">
        <v>0</v>
      </c>
      <c r="H93" s="1">
        <v>0</v>
      </c>
      <c r="I93" s="1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94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73"/>
      <c r="AJ93" s="1">
        <v>0</v>
      </c>
    </row>
    <row r="94" spans="1:36">
      <c r="A94" s="1" t="s">
        <v>76</v>
      </c>
      <c r="B94" s="1">
        <v>63.359000000000009</v>
      </c>
      <c r="C94" s="1">
        <v>58.881</v>
      </c>
      <c r="D94" s="1">
        <v>2.5249999999999999</v>
      </c>
      <c r="E94" s="1">
        <v>79.239999999999995</v>
      </c>
      <c r="F94" s="2">
        <v>40</v>
      </c>
      <c r="G94" s="1">
        <v>26.47</v>
      </c>
      <c r="H94" s="1">
        <v>52.619000000000007</v>
      </c>
      <c r="I94" s="11">
        <v>0.70200000000000018</v>
      </c>
      <c r="J94" s="1">
        <v>12.135999999999999</v>
      </c>
      <c r="K94" s="1">
        <v>7.468</v>
      </c>
      <c r="L94" s="1">
        <v>76.337999999999994</v>
      </c>
      <c r="M94" s="1">
        <v>23.213999999999999</v>
      </c>
      <c r="N94" s="1">
        <v>40.465000000000003</v>
      </c>
      <c r="O94" s="1">
        <v>56.798999999999999</v>
      </c>
      <c r="P94" s="1">
        <v>19.456</v>
      </c>
      <c r="Q94" s="94">
        <v>38.250000000000028</v>
      </c>
      <c r="R94" s="1">
        <v>18.655000000000001</v>
      </c>
      <c r="S94" s="1">
        <v>5.3550000000000004</v>
      </c>
      <c r="T94" s="1">
        <v>15.26</v>
      </c>
      <c r="U94" s="1">
        <v>14.324999999999999</v>
      </c>
      <c r="V94" s="1">
        <v>8.58</v>
      </c>
      <c r="W94" s="1">
        <v>5.24</v>
      </c>
      <c r="X94" s="1">
        <v>5.8449999999999998</v>
      </c>
      <c r="Y94" s="1">
        <v>16.503999999999998</v>
      </c>
      <c r="Z94" s="1">
        <v>4.9939999999999998</v>
      </c>
      <c r="AA94" s="1">
        <v>65.212999999999994</v>
      </c>
      <c r="AB94" s="1">
        <v>15.739000000000001</v>
      </c>
      <c r="AC94" s="1">
        <v>27.692</v>
      </c>
      <c r="AD94" s="1">
        <v>1.53</v>
      </c>
      <c r="AE94" s="1">
        <v>3.004</v>
      </c>
      <c r="AF94" s="1">
        <v>35.994999999999997</v>
      </c>
      <c r="AG94" s="1">
        <v>0</v>
      </c>
      <c r="AH94" s="1">
        <v>11.554</v>
      </c>
      <c r="AI94" s="73">
        <v>4.0690000000000008</v>
      </c>
      <c r="AJ94" s="1">
        <v>25.76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BE6A3-C316-432C-8E2C-A54C4F5F5059}">
  <dimension ref="A5:S233"/>
  <sheetViews>
    <sheetView topLeftCell="A213" workbookViewId="0">
      <selection activeCell="J223" sqref="J223"/>
    </sheetView>
  </sheetViews>
  <sheetFormatPr defaultRowHeight="14.4"/>
  <cols>
    <col min="2" max="2" width="10.5546875" bestFit="1" customWidth="1"/>
    <col min="6" max="7" width="12" bestFit="1" customWidth="1"/>
  </cols>
  <sheetData>
    <row r="5" spans="1:14">
      <c r="B5" s="58">
        <v>46159</v>
      </c>
      <c r="C5" s="50"/>
      <c r="D5" s="50"/>
      <c r="E5" s="50"/>
      <c r="F5" s="50"/>
    </row>
    <row r="6" spans="1:14">
      <c r="B6" s="32" t="s">
        <v>68</v>
      </c>
      <c r="C6" s="33">
        <v>161</v>
      </c>
      <c r="D6" s="33"/>
      <c r="E6" s="33"/>
      <c r="F6" s="33">
        <v>2054</v>
      </c>
      <c r="G6" s="34"/>
      <c r="H6" s="34"/>
      <c r="I6" s="34">
        <v>5550</v>
      </c>
      <c r="J6" s="34"/>
      <c r="K6" s="34"/>
      <c r="L6" s="34">
        <v>8899</v>
      </c>
      <c r="M6" s="1"/>
      <c r="N6" s="1"/>
    </row>
    <row r="7" spans="1:14">
      <c r="B7" s="32" t="s">
        <v>69</v>
      </c>
      <c r="C7" s="35">
        <v>100001</v>
      </c>
      <c r="D7" s="35"/>
      <c r="E7" s="35"/>
      <c r="F7" s="33">
        <v>100004</v>
      </c>
      <c r="G7" s="34"/>
      <c r="H7" s="34"/>
      <c r="I7" s="34">
        <v>100030</v>
      </c>
      <c r="J7" s="34"/>
      <c r="K7" s="34"/>
      <c r="L7" s="34">
        <v>100153</v>
      </c>
      <c r="M7" s="34"/>
      <c r="N7" s="34"/>
    </row>
    <row r="8" spans="1:14">
      <c r="B8" s="37" t="s">
        <v>70</v>
      </c>
      <c r="C8" s="33" t="s">
        <v>71</v>
      </c>
      <c r="D8" s="33"/>
      <c r="E8" s="33"/>
      <c r="F8" s="33" t="s">
        <v>71</v>
      </c>
      <c r="G8" s="38"/>
      <c r="H8" s="38"/>
      <c r="I8" s="38" t="s">
        <v>71</v>
      </c>
      <c r="J8" s="38"/>
      <c r="K8" s="38"/>
      <c r="L8" s="38" t="s">
        <v>71</v>
      </c>
      <c r="M8" s="1"/>
      <c r="N8" s="1"/>
    </row>
    <row r="9" spans="1:14">
      <c r="B9" s="39" t="s">
        <v>72</v>
      </c>
      <c r="C9" s="126" t="s">
        <v>73</v>
      </c>
      <c r="D9" s="126"/>
      <c r="E9" s="126"/>
      <c r="F9" s="122" t="s">
        <v>74</v>
      </c>
      <c r="G9" s="122"/>
      <c r="H9" s="122"/>
      <c r="I9" s="127" t="s">
        <v>75</v>
      </c>
      <c r="J9" s="127"/>
      <c r="K9" s="127"/>
      <c r="L9" s="120" t="s">
        <v>76</v>
      </c>
      <c r="M9" s="120"/>
      <c r="N9" s="120"/>
    </row>
    <row r="10" spans="1:14" ht="43.2">
      <c r="A10">
        <v>13</v>
      </c>
      <c r="B10" s="40" t="s">
        <v>61</v>
      </c>
      <c r="C10" s="41" t="s">
        <v>116</v>
      </c>
      <c r="D10" s="41" t="s">
        <v>77</v>
      </c>
      <c r="E10" s="41" t="s">
        <v>78</v>
      </c>
      <c r="F10" s="42" t="s">
        <v>116</v>
      </c>
      <c r="G10" s="42" t="s">
        <v>77</v>
      </c>
      <c r="H10" s="42" t="s">
        <v>78</v>
      </c>
      <c r="I10" s="43" t="s">
        <v>116</v>
      </c>
      <c r="J10" s="43" t="s">
        <v>77</v>
      </c>
      <c r="K10" s="43" t="s">
        <v>78</v>
      </c>
      <c r="L10" s="44" t="s">
        <v>116</v>
      </c>
      <c r="M10" s="44" t="s">
        <v>77</v>
      </c>
      <c r="N10" s="44" t="s">
        <v>78</v>
      </c>
    </row>
    <row r="11" spans="1:14">
      <c r="A11">
        <v>2</v>
      </c>
      <c r="B11" s="59" t="s">
        <v>80</v>
      </c>
      <c r="C11" s="61">
        <v>100.381</v>
      </c>
      <c r="D11" s="61">
        <v>49.623999999999995</v>
      </c>
      <c r="E11" s="69">
        <f t="shared" ref="E11:E44" si="0">D11-C11</f>
        <v>-50.757000000000005</v>
      </c>
      <c r="F11" s="61">
        <v>177.93700000000001</v>
      </c>
      <c r="G11" s="61">
        <v>314.39999999999998</v>
      </c>
      <c r="H11" s="60">
        <f t="shared" ref="H11:H44" si="1">G11-F11</f>
        <v>136.46299999999997</v>
      </c>
      <c r="I11" s="61">
        <v>75.034999999999997</v>
      </c>
      <c r="J11" s="61">
        <v>21.555</v>
      </c>
      <c r="K11" s="69">
        <f t="shared" ref="K11:K44" si="2">J11-I11</f>
        <v>-53.48</v>
      </c>
      <c r="L11" s="61">
        <v>16.681000000000001</v>
      </c>
      <c r="M11" s="67">
        <v>15.969999999999999</v>
      </c>
      <c r="N11" s="69">
        <f t="shared" ref="N11:N44" si="3">M11-L11</f>
        <v>-0.71100000000000207</v>
      </c>
    </row>
    <row r="12" spans="1:14">
      <c r="A12">
        <v>8</v>
      </c>
      <c r="B12" s="59" t="s">
        <v>86</v>
      </c>
      <c r="C12" s="61">
        <v>15.881</v>
      </c>
      <c r="D12" s="61">
        <v>4.3689999999999998</v>
      </c>
      <c r="E12" s="69">
        <f t="shared" si="0"/>
        <v>-11.512</v>
      </c>
      <c r="F12" s="61">
        <v>18.365999999999985</v>
      </c>
      <c r="G12" s="61">
        <v>14.255000000000001</v>
      </c>
      <c r="H12" s="69">
        <f t="shared" si="1"/>
        <v>-4.1109999999999847</v>
      </c>
      <c r="I12" s="61">
        <v>-0.52200000000000002</v>
      </c>
      <c r="J12" s="61">
        <v>0</v>
      </c>
      <c r="K12" s="70">
        <f t="shared" si="2"/>
        <v>0.52200000000000002</v>
      </c>
      <c r="L12" s="61">
        <v>4.4630000000000001</v>
      </c>
      <c r="M12" s="67">
        <v>3.4740000000000002</v>
      </c>
      <c r="N12" s="69">
        <f t="shared" si="3"/>
        <v>-0.98899999999999988</v>
      </c>
    </row>
    <row r="13" spans="1:14">
      <c r="A13">
        <v>5</v>
      </c>
      <c r="B13" s="59" t="s">
        <v>83</v>
      </c>
      <c r="C13" s="61">
        <v>10.037000000000001</v>
      </c>
      <c r="D13" s="61">
        <v>4.0309999999999917</v>
      </c>
      <c r="E13" s="69">
        <f t="shared" si="0"/>
        <v>-6.0060000000000091</v>
      </c>
      <c r="F13" s="61">
        <v>30.425999999999998</v>
      </c>
      <c r="G13" s="61">
        <v>79.959000000000003</v>
      </c>
      <c r="H13" s="60">
        <f t="shared" si="1"/>
        <v>49.533000000000001</v>
      </c>
      <c r="I13" s="61">
        <v>16.132999999999999</v>
      </c>
      <c r="J13" s="61">
        <v>20.674999999999997</v>
      </c>
      <c r="K13" s="70">
        <f t="shared" si="2"/>
        <v>4.541999999999998</v>
      </c>
      <c r="L13" s="61">
        <v>22.693000000000001</v>
      </c>
      <c r="M13" s="67">
        <v>27.521999999999998</v>
      </c>
      <c r="N13" s="70">
        <f t="shared" si="3"/>
        <v>4.8289999999999971</v>
      </c>
    </row>
    <row r="14" spans="1:14">
      <c r="A14">
        <v>25</v>
      </c>
      <c r="B14" s="59" t="s">
        <v>103</v>
      </c>
      <c r="C14" s="61">
        <v>34.076000000000001</v>
      </c>
      <c r="D14" s="61">
        <v>32.725999999999999</v>
      </c>
      <c r="E14" s="69">
        <f t="shared" si="0"/>
        <v>-1.3500000000000014</v>
      </c>
      <c r="F14" s="61">
        <v>169.97900000000001</v>
      </c>
      <c r="G14" s="61">
        <v>139.97300000000001</v>
      </c>
      <c r="H14" s="69">
        <f t="shared" si="1"/>
        <v>-30.006</v>
      </c>
      <c r="I14" s="61">
        <v>-19.146000000000001</v>
      </c>
      <c r="J14" s="61">
        <v>9.3579999999999988</v>
      </c>
      <c r="K14" s="70">
        <f t="shared" si="2"/>
        <v>28.503999999999998</v>
      </c>
      <c r="L14" s="61">
        <v>45.368000000000002</v>
      </c>
      <c r="M14" s="67">
        <v>38.094000000000001</v>
      </c>
      <c r="N14" s="69">
        <f t="shared" si="3"/>
        <v>-7.2740000000000009</v>
      </c>
    </row>
    <row r="15" spans="1:14">
      <c r="A15">
        <v>26</v>
      </c>
      <c r="B15" s="59" t="s">
        <v>104</v>
      </c>
      <c r="C15" s="61">
        <v>25.341999999999999</v>
      </c>
      <c r="D15" s="61">
        <v>24.250999999999998</v>
      </c>
      <c r="E15" s="69">
        <f t="shared" si="0"/>
        <v>-1.0910000000000011</v>
      </c>
      <c r="F15" s="61">
        <v>132.351</v>
      </c>
      <c r="G15" s="61">
        <v>130.92699999999999</v>
      </c>
      <c r="H15" s="69">
        <f t="shared" si="1"/>
        <v>-1.4240000000000066</v>
      </c>
      <c r="I15" s="61">
        <v>12.54</v>
      </c>
      <c r="J15" s="61">
        <v>12.203999999999999</v>
      </c>
      <c r="K15" s="69">
        <f t="shared" si="2"/>
        <v>-0.3360000000000003</v>
      </c>
      <c r="L15" s="60">
        <v>53.308</v>
      </c>
      <c r="M15" s="68">
        <v>52.114999999999995</v>
      </c>
      <c r="N15" s="69">
        <f t="shared" si="3"/>
        <v>-1.1930000000000049</v>
      </c>
    </row>
    <row r="16" spans="1:14">
      <c r="A16">
        <v>27</v>
      </c>
      <c r="B16" s="59" t="s">
        <v>105</v>
      </c>
      <c r="C16" s="61">
        <v>42.502000000000002</v>
      </c>
      <c r="D16" s="61">
        <v>41.963999999999999</v>
      </c>
      <c r="E16" s="69">
        <f t="shared" si="0"/>
        <v>-0.53800000000000381</v>
      </c>
      <c r="F16" s="61">
        <v>88.554000000000002</v>
      </c>
      <c r="G16" s="61">
        <v>70.143000000000001</v>
      </c>
      <c r="H16" s="69">
        <f t="shared" si="1"/>
        <v>-18.411000000000001</v>
      </c>
      <c r="I16" s="61">
        <v>47.128</v>
      </c>
      <c r="J16" s="61">
        <v>46.12</v>
      </c>
      <c r="K16" s="69">
        <f t="shared" si="2"/>
        <v>-1.0080000000000027</v>
      </c>
      <c r="L16" s="61">
        <v>10.222</v>
      </c>
      <c r="M16" s="67">
        <v>9.9159999999999986</v>
      </c>
      <c r="N16" s="69">
        <f t="shared" si="3"/>
        <v>-0.30600000000000094</v>
      </c>
    </row>
    <row r="17" spans="1:14">
      <c r="A17">
        <v>19</v>
      </c>
      <c r="B17" s="59" t="s">
        <v>97</v>
      </c>
      <c r="C17" s="61">
        <v>16</v>
      </c>
      <c r="D17" s="61">
        <v>15.813999999999993</v>
      </c>
      <c r="E17" s="69">
        <f t="shared" si="0"/>
        <v>-0.18600000000000705</v>
      </c>
      <c r="F17" s="61">
        <v>149.60400000000001</v>
      </c>
      <c r="G17" s="61">
        <v>155.85</v>
      </c>
      <c r="H17" s="60">
        <f t="shared" si="1"/>
        <v>6.2459999999999809</v>
      </c>
      <c r="I17" s="61">
        <v>0</v>
      </c>
      <c r="J17" s="61">
        <v>0</v>
      </c>
      <c r="K17" s="71">
        <f t="shared" si="2"/>
        <v>0</v>
      </c>
      <c r="L17" s="61">
        <v>21.282</v>
      </c>
      <c r="M17" s="67">
        <v>21.323</v>
      </c>
      <c r="N17" s="70">
        <f t="shared" si="3"/>
        <v>4.1000000000000369E-2</v>
      </c>
    </row>
    <row r="18" spans="1:14">
      <c r="A18">
        <v>7</v>
      </c>
      <c r="B18" s="59" t="s">
        <v>85</v>
      </c>
      <c r="C18" s="61">
        <v>26.776</v>
      </c>
      <c r="D18" s="61">
        <v>26.595999999999997</v>
      </c>
      <c r="E18" s="69">
        <f t="shared" si="0"/>
        <v>-0.18000000000000327</v>
      </c>
      <c r="F18" s="61">
        <v>132.86099999999999</v>
      </c>
      <c r="G18" s="61">
        <v>130.15400000000002</v>
      </c>
      <c r="H18" s="69">
        <f t="shared" si="1"/>
        <v>-2.7069999999999652</v>
      </c>
      <c r="I18" s="61">
        <v>28.382000000000001</v>
      </c>
      <c r="J18" s="61">
        <v>28.154999999999994</v>
      </c>
      <c r="K18" s="69">
        <f t="shared" si="2"/>
        <v>-0.22700000000000742</v>
      </c>
      <c r="L18" s="61">
        <v>4.8949999999999996</v>
      </c>
      <c r="M18" s="67">
        <v>4.7979999999999947</v>
      </c>
      <c r="N18" s="69">
        <f t="shared" si="3"/>
        <v>-9.700000000000486E-2</v>
      </c>
    </row>
    <row r="19" spans="1:14">
      <c r="A19">
        <v>23</v>
      </c>
      <c r="B19" s="59" t="s">
        <v>101</v>
      </c>
      <c r="C19" s="61">
        <v>28.114999999999998</v>
      </c>
      <c r="D19" s="61">
        <v>27.974999999999994</v>
      </c>
      <c r="E19" s="69">
        <f t="shared" si="0"/>
        <v>-0.14000000000000412</v>
      </c>
      <c r="F19" s="61">
        <v>58.725000000000001</v>
      </c>
      <c r="G19" s="61">
        <v>58.620000000000005</v>
      </c>
      <c r="H19" s="69">
        <f t="shared" si="1"/>
        <v>-0.10499999999999687</v>
      </c>
      <c r="I19" s="61">
        <v>62.564999999999998</v>
      </c>
      <c r="J19" s="61">
        <v>62.449999999999989</v>
      </c>
      <c r="K19" s="69">
        <f t="shared" si="2"/>
        <v>-0.11500000000000909</v>
      </c>
      <c r="L19" s="61">
        <v>-6.8650000000000002</v>
      </c>
      <c r="M19" s="67">
        <v>0.27999999999999936</v>
      </c>
      <c r="N19" s="70">
        <f t="shared" si="3"/>
        <v>7.1449999999999996</v>
      </c>
    </row>
    <row r="20" spans="1:14">
      <c r="A20">
        <v>34</v>
      </c>
      <c r="B20" s="59" t="s">
        <v>112</v>
      </c>
      <c r="C20" s="61">
        <v>27.466999999999999</v>
      </c>
      <c r="D20" s="61">
        <v>27.33</v>
      </c>
      <c r="E20" s="69">
        <f t="shared" si="0"/>
        <v>-0.13700000000000045</v>
      </c>
      <c r="F20" s="61">
        <v>13.657999999999999</v>
      </c>
      <c r="G20" s="61">
        <v>13.823</v>
      </c>
      <c r="H20" s="70">
        <f t="shared" si="1"/>
        <v>0.16500000000000092</v>
      </c>
      <c r="I20" s="61">
        <v>18.808</v>
      </c>
      <c r="J20" s="61">
        <v>18.334999999999997</v>
      </c>
      <c r="K20" s="69">
        <f t="shared" si="2"/>
        <v>-0.47300000000000253</v>
      </c>
      <c r="L20" s="61">
        <v>5.0350000000000001</v>
      </c>
      <c r="M20" s="67">
        <v>4.2410000000000005</v>
      </c>
      <c r="N20" s="69">
        <f t="shared" si="3"/>
        <v>-0.79399999999999959</v>
      </c>
    </row>
    <row r="21" spans="1:14">
      <c r="A21">
        <v>18</v>
      </c>
      <c r="B21" s="59" t="s">
        <v>96</v>
      </c>
      <c r="C21" s="61">
        <v>17.863</v>
      </c>
      <c r="D21" s="61">
        <v>17.800999999999998</v>
      </c>
      <c r="E21" s="69">
        <f t="shared" si="0"/>
        <v>-6.2000000000001165E-2</v>
      </c>
      <c r="F21" s="61">
        <v>65.968000000000004</v>
      </c>
      <c r="G21" s="61">
        <v>62.200999999999993</v>
      </c>
      <c r="H21" s="69">
        <f t="shared" si="1"/>
        <v>-3.7670000000000101</v>
      </c>
      <c r="I21" s="61">
        <v>-3.4649999999999999</v>
      </c>
      <c r="J21" s="61">
        <v>0</v>
      </c>
      <c r="K21" s="70">
        <f t="shared" si="2"/>
        <v>3.4649999999999999</v>
      </c>
      <c r="L21" s="61">
        <v>9.5000000000000001E-2</v>
      </c>
      <c r="M21" s="67">
        <v>0</v>
      </c>
      <c r="N21" s="69">
        <f t="shared" si="3"/>
        <v>-9.5000000000000001E-2</v>
      </c>
    </row>
    <row r="22" spans="1:14">
      <c r="A22">
        <v>4</v>
      </c>
      <c r="B22" s="59" t="s">
        <v>82</v>
      </c>
      <c r="C22" s="61">
        <v>3.13</v>
      </c>
      <c r="D22" s="61">
        <v>3.1280000000000001</v>
      </c>
      <c r="E22" s="71">
        <f t="shared" si="0"/>
        <v>-1.9999999999997797E-3</v>
      </c>
      <c r="F22" s="61">
        <v>121.413</v>
      </c>
      <c r="G22" s="61">
        <v>113.11500000000007</v>
      </c>
      <c r="H22" s="69">
        <f t="shared" si="1"/>
        <v>-8.2979999999999308</v>
      </c>
      <c r="I22" s="61">
        <v>0</v>
      </c>
      <c r="J22" s="61">
        <v>0</v>
      </c>
      <c r="K22" s="71">
        <f t="shared" si="2"/>
        <v>0</v>
      </c>
      <c r="L22" s="61">
        <v>158.309</v>
      </c>
      <c r="M22" s="67">
        <v>158.68499999999997</v>
      </c>
      <c r="N22" s="70">
        <f t="shared" si="3"/>
        <v>0.37599999999997635</v>
      </c>
    </row>
    <row r="23" spans="1:14">
      <c r="A23">
        <v>17</v>
      </c>
      <c r="B23" s="59" t="s">
        <v>95</v>
      </c>
      <c r="C23" s="61">
        <v>13.263</v>
      </c>
      <c r="D23" s="61">
        <v>13.262999999999998</v>
      </c>
      <c r="E23" s="71">
        <f t="shared" si="0"/>
        <v>0</v>
      </c>
      <c r="F23" s="61">
        <v>29.908000000000001</v>
      </c>
      <c r="G23" s="61">
        <v>62.203000000000017</v>
      </c>
      <c r="H23" s="70">
        <f t="shared" si="1"/>
        <v>32.295000000000016</v>
      </c>
      <c r="I23" s="61">
        <v>33.590000000000003</v>
      </c>
      <c r="J23" s="61">
        <v>33.589999999999996</v>
      </c>
      <c r="K23" s="71">
        <f t="shared" si="2"/>
        <v>0</v>
      </c>
      <c r="L23" s="61">
        <v>16.864000000000001</v>
      </c>
      <c r="M23" s="67">
        <v>0.24200000000000088</v>
      </c>
      <c r="N23" s="69">
        <f t="shared" si="3"/>
        <v>-16.622</v>
      </c>
    </row>
    <row r="24" spans="1:14">
      <c r="A24">
        <v>22</v>
      </c>
      <c r="B24" s="59" t="s">
        <v>100</v>
      </c>
      <c r="C24" s="61">
        <v>14.705</v>
      </c>
      <c r="D24" s="61">
        <v>14.705000000000002</v>
      </c>
      <c r="E24" s="71">
        <f t="shared" si="0"/>
        <v>0</v>
      </c>
      <c r="F24" s="61">
        <v>56.005000000000003</v>
      </c>
      <c r="G24" s="61">
        <v>55.999999999999986</v>
      </c>
      <c r="H24" s="69">
        <f t="shared" si="1"/>
        <v>-5.0000000000167688E-3</v>
      </c>
      <c r="I24" s="61">
        <v>30.555</v>
      </c>
      <c r="J24" s="61">
        <v>30.3</v>
      </c>
      <c r="K24" s="69">
        <f t="shared" si="2"/>
        <v>-0.25499999999999901</v>
      </c>
      <c r="L24" s="61">
        <v>5.8650000000000002</v>
      </c>
      <c r="M24" s="67">
        <v>5.7350000000000003</v>
      </c>
      <c r="N24" s="69">
        <f t="shared" si="3"/>
        <v>-0.12999999999999989</v>
      </c>
    </row>
    <row r="25" spans="1:14">
      <c r="A25">
        <v>32</v>
      </c>
      <c r="B25" s="59" t="s">
        <v>110</v>
      </c>
      <c r="C25" s="61">
        <v>0</v>
      </c>
      <c r="D25" s="61">
        <v>0</v>
      </c>
      <c r="E25" s="71">
        <f t="shared" si="0"/>
        <v>0</v>
      </c>
      <c r="F25" s="61">
        <v>29.015000000000001</v>
      </c>
      <c r="G25" s="61">
        <v>29.015000000000004</v>
      </c>
      <c r="H25" s="71">
        <f t="shared" si="1"/>
        <v>0</v>
      </c>
      <c r="I25" s="61">
        <v>61.234999999999999</v>
      </c>
      <c r="J25" s="61">
        <v>61.175000000000004</v>
      </c>
      <c r="K25" s="69">
        <f t="shared" si="2"/>
        <v>-5.9999999999995168E-2</v>
      </c>
      <c r="L25" s="61">
        <v>12.19</v>
      </c>
      <c r="M25" s="61">
        <v>12.19</v>
      </c>
      <c r="N25" s="71">
        <f t="shared" si="3"/>
        <v>0</v>
      </c>
    </row>
    <row r="26" spans="1:14">
      <c r="A26">
        <v>13</v>
      </c>
      <c r="B26" s="59" t="s">
        <v>91</v>
      </c>
      <c r="C26" s="61">
        <v>26.488</v>
      </c>
      <c r="D26" s="61">
        <v>26.488</v>
      </c>
      <c r="E26" s="71">
        <f t="shared" si="0"/>
        <v>0</v>
      </c>
      <c r="F26" s="61">
        <v>32.468000000000004</v>
      </c>
      <c r="G26" s="61">
        <v>38.490000000000023</v>
      </c>
      <c r="H26" s="70">
        <f t="shared" si="1"/>
        <v>6.0220000000000198</v>
      </c>
      <c r="I26" s="61">
        <v>25.995999999999999</v>
      </c>
      <c r="J26" s="61">
        <v>25.995999999999999</v>
      </c>
      <c r="K26" s="71">
        <f t="shared" si="2"/>
        <v>0</v>
      </c>
      <c r="L26" s="61">
        <v>12</v>
      </c>
      <c r="M26" s="67">
        <v>12</v>
      </c>
      <c r="N26" s="71">
        <f t="shared" si="3"/>
        <v>0</v>
      </c>
    </row>
    <row r="27" spans="1:14">
      <c r="A27">
        <v>3</v>
      </c>
      <c r="B27" s="59" t="s">
        <v>81</v>
      </c>
      <c r="C27" s="61">
        <v>0</v>
      </c>
      <c r="D27" s="61">
        <v>0</v>
      </c>
      <c r="E27" s="71">
        <f t="shared" si="0"/>
        <v>0</v>
      </c>
      <c r="F27" s="61">
        <v>142.52000000000001</v>
      </c>
      <c r="G27" s="61">
        <v>142.52000000000004</v>
      </c>
      <c r="H27" s="71">
        <f t="shared" si="1"/>
        <v>0</v>
      </c>
      <c r="I27" s="61">
        <v>6.5979999999999999</v>
      </c>
      <c r="J27" s="61">
        <v>6.5980000000000025</v>
      </c>
      <c r="K27" s="71">
        <f t="shared" si="2"/>
        <v>0</v>
      </c>
      <c r="L27" s="61">
        <v>15.242000000000001</v>
      </c>
      <c r="M27" s="61">
        <v>15.242000000000001</v>
      </c>
      <c r="N27" s="71">
        <f t="shared" si="3"/>
        <v>0</v>
      </c>
    </row>
    <row r="28" spans="1:14">
      <c r="A28">
        <v>11</v>
      </c>
      <c r="B28" s="59" t="s">
        <v>89</v>
      </c>
      <c r="C28" s="61">
        <v>92.138999999999996</v>
      </c>
      <c r="D28" s="61">
        <v>92.138999999999996</v>
      </c>
      <c r="E28" s="71">
        <f t="shared" si="0"/>
        <v>0</v>
      </c>
      <c r="F28" s="61">
        <v>199.01300000000001</v>
      </c>
      <c r="G28" s="61">
        <v>199.01300000000003</v>
      </c>
      <c r="H28" s="71">
        <f t="shared" si="1"/>
        <v>0</v>
      </c>
      <c r="I28" s="61">
        <v>0</v>
      </c>
      <c r="J28" s="61">
        <v>0</v>
      </c>
      <c r="K28" s="71">
        <f t="shared" si="2"/>
        <v>0</v>
      </c>
      <c r="L28" s="61">
        <v>14.34</v>
      </c>
      <c r="M28" s="61">
        <v>14.339999999999996</v>
      </c>
      <c r="N28" s="71">
        <f t="shared" si="3"/>
        <v>0</v>
      </c>
    </row>
    <row r="29" spans="1:14">
      <c r="A29">
        <v>15</v>
      </c>
      <c r="B29" s="59" t="s">
        <v>93</v>
      </c>
      <c r="C29" s="61">
        <v>4.1539999999999999</v>
      </c>
      <c r="D29" s="61">
        <v>4.1539999999999999</v>
      </c>
      <c r="E29" s="71">
        <f t="shared" si="0"/>
        <v>0</v>
      </c>
      <c r="F29" s="61">
        <v>25.788</v>
      </c>
      <c r="G29" s="61">
        <v>25.788000000000004</v>
      </c>
      <c r="H29" s="71">
        <f t="shared" si="1"/>
        <v>0</v>
      </c>
      <c r="I29" s="61">
        <v>0</v>
      </c>
      <c r="J29" s="61">
        <v>0</v>
      </c>
      <c r="K29" s="71">
        <f t="shared" si="2"/>
        <v>0</v>
      </c>
      <c r="L29" s="61">
        <v>24.498000000000001</v>
      </c>
      <c r="M29" s="61">
        <v>24.498000000000001</v>
      </c>
      <c r="N29" s="71">
        <f t="shared" si="3"/>
        <v>0</v>
      </c>
    </row>
    <row r="30" spans="1:14">
      <c r="A30">
        <v>20</v>
      </c>
      <c r="B30" s="59" t="s">
        <v>98</v>
      </c>
      <c r="C30" s="61">
        <v>16.925000000000001</v>
      </c>
      <c r="D30" s="61">
        <v>16.925000000000001</v>
      </c>
      <c r="E30" s="71">
        <f t="shared" si="0"/>
        <v>0</v>
      </c>
      <c r="F30" s="61">
        <v>41.725999999999999</v>
      </c>
      <c r="G30" s="61">
        <v>41.725999999999999</v>
      </c>
      <c r="H30" s="71">
        <f t="shared" si="1"/>
        <v>0</v>
      </c>
      <c r="I30" s="61">
        <v>7.7140000000000004</v>
      </c>
      <c r="J30" s="61">
        <v>7.7140000000000004</v>
      </c>
      <c r="K30" s="71">
        <f t="shared" si="2"/>
        <v>0</v>
      </c>
      <c r="L30" s="61">
        <v>31.911000000000001</v>
      </c>
      <c r="M30" s="61">
        <v>31.911000000000001</v>
      </c>
      <c r="N30" s="71">
        <f t="shared" si="3"/>
        <v>0</v>
      </c>
    </row>
    <row r="31" spans="1:14">
      <c r="A31">
        <v>33</v>
      </c>
      <c r="B31" s="59" t="s">
        <v>111</v>
      </c>
      <c r="C31" s="61">
        <v>12.682</v>
      </c>
      <c r="D31" s="61">
        <v>12.681999999999999</v>
      </c>
      <c r="E31" s="71">
        <f t="shared" si="0"/>
        <v>0</v>
      </c>
      <c r="F31" s="61">
        <v>44.735999999999997</v>
      </c>
      <c r="G31" s="61">
        <v>44.736000000000004</v>
      </c>
      <c r="H31" s="71">
        <f t="shared" si="1"/>
        <v>0</v>
      </c>
      <c r="I31" s="61">
        <v>20.59</v>
      </c>
      <c r="J31" s="61">
        <v>20.59</v>
      </c>
      <c r="K31" s="71">
        <f t="shared" si="2"/>
        <v>0</v>
      </c>
      <c r="L31" s="61">
        <v>17.34</v>
      </c>
      <c r="M31" s="61">
        <v>17.34</v>
      </c>
      <c r="N31" s="71">
        <f t="shared" si="3"/>
        <v>0</v>
      </c>
    </row>
    <row r="32" spans="1:14">
      <c r="A32">
        <v>1</v>
      </c>
      <c r="B32" s="59" t="s">
        <v>79</v>
      </c>
      <c r="C32" s="61">
        <v>0.49099999999999999</v>
      </c>
      <c r="D32" s="61">
        <v>0.49200000000003286</v>
      </c>
      <c r="E32" s="71">
        <f t="shared" si="0"/>
        <v>1.0000000000328635E-3</v>
      </c>
      <c r="F32" s="61">
        <v>32.691000000000003</v>
      </c>
      <c r="G32" s="61">
        <v>32.694999999999986</v>
      </c>
      <c r="H32" s="71">
        <f t="shared" si="1"/>
        <v>3.9999999999835723E-3</v>
      </c>
      <c r="I32" s="61">
        <v>31.38</v>
      </c>
      <c r="J32" s="61">
        <v>31.380000000000003</v>
      </c>
      <c r="K32" s="71">
        <f t="shared" si="2"/>
        <v>0</v>
      </c>
      <c r="L32" s="61">
        <v>10.289</v>
      </c>
      <c r="M32" s="61">
        <v>10.29</v>
      </c>
      <c r="N32" s="71">
        <f t="shared" si="3"/>
        <v>9.9999999999944578E-4</v>
      </c>
    </row>
    <row r="33" spans="1:14">
      <c r="A33">
        <v>6</v>
      </c>
      <c r="B33" s="59" t="s">
        <v>84</v>
      </c>
      <c r="C33" s="61">
        <v>19.736999999999998</v>
      </c>
      <c r="D33" s="61">
        <v>19.739999999999998</v>
      </c>
      <c r="E33" s="71">
        <f t="shared" si="0"/>
        <v>3.0000000000001137E-3</v>
      </c>
      <c r="F33" s="61">
        <v>60.695</v>
      </c>
      <c r="G33" s="61">
        <v>60.682000000000002</v>
      </c>
      <c r="H33" s="69">
        <f t="shared" si="1"/>
        <v>-1.2999999999998124E-2</v>
      </c>
      <c r="I33" s="61">
        <v>4.2690000000000001</v>
      </c>
      <c r="J33" s="61">
        <v>4.3600000000000003</v>
      </c>
      <c r="K33" s="70">
        <f t="shared" si="2"/>
        <v>9.1000000000000192E-2</v>
      </c>
      <c r="L33" s="61">
        <v>23.201000000000001</v>
      </c>
      <c r="M33" s="67">
        <v>23.15</v>
      </c>
      <c r="N33" s="69">
        <f t="shared" si="3"/>
        <v>-5.1000000000001933E-2</v>
      </c>
    </row>
    <row r="34" spans="1:14">
      <c r="A34">
        <v>9</v>
      </c>
      <c r="B34" s="59" t="s">
        <v>87</v>
      </c>
      <c r="C34" s="61">
        <v>31.082000000000001</v>
      </c>
      <c r="D34" s="61">
        <v>31.151999999999987</v>
      </c>
      <c r="E34" s="70">
        <f t="shared" si="0"/>
        <v>6.9999999999986073E-2</v>
      </c>
      <c r="F34" s="61">
        <v>0.60599999999999998</v>
      </c>
      <c r="G34" s="61">
        <v>0.60700000000001353</v>
      </c>
      <c r="H34" s="71">
        <f t="shared" si="1"/>
        <v>1.0000000000135456E-3</v>
      </c>
      <c r="I34" s="61">
        <v>16.986999999999998</v>
      </c>
      <c r="J34" s="61">
        <v>17.003999999999994</v>
      </c>
      <c r="K34" s="70">
        <f t="shared" si="2"/>
        <v>1.6999999999995907E-2</v>
      </c>
      <c r="L34" s="61">
        <v>8.0549999999999997</v>
      </c>
      <c r="M34" s="67">
        <v>8.3040000000000038</v>
      </c>
      <c r="N34" s="70">
        <f t="shared" si="3"/>
        <v>0.24900000000000411</v>
      </c>
    </row>
    <row r="35" spans="1:14">
      <c r="A35">
        <v>12</v>
      </c>
      <c r="B35" s="59" t="s">
        <v>90</v>
      </c>
      <c r="C35" s="61">
        <v>22.827000000000002</v>
      </c>
      <c r="D35" s="61">
        <v>22.924999999999997</v>
      </c>
      <c r="E35" s="70">
        <f t="shared" si="0"/>
        <v>9.7999999999995424E-2</v>
      </c>
      <c r="F35" s="61">
        <v>84.471000000000004</v>
      </c>
      <c r="G35" s="61">
        <v>84.569000000000017</v>
      </c>
      <c r="H35" s="70">
        <f t="shared" si="1"/>
        <v>9.8000000000013188E-2</v>
      </c>
      <c r="I35" s="61">
        <v>4.7469999999999999</v>
      </c>
      <c r="J35" s="61">
        <v>4.8439999999999976</v>
      </c>
      <c r="K35" s="70">
        <f t="shared" si="2"/>
        <v>9.6999999999997755E-2</v>
      </c>
      <c r="L35" s="61">
        <v>28.265999999999998</v>
      </c>
      <c r="M35" s="67">
        <v>28.358000000000004</v>
      </c>
      <c r="N35" s="70">
        <f t="shared" si="3"/>
        <v>9.2000000000005855E-2</v>
      </c>
    </row>
    <row r="36" spans="1:14">
      <c r="A36">
        <v>10</v>
      </c>
      <c r="B36" s="59" t="s">
        <v>88</v>
      </c>
      <c r="C36" s="61">
        <v>2.5070000000000001</v>
      </c>
      <c r="D36" s="61">
        <v>2.7839999999999847</v>
      </c>
      <c r="E36" s="70">
        <f t="shared" si="0"/>
        <v>0.27699999999998459</v>
      </c>
      <c r="F36" s="61">
        <v>78.734999999999999</v>
      </c>
      <c r="G36" s="61">
        <v>101.685</v>
      </c>
      <c r="H36" s="70">
        <f t="shared" si="1"/>
        <v>22.950000000000003</v>
      </c>
      <c r="I36" s="61">
        <v>0</v>
      </c>
      <c r="J36" s="61">
        <v>0</v>
      </c>
      <c r="K36" s="71">
        <f t="shared" si="2"/>
        <v>0</v>
      </c>
      <c r="L36" s="61">
        <v>10.496</v>
      </c>
      <c r="M36" s="67">
        <v>10.731999999999999</v>
      </c>
      <c r="N36" s="70">
        <f t="shared" si="3"/>
        <v>0.23599999999999888</v>
      </c>
    </row>
    <row r="37" spans="1:14">
      <c r="A37">
        <v>16</v>
      </c>
      <c r="B37" s="59" t="s">
        <v>94</v>
      </c>
      <c r="C37" s="61">
        <v>18.437999999999999</v>
      </c>
      <c r="D37" s="61">
        <v>18.716000000000001</v>
      </c>
      <c r="E37" s="70">
        <f t="shared" si="0"/>
        <v>0.27800000000000225</v>
      </c>
      <c r="F37" s="61">
        <v>255.98399999999998</v>
      </c>
      <c r="G37" s="61">
        <v>258.37799999999999</v>
      </c>
      <c r="H37" s="70">
        <f t="shared" si="1"/>
        <v>2.3940000000000055</v>
      </c>
      <c r="I37" s="61">
        <v>11.956</v>
      </c>
      <c r="J37" s="61">
        <v>12.158000000000007</v>
      </c>
      <c r="K37" s="70">
        <f t="shared" si="2"/>
        <v>0.20200000000000706</v>
      </c>
      <c r="L37" s="61">
        <v>127.833</v>
      </c>
      <c r="M37" s="67">
        <v>127.96100000000001</v>
      </c>
      <c r="N37" s="70">
        <f t="shared" si="3"/>
        <v>0.12800000000001432</v>
      </c>
    </row>
    <row r="38" spans="1:14">
      <c r="A38">
        <v>24</v>
      </c>
      <c r="B38" s="65" t="s">
        <v>102</v>
      </c>
      <c r="C38" s="61">
        <v>25.209</v>
      </c>
      <c r="D38" s="61">
        <v>25.548999999999999</v>
      </c>
      <c r="E38" s="70">
        <f t="shared" si="0"/>
        <v>0.33999999999999986</v>
      </c>
      <c r="F38" s="61">
        <v>32.146000000000001</v>
      </c>
      <c r="G38" s="61">
        <v>32.365000000000016</v>
      </c>
      <c r="H38" s="70">
        <f t="shared" si="1"/>
        <v>0.2190000000000154</v>
      </c>
      <c r="I38" s="61">
        <v>0</v>
      </c>
      <c r="J38" s="61">
        <v>0</v>
      </c>
      <c r="K38" s="71">
        <f t="shared" si="2"/>
        <v>0</v>
      </c>
      <c r="L38" s="61">
        <v>24.15</v>
      </c>
      <c r="M38" s="67">
        <v>24.262</v>
      </c>
      <c r="N38" s="70">
        <f t="shared" si="3"/>
        <v>0.11200000000000188</v>
      </c>
    </row>
    <row r="39" spans="1:14">
      <c r="A39">
        <v>14</v>
      </c>
      <c r="B39" s="59" t="s">
        <v>92</v>
      </c>
      <c r="C39" s="61">
        <v>25.709</v>
      </c>
      <c r="D39" s="61">
        <v>26.337999999999994</v>
      </c>
      <c r="E39" s="70">
        <f t="shared" si="0"/>
        <v>0.62899999999999423</v>
      </c>
      <c r="F39" s="61">
        <v>120.74299999999999</v>
      </c>
      <c r="G39" s="61">
        <v>123.20700000000004</v>
      </c>
      <c r="H39" s="70">
        <f t="shared" si="1"/>
        <v>2.4640000000000413</v>
      </c>
      <c r="I39" s="61">
        <v>0</v>
      </c>
      <c r="J39" s="61">
        <v>0</v>
      </c>
      <c r="K39" s="71">
        <f t="shared" si="2"/>
        <v>0</v>
      </c>
      <c r="L39" s="61">
        <v>107.13200000000001</v>
      </c>
      <c r="M39" s="67">
        <v>107.062</v>
      </c>
      <c r="N39" s="69">
        <f t="shared" si="3"/>
        <v>-7.000000000000739E-2</v>
      </c>
    </row>
    <row r="40" spans="1:14">
      <c r="A40">
        <v>30</v>
      </c>
      <c r="B40" s="59" t="s">
        <v>108</v>
      </c>
      <c r="C40" s="61">
        <v>7.0629999999999997</v>
      </c>
      <c r="D40" s="61">
        <v>7.9230000000000018</v>
      </c>
      <c r="E40" s="70">
        <f t="shared" si="0"/>
        <v>0.8600000000000021</v>
      </c>
      <c r="F40" s="61">
        <v>61.970999999999997</v>
      </c>
      <c r="G40" s="61">
        <v>65.37</v>
      </c>
      <c r="H40" s="70">
        <f t="shared" si="1"/>
        <v>3.399000000000008</v>
      </c>
      <c r="I40" s="61">
        <v>0</v>
      </c>
      <c r="J40" s="61">
        <v>0</v>
      </c>
      <c r="K40" s="71">
        <f t="shared" si="2"/>
        <v>0</v>
      </c>
      <c r="L40" s="61">
        <v>23.699000000000002</v>
      </c>
      <c r="M40" s="67">
        <v>23.768000000000001</v>
      </c>
      <c r="N40" s="70">
        <f t="shared" si="3"/>
        <v>6.8999999999999062E-2</v>
      </c>
    </row>
    <row r="41" spans="1:14">
      <c r="A41">
        <v>21</v>
      </c>
      <c r="B41" s="59" t="s">
        <v>99</v>
      </c>
      <c r="C41" s="61">
        <v>34.24</v>
      </c>
      <c r="D41" s="61">
        <v>35.864999999999995</v>
      </c>
      <c r="E41" s="70">
        <f t="shared" si="0"/>
        <v>1.6249999999999929</v>
      </c>
      <c r="F41" s="61">
        <v>18.13</v>
      </c>
      <c r="G41" s="61">
        <v>18.229999999999997</v>
      </c>
      <c r="H41" s="70">
        <f t="shared" si="1"/>
        <v>9.9999999999997868E-2</v>
      </c>
      <c r="I41" s="61">
        <v>21.4</v>
      </c>
      <c r="J41" s="61">
        <v>21.509999999999998</v>
      </c>
      <c r="K41" s="70">
        <f t="shared" si="2"/>
        <v>0.10999999999999943</v>
      </c>
      <c r="L41" s="61">
        <v>16.75</v>
      </c>
      <c r="M41" s="67">
        <v>16.795000000000002</v>
      </c>
      <c r="N41" s="70">
        <f t="shared" si="3"/>
        <v>4.5000000000001705E-2</v>
      </c>
    </row>
    <row r="42" spans="1:14">
      <c r="A42">
        <v>29</v>
      </c>
      <c r="B42" s="59" t="s">
        <v>107</v>
      </c>
      <c r="C42" s="61">
        <v>5.1550000000000002</v>
      </c>
      <c r="D42" s="61">
        <v>24.715</v>
      </c>
      <c r="E42" s="70">
        <f t="shared" si="0"/>
        <v>19.559999999999999</v>
      </c>
      <c r="F42" s="61">
        <v>8.5530000000000008</v>
      </c>
      <c r="G42" s="61">
        <v>6.4600000000000009</v>
      </c>
      <c r="H42" s="69">
        <f t="shared" si="1"/>
        <v>-2.093</v>
      </c>
      <c r="I42" s="61">
        <v>7.3150000000000004</v>
      </c>
      <c r="J42" s="61">
        <v>7.0949999999999998</v>
      </c>
      <c r="K42" s="69">
        <f t="shared" si="2"/>
        <v>-0.22000000000000064</v>
      </c>
      <c r="L42" s="61">
        <v>-4.3650000000000002</v>
      </c>
      <c r="M42" s="67">
        <v>3.8850000000000007</v>
      </c>
      <c r="N42" s="70">
        <f t="shared" si="3"/>
        <v>8.25</v>
      </c>
    </row>
    <row r="43" spans="1:14">
      <c r="A43">
        <v>31</v>
      </c>
      <c r="B43" s="59" t="s">
        <v>109</v>
      </c>
      <c r="C43" s="61">
        <v>-11.7</v>
      </c>
      <c r="D43" s="61">
        <v>46.771999999999998</v>
      </c>
      <c r="E43" s="70">
        <f t="shared" si="0"/>
        <v>58.471999999999994</v>
      </c>
      <c r="F43" s="61">
        <v>172.91</v>
      </c>
      <c r="G43" s="61">
        <v>6.5389999999999979</v>
      </c>
      <c r="H43" s="69">
        <f t="shared" si="1"/>
        <v>-166.37100000000001</v>
      </c>
      <c r="I43" s="61">
        <v>-48.39</v>
      </c>
      <c r="J43" s="61">
        <v>0</v>
      </c>
      <c r="K43" s="70">
        <f t="shared" si="2"/>
        <v>48.39</v>
      </c>
      <c r="L43" s="61">
        <v>72.423000000000002</v>
      </c>
      <c r="M43" s="67">
        <v>50.651000000000003</v>
      </c>
      <c r="N43" s="69">
        <f t="shared" si="3"/>
        <v>-21.771999999999998</v>
      </c>
    </row>
    <row r="44" spans="1:14">
      <c r="A44">
        <v>28</v>
      </c>
      <c r="B44" s="59" t="s">
        <v>106</v>
      </c>
      <c r="C44" s="61">
        <v>3.4289999999999998</v>
      </c>
      <c r="D44" s="61">
        <v>82.808000000000021</v>
      </c>
      <c r="E44" s="70">
        <f t="shared" si="0"/>
        <v>79.379000000000019</v>
      </c>
      <c r="F44" s="61">
        <v>3.7269999999999999</v>
      </c>
      <c r="G44" s="61">
        <v>23.852</v>
      </c>
      <c r="H44" s="70">
        <f t="shared" si="1"/>
        <v>20.125</v>
      </c>
      <c r="I44" s="61">
        <v>23.571999999999999</v>
      </c>
      <c r="J44" s="61">
        <v>23.423000000000002</v>
      </c>
      <c r="K44" s="69">
        <f t="shared" si="2"/>
        <v>-0.14899999999999736</v>
      </c>
      <c r="L44" s="61">
        <v>26.391999999999999</v>
      </c>
      <c r="M44" s="67">
        <v>26.248000000000001</v>
      </c>
      <c r="N44" s="69">
        <f t="shared" si="3"/>
        <v>-0.14399999999999835</v>
      </c>
    </row>
    <row r="47" spans="1:14">
      <c r="B47" s="58">
        <v>46160</v>
      </c>
      <c r="C47" s="50"/>
      <c r="D47" s="50"/>
      <c r="E47" s="50"/>
      <c r="F47" s="50"/>
    </row>
    <row r="48" spans="1:14">
      <c r="B48" s="32" t="s">
        <v>68</v>
      </c>
      <c r="C48" s="33">
        <v>161</v>
      </c>
      <c r="D48" s="33"/>
      <c r="E48" s="33"/>
      <c r="F48" s="33">
        <v>2054</v>
      </c>
      <c r="G48" s="34"/>
      <c r="H48" s="34"/>
      <c r="I48" s="34">
        <v>5550</v>
      </c>
      <c r="J48" s="34"/>
      <c r="K48" s="34"/>
      <c r="L48" s="34">
        <v>8899</v>
      </c>
      <c r="M48" s="1"/>
      <c r="N48" s="1"/>
    </row>
    <row r="49" spans="2:14">
      <c r="B49" s="32" t="s">
        <v>69</v>
      </c>
      <c r="C49" s="35">
        <v>100001</v>
      </c>
      <c r="D49" s="35"/>
      <c r="E49" s="35"/>
      <c r="F49" s="33">
        <v>100004</v>
      </c>
      <c r="G49" s="34"/>
      <c r="H49" s="34"/>
      <c r="I49" s="34">
        <v>100030</v>
      </c>
      <c r="J49" s="34"/>
      <c r="K49" s="34"/>
      <c r="L49" s="34">
        <v>100153</v>
      </c>
      <c r="M49" s="34"/>
      <c r="N49" s="34"/>
    </row>
    <row r="50" spans="2:14">
      <c r="B50" s="37" t="s">
        <v>70</v>
      </c>
      <c r="C50" s="33" t="s">
        <v>71</v>
      </c>
      <c r="D50" s="33"/>
      <c r="E50" s="33"/>
      <c r="F50" s="33" t="s">
        <v>71</v>
      </c>
      <c r="G50" s="38"/>
      <c r="H50" s="38"/>
      <c r="I50" s="38" t="s">
        <v>71</v>
      </c>
      <c r="J50" s="38"/>
      <c r="K50" s="38"/>
      <c r="L50" s="38" t="s">
        <v>71</v>
      </c>
      <c r="M50" s="1"/>
      <c r="N50" s="1"/>
    </row>
    <row r="51" spans="2:14">
      <c r="B51" s="39" t="s">
        <v>72</v>
      </c>
      <c r="C51" s="126" t="s">
        <v>73</v>
      </c>
      <c r="D51" s="126"/>
      <c r="E51" s="126"/>
      <c r="F51" s="122" t="s">
        <v>74</v>
      </c>
      <c r="G51" s="122"/>
      <c r="H51" s="122"/>
      <c r="I51" s="127" t="s">
        <v>75</v>
      </c>
      <c r="J51" s="127"/>
      <c r="K51" s="127"/>
      <c r="L51" s="120" t="s">
        <v>76</v>
      </c>
      <c r="M51" s="120"/>
      <c r="N51" s="120"/>
    </row>
    <row r="52" spans="2:14" ht="43.2">
      <c r="B52" s="40" t="s">
        <v>61</v>
      </c>
      <c r="C52" s="41" t="s">
        <v>116</v>
      </c>
      <c r="D52" s="41" t="s">
        <v>77</v>
      </c>
      <c r="E52" s="41" t="s">
        <v>78</v>
      </c>
      <c r="F52" s="42" t="s">
        <v>116</v>
      </c>
      <c r="G52" s="42" t="s">
        <v>77</v>
      </c>
      <c r="H52" s="42" t="s">
        <v>78</v>
      </c>
      <c r="I52" s="43" t="s">
        <v>116</v>
      </c>
      <c r="J52" s="43" t="s">
        <v>77</v>
      </c>
      <c r="K52" s="43" t="s">
        <v>78</v>
      </c>
      <c r="L52" s="44" t="s">
        <v>116</v>
      </c>
      <c r="M52" s="44" t="s">
        <v>77</v>
      </c>
      <c r="N52" s="44" t="s">
        <v>78</v>
      </c>
    </row>
    <row r="53" spans="2:14">
      <c r="B53" s="59" t="s">
        <v>109</v>
      </c>
      <c r="C53" s="61">
        <v>0.86599999999999999</v>
      </c>
      <c r="D53" s="61">
        <v>34.382999999999996</v>
      </c>
      <c r="E53" s="74">
        <f t="shared" ref="E53:E86" si="4">D53-C53</f>
        <v>33.516999999999996</v>
      </c>
      <c r="F53" s="61">
        <v>165.15</v>
      </c>
      <c r="G53" s="61">
        <v>16.358000000000004</v>
      </c>
      <c r="H53" s="69">
        <f t="shared" ref="H53:H86" si="5">G53-F53</f>
        <v>-148.792</v>
      </c>
      <c r="I53" s="61">
        <v>-50.47</v>
      </c>
      <c r="J53" s="61">
        <v>0</v>
      </c>
      <c r="K53" s="74">
        <f t="shared" ref="K53:K86" si="6">J53-I53</f>
        <v>50.47</v>
      </c>
      <c r="L53" s="61">
        <v>59.847999999999999</v>
      </c>
      <c r="M53" s="61">
        <v>37.766999999999996</v>
      </c>
      <c r="N53" s="69">
        <f t="shared" ref="N53:N86" si="7">M53-L53</f>
        <v>-22.081000000000003</v>
      </c>
    </row>
    <row r="54" spans="2:14">
      <c r="B54" s="59" t="s">
        <v>103</v>
      </c>
      <c r="C54" s="61">
        <v>28.172000000000001</v>
      </c>
      <c r="D54" s="61">
        <v>26.648</v>
      </c>
      <c r="E54" s="69">
        <f t="shared" si="4"/>
        <v>-1.5240000000000009</v>
      </c>
      <c r="F54" s="61">
        <v>175.42500000000001</v>
      </c>
      <c r="G54" s="61">
        <v>145.10399999999998</v>
      </c>
      <c r="H54" s="69">
        <f t="shared" si="5"/>
        <v>-30.321000000000026</v>
      </c>
      <c r="I54" s="61">
        <v>-21.984000000000002</v>
      </c>
      <c r="J54" s="61">
        <v>6.4370000000000003</v>
      </c>
      <c r="K54" s="74">
        <f t="shared" si="6"/>
        <v>28.421000000000003</v>
      </c>
      <c r="L54" s="61">
        <v>39.834000000000003</v>
      </c>
      <c r="M54" s="61">
        <v>32.332000000000001</v>
      </c>
      <c r="N54" s="69">
        <f t="shared" si="7"/>
        <v>-7.5020000000000024</v>
      </c>
    </row>
    <row r="55" spans="2:14">
      <c r="B55" s="59" t="s">
        <v>105</v>
      </c>
      <c r="C55" s="61">
        <v>19.777000000000001</v>
      </c>
      <c r="D55" s="61">
        <v>19.355999999999998</v>
      </c>
      <c r="E55" s="69">
        <f t="shared" si="4"/>
        <v>-0.42100000000000293</v>
      </c>
      <c r="F55" s="61">
        <v>69.745999999999995</v>
      </c>
      <c r="G55" s="61">
        <v>49.841999999999999</v>
      </c>
      <c r="H55" s="69">
        <f t="shared" si="5"/>
        <v>-19.903999999999996</v>
      </c>
      <c r="I55" s="61">
        <v>40.021999999999998</v>
      </c>
      <c r="J55" s="61">
        <v>39.087999999999994</v>
      </c>
      <c r="K55" s="69">
        <f t="shared" si="6"/>
        <v>-0.9340000000000046</v>
      </c>
      <c r="L55" s="61">
        <v>3.1059999999999999</v>
      </c>
      <c r="M55" s="61">
        <v>2.8860000000000001</v>
      </c>
      <c r="N55" s="69">
        <f t="shared" si="7"/>
        <v>-0.21999999999999975</v>
      </c>
    </row>
    <row r="56" spans="2:14">
      <c r="B56" s="59" t="s">
        <v>97</v>
      </c>
      <c r="C56" s="61">
        <v>4.7450000000000001</v>
      </c>
      <c r="D56" s="61">
        <v>4.6190000000000015</v>
      </c>
      <c r="E56" s="69">
        <f t="shared" si="4"/>
        <v>-0.12599999999999856</v>
      </c>
      <c r="F56" s="61">
        <v>155.56</v>
      </c>
      <c r="G56" s="61">
        <v>139.77600000000001</v>
      </c>
      <c r="H56" s="69">
        <f t="shared" si="5"/>
        <v>-15.783999999999992</v>
      </c>
      <c r="I56" s="61">
        <v>21.465</v>
      </c>
      <c r="J56" s="61">
        <v>21.465000000000003</v>
      </c>
      <c r="K56" s="71">
        <f t="shared" si="6"/>
        <v>0</v>
      </c>
      <c r="L56" s="61">
        <v>12.048</v>
      </c>
      <c r="M56" s="61">
        <v>12.099</v>
      </c>
      <c r="N56" s="74">
        <f t="shared" si="7"/>
        <v>5.1000000000000156E-2</v>
      </c>
    </row>
    <row r="57" spans="2:14">
      <c r="B57" s="59" t="s">
        <v>91</v>
      </c>
      <c r="C57" s="61">
        <v>26.724</v>
      </c>
      <c r="D57" s="61">
        <v>32.701000000000001</v>
      </c>
      <c r="E57" s="74">
        <f t="shared" si="4"/>
        <v>5.9770000000000003</v>
      </c>
      <c r="F57" s="61">
        <v>30.456</v>
      </c>
      <c r="G57" s="61">
        <v>18.166</v>
      </c>
      <c r="H57" s="69">
        <f t="shared" si="5"/>
        <v>-12.29</v>
      </c>
      <c r="I57" s="61">
        <v>21.420999999999999</v>
      </c>
      <c r="J57" s="61">
        <v>21.524999999999999</v>
      </c>
      <c r="K57" s="74">
        <f t="shared" si="6"/>
        <v>0.1039999999999992</v>
      </c>
      <c r="L57" s="61">
        <v>21.021000000000001</v>
      </c>
      <c r="M57" s="61">
        <v>21.164000000000001</v>
      </c>
      <c r="N57" s="74">
        <f t="shared" si="7"/>
        <v>0.14300000000000068</v>
      </c>
    </row>
    <row r="58" spans="2:14">
      <c r="B58" s="59" t="s">
        <v>101</v>
      </c>
      <c r="C58" s="61">
        <v>13.64</v>
      </c>
      <c r="D58" s="61">
        <v>27.859999999999992</v>
      </c>
      <c r="E58" s="74">
        <f t="shared" si="4"/>
        <v>14.219999999999992</v>
      </c>
      <c r="F58" s="61">
        <v>79.254999999999995</v>
      </c>
      <c r="G58" s="61">
        <v>69.254999999999995</v>
      </c>
      <c r="H58" s="69">
        <f t="shared" si="5"/>
        <v>-10</v>
      </c>
      <c r="I58" s="61">
        <v>55.505000000000003</v>
      </c>
      <c r="J58" s="61">
        <v>55.505000000000003</v>
      </c>
      <c r="K58" s="71">
        <f t="shared" si="6"/>
        <v>0</v>
      </c>
      <c r="L58" s="61">
        <v>6.52</v>
      </c>
      <c r="M58" s="61">
        <v>6.52</v>
      </c>
      <c r="N58" s="71">
        <f t="shared" si="7"/>
        <v>0</v>
      </c>
    </row>
    <row r="59" spans="2:14">
      <c r="B59" s="59" t="s">
        <v>107</v>
      </c>
      <c r="C59" s="61">
        <v>4.9450000000000003</v>
      </c>
      <c r="D59" s="61">
        <v>2.9000000000000021</v>
      </c>
      <c r="E59" s="69">
        <f t="shared" si="4"/>
        <v>-2.0449999999999982</v>
      </c>
      <c r="F59" s="61">
        <v>6.5229999999999997</v>
      </c>
      <c r="G59" s="61">
        <v>4.43</v>
      </c>
      <c r="H59" s="69">
        <f t="shared" si="5"/>
        <v>-2.093</v>
      </c>
      <c r="I59" s="61">
        <v>6.29</v>
      </c>
      <c r="J59" s="61">
        <v>6.07</v>
      </c>
      <c r="K59" s="69">
        <f t="shared" si="6"/>
        <v>-0.21999999999999975</v>
      </c>
      <c r="L59" s="61">
        <v>-37.625</v>
      </c>
      <c r="M59" s="61">
        <v>3.865000000000002</v>
      </c>
      <c r="N59" s="74">
        <f t="shared" si="7"/>
        <v>41.49</v>
      </c>
    </row>
    <row r="60" spans="2:14">
      <c r="B60" s="59" t="s">
        <v>86</v>
      </c>
      <c r="C60" s="61">
        <v>28.305</v>
      </c>
      <c r="D60" s="61">
        <v>20.647790000000001</v>
      </c>
      <c r="E60" s="69">
        <f t="shared" si="4"/>
        <v>-7.6572099999999992</v>
      </c>
      <c r="F60" s="61">
        <v>18.757000000000001</v>
      </c>
      <c r="G60" s="61">
        <v>17.083150000000025</v>
      </c>
      <c r="H60" s="69">
        <f t="shared" si="5"/>
        <v>-1.6738499999999767</v>
      </c>
      <c r="I60" s="61">
        <v>0</v>
      </c>
      <c r="J60" s="61">
        <v>0</v>
      </c>
      <c r="K60" s="71">
        <f t="shared" si="6"/>
        <v>0</v>
      </c>
      <c r="L60" s="61">
        <v>13.632999999999999</v>
      </c>
      <c r="M60" s="61">
        <v>12.702109999999989</v>
      </c>
      <c r="N60" s="69">
        <f t="shared" si="7"/>
        <v>-0.93089000000001043</v>
      </c>
    </row>
    <row r="61" spans="2:14">
      <c r="B61" s="59" t="s">
        <v>85</v>
      </c>
      <c r="C61" s="61">
        <v>23.625</v>
      </c>
      <c r="D61" s="61">
        <v>23.545000000000002</v>
      </c>
      <c r="E61" s="69">
        <f t="shared" si="4"/>
        <v>-7.9999999999998295E-2</v>
      </c>
      <c r="F61" s="61">
        <v>102.38</v>
      </c>
      <c r="G61" s="61">
        <v>100.813</v>
      </c>
      <c r="H61" s="69">
        <f t="shared" si="5"/>
        <v>-1.5669999999999931</v>
      </c>
      <c r="I61" s="61">
        <v>25.713999999999999</v>
      </c>
      <c r="J61" s="61">
        <v>25.486999999999998</v>
      </c>
      <c r="K61" s="69">
        <f t="shared" si="6"/>
        <v>-0.22700000000000031</v>
      </c>
      <c r="L61" s="61">
        <v>7.7</v>
      </c>
      <c r="M61" s="61">
        <v>7.1630000000000003</v>
      </c>
      <c r="N61" s="69">
        <f t="shared" si="7"/>
        <v>-0.53699999999999992</v>
      </c>
    </row>
    <row r="62" spans="2:14">
      <c r="B62" s="59" t="s">
        <v>108</v>
      </c>
      <c r="C62" s="61">
        <v>0.57899999999999996</v>
      </c>
      <c r="D62" s="61">
        <v>1.0350000000000001</v>
      </c>
      <c r="E62" s="74">
        <f t="shared" si="4"/>
        <v>0.45600000000000018</v>
      </c>
      <c r="F62" s="61">
        <v>63.191000000000003</v>
      </c>
      <c r="G62" s="61">
        <v>61.694000000000003</v>
      </c>
      <c r="H62" s="69">
        <f t="shared" si="5"/>
        <v>-1.4969999999999999</v>
      </c>
      <c r="I62" s="61">
        <v>0</v>
      </c>
      <c r="J62" s="61">
        <v>2.3059999999999992</v>
      </c>
      <c r="K62" s="74">
        <f t="shared" si="6"/>
        <v>2.3059999999999992</v>
      </c>
      <c r="L62" s="61">
        <v>19.491</v>
      </c>
      <c r="M62" s="61">
        <v>19.491</v>
      </c>
      <c r="N62" s="71">
        <f t="shared" si="7"/>
        <v>0</v>
      </c>
    </row>
    <row r="63" spans="2:14">
      <c r="B63" s="59" t="s">
        <v>96</v>
      </c>
      <c r="C63" s="61">
        <v>28.846</v>
      </c>
      <c r="D63" s="61">
        <v>28.784399999999998</v>
      </c>
      <c r="E63" s="69">
        <f t="shared" si="4"/>
        <v>-6.1600000000002098E-2</v>
      </c>
      <c r="F63" s="61">
        <v>36.441000000000003</v>
      </c>
      <c r="G63" s="61">
        <v>36.138999999999996</v>
      </c>
      <c r="H63" s="69">
        <f t="shared" si="5"/>
        <v>-0.30200000000000671</v>
      </c>
      <c r="I63" s="61">
        <v>23.5</v>
      </c>
      <c r="J63" s="61">
        <v>23.5</v>
      </c>
      <c r="K63" s="71">
        <f t="shared" si="6"/>
        <v>0</v>
      </c>
      <c r="L63" s="61">
        <v>15.75</v>
      </c>
      <c r="M63" s="61">
        <v>15.654999999999999</v>
      </c>
      <c r="N63" s="69">
        <f t="shared" si="7"/>
        <v>-9.5000000000000639E-2</v>
      </c>
    </row>
    <row r="64" spans="2:14">
      <c r="B64" s="59" t="s">
        <v>84</v>
      </c>
      <c r="C64" s="61">
        <v>28.384</v>
      </c>
      <c r="D64" s="61">
        <v>28.389999999999986</v>
      </c>
      <c r="E64" s="74">
        <f t="shared" si="4"/>
        <v>5.9999999999860165E-3</v>
      </c>
      <c r="F64" s="61">
        <v>61.390999999999998</v>
      </c>
      <c r="G64" s="61">
        <v>61.382000000000005</v>
      </c>
      <c r="H64" s="69">
        <f t="shared" si="5"/>
        <v>-8.9999999999932356E-3</v>
      </c>
      <c r="I64" s="61">
        <v>16.497</v>
      </c>
      <c r="J64" s="61">
        <v>16.590000000000018</v>
      </c>
      <c r="K64" s="74">
        <f t="shared" si="6"/>
        <v>9.3000000000017735E-2</v>
      </c>
      <c r="L64" s="61">
        <v>26.882999999999999</v>
      </c>
      <c r="M64" s="61">
        <v>26.83</v>
      </c>
      <c r="N64" s="69">
        <f t="shared" si="7"/>
        <v>-5.3000000000000824E-2</v>
      </c>
    </row>
    <row r="65" spans="2:14">
      <c r="B65" s="59" t="s">
        <v>104</v>
      </c>
      <c r="C65" s="61">
        <v>19.829000000000001</v>
      </c>
      <c r="D65" s="61">
        <v>19.579000000000001</v>
      </c>
      <c r="E65" s="69">
        <f t="shared" si="4"/>
        <v>-0.25</v>
      </c>
      <c r="F65" s="61">
        <v>160.55699999999999</v>
      </c>
      <c r="G65" s="61">
        <v>160.55700000000002</v>
      </c>
      <c r="H65" s="71">
        <f t="shared" si="5"/>
        <v>0</v>
      </c>
      <c r="I65" s="61">
        <v>8.6029999999999998</v>
      </c>
      <c r="J65" s="61">
        <v>8.6029999999999998</v>
      </c>
      <c r="K65" s="71">
        <f t="shared" si="6"/>
        <v>0</v>
      </c>
      <c r="L65" s="61">
        <v>50.433999999999997</v>
      </c>
      <c r="M65" s="61">
        <v>49.616</v>
      </c>
      <c r="N65" s="69">
        <f t="shared" si="7"/>
        <v>-0.81799999999999784</v>
      </c>
    </row>
    <row r="66" spans="2:14">
      <c r="B66" s="59" t="s">
        <v>110</v>
      </c>
      <c r="C66" s="61">
        <v>0</v>
      </c>
      <c r="D66" s="61">
        <v>0</v>
      </c>
      <c r="E66" s="71">
        <f t="shared" si="4"/>
        <v>0</v>
      </c>
      <c r="F66" s="61">
        <v>13.081</v>
      </c>
      <c r="G66" s="61">
        <v>13.081000000000003</v>
      </c>
      <c r="H66" s="71">
        <f t="shared" si="5"/>
        <v>0</v>
      </c>
      <c r="I66" s="61">
        <v>71.17</v>
      </c>
      <c r="J66" s="61">
        <v>71.11</v>
      </c>
      <c r="K66" s="69">
        <f t="shared" si="6"/>
        <v>-6.0000000000002274E-2</v>
      </c>
      <c r="L66" s="61">
        <v>4.1020000000000003</v>
      </c>
      <c r="M66" s="61">
        <v>4.1019999999999985</v>
      </c>
      <c r="N66" s="71">
        <f t="shared" si="7"/>
        <v>0</v>
      </c>
    </row>
    <row r="67" spans="2:14">
      <c r="B67" s="59" t="s">
        <v>81</v>
      </c>
      <c r="C67" s="61">
        <v>24.582000000000001</v>
      </c>
      <c r="D67" s="61">
        <v>24.582000000000001</v>
      </c>
      <c r="E67" s="71">
        <f t="shared" si="4"/>
        <v>0</v>
      </c>
      <c r="F67" s="61">
        <v>55.497999999999998</v>
      </c>
      <c r="G67" s="61">
        <v>55.497999999999962</v>
      </c>
      <c r="H67" s="71">
        <f t="shared" si="5"/>
        <v>0</v>
      </c>
      <c r="I67" s="61">
        <v>14.978999999999999</v>
      </c>
      <c r="J67" s="61">
        <v>14.978999999999999</v>
      </c>
      <c r="K67" s="71">
        <f t="shared" si="6"/>
        <v>0</v>
      </c>
      <c r="L67" s="61">
        <v>17.382000000000001</v>
      </c>
      <c r="M67" s="61">
        <v>17.382000000000005</v>
      </c>
      <c r="N67" s="71">
        <f t="shared" si="7"/>
        <v>0</v>
      </c>
    </row>
    <row r="68" spans="2:14">
      <c r="B68" s="59" t="s">
        <v>82</v>
      </c>
      <c r="C68" s="61">
        <v>0</v>
      </c>
      <c r="D68" s="61">
        <v>0</v>
      </c>
      <c r="E68" s="71">
        <f t="shared" si="4"/>
        <v>0</v>
      </c>
      <c r="F68" s="61">
        <v>151.44800000000001</v>
      </c>
      <c r="G68" s="61">
        <v>151.44800000000009</v>
      </c>
      <c r="H68" s="71">
        <f t="shared" si="5"/>
        <v>0</v>
      </c>
      <c r="I68" s="61">
        <v>0</v>
      </c>
      <c r="J68" s="61">
        <v>0</v>
      </c>
      <c r="K68" s="71">
        <f t="shared" si="6"/>
        <v>0</v>
      </c>
      <c r="L68" s="61">
        <v>146.61000000000001</v>
      </c>
      <c r="M68" s="61">
        <v>146.60999999999999</v>
      </c>
      <c r="N68" s="71">
        <f t="shared" si="7"/>
        <v>0</v>
      </c>
    </row>
    <row r="69" spans="2:14">
      <c r="B69" s="59" t="s">
        <v>90</v>
      </c>
      <c r="C69" s="61">
        <v>31.434000000000001</v>
      </c>
      <c r="D69" s="61">
        <v>31.433999999999983</v>
      </c>
      <c r="E69" s="71">
        <f t="shared" si="4"/>
        <v>0</v>
      </c>
      <c r="F69" s="61">
        <v>93.945999999999998</v>
      </c>
      <c r="G69" s="61">
        <v>93.945999999999998</v>
      </c>
      <c r="H69" s="71">
        <f t="shared" si="5"/>
        <v>0</v>
      </c>
      <c r="I69" s="61">
        <v>8.0429999999999993</v>
      </c>
      <c r="J69" s="61">
        <v>8.0429999999999993</v>
      </c>
      <c r="K69" s="71">
        <f t="shared" si="6"/>
        <v>0</v>
      </c>
      <c r="L69" s="61">
        <v>24.47</v>
      </c>
      <c r="M69" s="61">
        <v>24.47</v>
      </c>
      <c r="N69" s="71">
        <f t="shared" si="7"/>
        <v>0</v>
      </c>
    </row>
    <row r="70" spans="2:14">
      <c r="B70" s="59" t="s">
        <v>95</v>
      </c>
      <c r="C70" s="61">
        <v>16.04</v>
      </c>
      <c r="D70" s="61">
        <v>16.039999999999996</v>
      </c>
      <c r="E70" s="71">
        <f t="shared" si="4"/>
        <v>0</v>
      </c>
      <c r="F70" s="61">
        <v>125.49299999999999</v>
      </c>
      <c r="G70" s="61">
        <v>125.49299999999999</v>
      </c>
      <c r="H70" s="71">
        <f t="shared" si="5"/>
        <v>0</v>
      </c>
      <c r="I70" s="61">
        <v>50.905999999999999</v>
      </c>
      <c r="J70" s="61">
        <v>50.905999999999999</v>
      </c>
      <c r="K70" s="71">
        <f t="shared" si="6"/>
        <v>0</v>
      </c>
      <c r="L70" s="61">
        <v>19.067</v>
      </c>
      <c r="M70" s="61">
        <v>19.067</v>
      </c>
      <c r="N70" s="71">
        <f t="shared" si="7"/>
        <v>0</v>
      </c>
    </row>
    <row r="71" spans="2:14">
      <c r="B71" s="59" t="s">
        <v>99</v>
      </c>
      <c r="C71" s="61">
        <v>9.0500000000000007</v>
      </c>
      <c r="D71" s="61">
        <v>9.0500000000000043</v>
      </c>
      <c r="E71" s="71">
        <f t="shared" si="4"/>
        <v>0</v>
      </c>
      <c r="F71" s="61">
        <v>11.06</v>
      </c>
      <c r="G71" s="61">
        <v>11.059999999999999</v>
      </c>
      <c r="H71" s="71">
        <f t="shared" si="5"/>
        <v>0</v>
      </c>
      <c r="I71" s="61">
        <v>13.7</v>
      </c>
      <c r="J71" s="61">
        <v>13.7</v>
      </c>
      <c r="K71" s="71">
        <f t="shared" si="6"/>
        <v>0</v>
      </c>
      <c r="L71" s="61">
        <v>32.215000000000003</v>
      </c>
      <c r="M71" s="61">
        <v>32.215000000000003</v>
      </c>
      <c r="N71" s="71">
        <f t="shared" si="7"/>
        <v>0</v>
      </c>
    </row>
    <row r="72" spans="2:14">
      <c r="B72" s="59" t="s">
        <v>100</v>
      </c>
      <c r="C72" s="61">
        <v>5.97</v>
      </c>
      <c r="D72" s="61">
        <v>5.9699999999999989</v>
      </c>
      <c r="E72" s="71">
        <f t="shared" si="4"/>
        <v>0</v>
      </c>
      <c r="F72" s="61">
        <v>35.96</v>
      </c>
      <c r="G72" s="61">
        <v>35.96</v>
      </c>
      <c r="H72" s="71">
        <f t="shared" si="5"/>
        <v>0</v>
      </c>
      <c r="I72" s="61">
        <v>28.26</v>
      </c>
      <c r="J72" s="61">
        <v>28.26</v>
      </c>
      <c r="K72" s="71">
        <f t="shared" si="6"/>
        <v>0</v>
      </c>
      <c r="L72" s="61">
        <v>18.925000000000001</v>
      </c>
      <c r="M72" s="61">
        <v>18.924999999999997</v>
      </c>
      <c r="N72" s="71">
        <f t="shared" si="7"/>
        <v>0</v>
      </c>
    </row>
    <row r="73" spans="2:14">
      <c r="B73" s="75" t="s">
        <v>111</v>
      </c>
      <c r="C73" s="76">
        <v>11.297000000000001</v>
      </c>
      <c r="D73" s="76">
        <v>11.297000000000004</v>
      </c>
      <c r="E73" s="77">
        <f t="shared" si="4"/>
        <v>0</v>
      </c>
      <c r="F73" s="76">
        <v>23.334</v>
      </c>
      <c r="G73" s="76">
        <v>23.333999999999996</v>
      </c>
      <c r="H73" s="77">
        <f t="shared" si="5"/>
        <v>0</v>
      </c>
      <c r="I73" s="76">
        <v>13.721</v>
      </c>
      <c r="J73" s="76">
        <v>13.721</v>
      </c>
      <c r="K73" s="77">
        <f t="shared" si="6"/>
        <v>0</v>
      </c>
      <c r="L73" s="76">
        <v>15.862</v>
      </c>
      <c r="M73" s="76">
        <v>15.862000000000002</v>
      </c>
      <c r="N73" s="77">
        <f t="shared" si="7"/>
        <v>0</v>
      </c>
    </row>
    <row r="74" spans="2:14">
      <c r="B74" s="59" t="s">
        <v>87</v>
      </c>
      <c r="C74" s="61">
        <v>16.36</v>
      </c>
      <c r="D74" s="61">
        <v>16.429999999999993</v>
      </c>
      <c r="E74" s="74">
        <f t="shared" si="4"/>
        <v>6.9999999999993179E-2</v>
      </c>
      <c r="F74" s="61">
        <v>1.861</v>
      </c>
      <c r="G74" s="61">
        <v>1.8620000000000037</v>
      </c>
      <c r="H74" s="71">
        <f t="shared" si="5"/>
        <v>1.0000000000036646E-3</v>
      </c>
      <c r="I74" s="61">
        <v>30.010999999999999</v>
      </c>
      <c r="J74" s="61">
        <v>30.027999999999992</v>
      </c>
      <c r="K74" s="74">
        <f t="shared" si="6"/>
        <v>1.6999999999992355E-2</v>
      </c>
      <c r="L74" s="61">
        <v>16.331</v>
      </c>
      <c r="M74" s="61">
        <v>16.580000000000005</v>
      </c>
      <c r="N74" s="74">
        <f t="shared" si="7"/>
        <v>0.24900000000000588</v>
      </c>
    </row>
    <row r="75" spans="2:14">
      <c r="B75" s="59" t="s">
        <v>79</v>
      </c>
      <c r="C75" s="61">
        <v>15.391</v>
      </c>
      <c r="D75" s="61">
        <v>15.391000000000005</v>
      </c>
      <c r="E75" s="71">
        <f t="shared" si="4"/>
        <v>0</v>
      </c>
      <c r="F75" s="61">
        <v>19.308</v>
      </c>
      <c r="G75" s="61">
        <v>19.310000000000002</v>
      </c>
      <c r="H75" s="71">
        <f t="shared" si="5"/>
        <v>2.0000000000024443E-3</v>
      </c>
      <c r="I75" s="61">
        <v>0</v>
      </c>
      <c r="J75" s="61">
        <v>0</v>
      </c>
      <c r="K75" s="71">
        <f t="shared" si="6"/>
        <v>0</v>
      </c>
      <c r="L75" s="61">
        <v>9.1999999999999998E-2</v>
      </c>
      <c r="M75" s="61">
        <v>0</v>
      </c>
      <c r="N75" s="69">
        <f t="shared" si="7"/>
        <v>-9.1999999999999998E-2</v>
      </c>
    </row>
    <row r="76" spans="2:14">
      <c r="B76" s="59" t="s">
        <v>112</v>
      </c>
      <c r="C76" s="61">
        <v>19.716999999999999</v>
      </c>
      <c r="D76" s="61">
        <v>19.297999999999998</v>
      </c>
      <c r="E76" s="69">
        <f t="shared" si="4"/>
        <v>-0.41900000000000048</v>
      </c>
      <c r="F76" s="61">
        <v>22.917999999999999</v>
      </c>
      <c r="G76" s="61">
        <v>22.927999999999997</v>
      </c>
      <c r="H76" s="74">
        <f t="shared" si="5"/>
        <v>9.9999999999980105E-3</v>
      </c>
      <c r="I76" s="61">
        <v>16.998000000000001</v>
      </c>
      <c r="J76" s="61">
        <v>16.488</v>
      </c>
      <c r="K76" s="69">
        <f t="shared" si="6"/>
        <v>-0.51000000000000156</v>
      </c>
      <c r="L76" s="61">
        <v>19.64</v>
      </c>
      <c r="M76" s="61">
        <v>18.795999999999999</v>
      </c>
      <c r="N76" s="69">
        <f t="shared" si="7"/>
        <v>-0.84400000000000119</v>
      </c>
    </row>
    <row r="77" spans="2:14">
      <c r="B77" s="59" t="s">
        <v>106</v>
      </c>
      <c r="C77" s="61">
        <v>50.960999999999999</v>
      </c>
      <c r="D77" s="61">
        <v>50.958000000000013</v>
      </c>
      <c r="E77" s="71">
        <f t="shared" si="4"/>
        <v>-2.9999999999859028E-3</v>
      </c>
      <c r="F77" s="61">
        <v>27.73</v>
      </c>
      <c r="G77" s="61">
        <v>27.748999999999995</v>
      </c>
      <c r="H77" s="74">
        <f t="shared" si="5"/>
        <v>1.8999999999994799E-2</v>
      </c>
      <c r="I77" s="61">
        <v>22.663</v>
      </c>
      <c r="J77" s="61">
        <v>22.686</v>
      </c>
      <c r="K77" s="74">
        <f t="shared" si="6"/>
        <v>2.2999999999999687E-2</v>
      </c>
      <c r="L77" s="61">
        <v>21.614999999999998</v>
      </c>
      <c r="M77" s="61">
        <v>21.602</v>
      </c>
      <c r="N77" s="69">
        <f t="shared" si="7"/>
        <v>-1.2999999999998124E-2</v>
      </c>
    </row>
    <row r="78" spans="2:14">
      <c r="B78" s="65" t="s">
        <v>102</v>
      </c>
      <c r="C78" s="61">
        <v>2.0089999999999999</v>
      </c>
      <c r="D78" s="61">
        <v>2.2210000000000107</v>
      </c>
      <c r="E78" s="74">
        <f t="shared" si="4"/>
        <v>0.21200000000001085</v>
      </c>
      <c r="F78" s="61">
        <v>46.933</v>
      </c>
      <c r="G78" s="61">
        <v>46.999000000000024</v>
      </c>
      <c r="H78" s="74">
        <f t="shared" si="5"/>
        <v>6.6000000000023817E-2</v>
      </c>
      <c r="I78" s="61">
        <v>11.218</v>
      </c>
      <c r="J78" s="61">
        <v>11.260000000000002</v>
      </c>
      <c r="K78" s="74">
        <f t="shared" si="6"/>
        <v>4.2000000000001592E-2</v>
      </c>
      <c r="L78" s="61">
        <v>12.688000000000001</v>
      </c>
      <c r="M78" s="61">
        <v>12.72</v>
      </c>
      <c r="N78" s="74">
        <f t="shared" si="7"/>
        <v>3.2000000000000028E-2</v>
      </c>
    </row>
    <row r="79" spans="2:14">
      <c r="B79" s="59" t="s">
        <v>93</v>
      </c>
      <c r="C79" s="61">
        <v>10</v>
      </c>
      <c r="D79" s="61">
        <v>10.191000000000003</v>
      </c>
      <c r="E79" s="74">
        <f t="shared" si="4"/>
        <v>0.1910000000000025</v>
      </c>
      <c r="F79" s="61">
        <v>18.763999999999999</v>
      </c>
      <c r="G79" s="61">
        <v>18.904999999999994</v>
      </c>
      <c r="H79" s="74">
        <f t="shared" si="5"/>
        <v>0.14099999999999469</v>
      </c>
      <c r="I79" s="61">
        <v>0</v>
      </c>
      <c r="J79" s="61">
        <v>0</v>
      </c>
      <c r="K79" s="71">
        <f t="shared" si="6"/>
        <v>0</v>
      </c>
      <c r="L79" s="61">
        <v>26.6</v>
      </c>
      <c r="M79" s="61">
        <v>26.728000000000009</v>
      </c>
      <c r="N79" s="74">
        <f t="shared" si="7"/>
        <v>0.12800000000000722</v>
      </c>
    </row>
    <row r="80" spans="2:14">
      <c r="B80" s="59" t="s">
        <v>94</v>
      </c>
      <c r="C80" s="61">
        <v>19.73</v>
      </c>
      <c r="D80" s="61">
        <v>20.007999999999996</v>
      </c>
      <c r="E80" s="74">
        <f t="shared" si="4"/>
        <v>0.27799999999999514</v>
      </c>
      <c r="F80" s="61">
        <v>237.10599999999999</v>
      </c>
      <c r="G80" s="61">
        <v>237.41399999999999</v>
      </c>
      <c r="H80" s="74">
        <f t="shared" si="5"/>
        <v>0.30799999999999272</v>
      </c>
      <c r="I80" s="61">
        <v>27.052</v>
      </c>
      <c r="J80" s="61">
        <v>27.282000000000007</v>
      </c>
      <c r="K80" s="74">
        <f t="shared" si="6"/>
        <v>0.23000000000000753</v>
      </c>
      <c r="L80" s="61">
        <v>125.935</v>
      </c>
      <c r="M80" s="61">
        <v>126.13700000000001</v>
      </c>
      <c r="N80" s="74">
        <f t="shared" si="7"/>
        <v>0.20200000000001239</v>
      </c>
    </row>
    <row r="81" spans="2:14">
      <c r="B81" s="59" t="s">
        <v>89</v>
      </c>
      <c r="C81" s="61">
        <v>13.499000000000001</v>
      </c>
      <c r="D81" s="61">
        <v>13.61</v>
      </c>
      <c r="E81" s="74">
        <f t="shared" si="4"/>
        <v>0.11099999999999888</v>
      </c>
      <c r="F81" s="61">
        <v>109.783</v>
      </c>
      <c r="G81" s="61">
        <v>111.38200000000001</v>
      </c>
      <c r="H81" s="74">
        <f t="shared" si="5"/>
        <v>1.5990000000000038</v>
      </c>
      <c r="I81" s="61">
        <v>14.616</v>
      </c>
      <c r="J81" s="61">
        <v>14.635999999999999</v>
      </c>
      <c r="K81" s="74">
        <f t="shared" si="6"/>
        <v>1.9999999999999574E-2</v>
      </c>
      <c r="L81" s="61">
        <v>27.105</v>
      </c>
      <c r="M81" s="61">
        <v>27.215999999999998</v>
      </c>
      <c r="N81" s="74">
        <f t="shared" si="7"/>
        <v>0.1109999999999971</v>
      </c>
    </row>
    <row r="82" spans="2:14">
      <c r="B82" s="59" t="s">
        <v>92</v>
      </c>
      <c r="C82" s="61">
        <v>40.197000000000003</v>
      </c>
      <c r="D82" s="61">
        <v>40.28</v>
      </c>
      <c r="E82" s="74">
        <f t="shared" si="4"/>
        <v>8.2999999999998408E-2</v>
      </c>
      <c r="F82" s="61">
        <v>115.831</v>
      </c>
      <c r="G82" s="61">
        <v>117.75699999999999</v>
      </c>
      <c r="H82" s="74">
        <f t="shared" si="5"/>
        <v>1.9259999999999877</v>
      </c>
      <c r="I82" s="61">
        <v>0</v>
      </c>
      <c r="J82" s="61">
        <v>0</v>
      </c>
      <c r="K82" s="71">
        <f t="shared" si="6"/>
        <v>0</v>
      </c>
      <c r="L82" s="61">
        <v>95.165999999999997</v>
      </c>
      <c r="M82" s="61">
        <v>94.909000000000006</v>
      </c>
      <c r="N82" s="69">
        <f t="shared" si="7"/>
        <v>-0.25699999999999079</v>
      </c>
    </row>
    <row r="83" spans="2:14">
      <c r="B83" s="59" t="s">
        <v>80</v>
      </c>
      <c r="C83" s="61">
        <v>3.5270000000000001</v>
      </c>
      <c r="D83" s="61">
        <v>4.0360000000000014</v>
      </c>
      <c r="E83" s="74">
        <f t="shared" si="4"/>
        <v>0.50900000000000123</v>
      </c>
      <c r="F83" s="61">
        <v>68.647999999999996</v>
      </c>
      <c r="G83" s="61">
        <v>76.030999999999992</v>
      </c>
      <c r="H83" s="74">
        <f t="shared" si="5"/>
        <v>7.3829999999999956</v>
      </c>
      <c r="I83" s="61">
        <v>64.882000000000005</v>
      </c>
      <c r="J83" s="61">
        <v>66.260000000000005</v>
      </c>
      <c r="K83" s="74">
        <f t="shared" si="6"/>
        <v>1.3780000000000001</v>
      </c>
      <c r="L83" s="61">
        <v>6.0490000000000004</v>
      </c>
      <c r="M83" s="61">
        <v>6.6159999999999997</v>
      </c>
      <c r="N83" s="74">
        <f t="shared" si="7"/>
        <v>0.56699999999999928</v>
      </c>
    </row>
    <row r="84" spans="2:14">
      <c r="B84" s="59" t="s">
        <v>98</v>
      </c>
      <c r="C84" s="61">
        <v>26.887</v>
      </c>
      <c r="D84" s="61">
        <v>27.285</v>
      </c>
      <c r="E84" s="74">
        <f t="shared" si="4"/>
        <v>0.39799999999999969</v>
      </c>
      <c r="F84" s="61">
        <v>36.206000000000003</v>
      </c>
      <c r="G84" s="61">
        <v>56.309999999999988</v>
      </c>
      <c r="H84" s="74">
        <f t="shared" si="5"/>
        <v>20.103999999999985</v>
      </c>
      <c r="I84" s="61">
        <v>15.696</v>
      </c>
      <c r="J84" s="61">
        <v>16.350000000000001</v>
      </c>
      <c r="K84" s="74">
        <f t="shared" si="6"/>
        <v>0.65400000000000169</v>
      </c>
      <c r="L84" s="61">
        <v>26.361999999999998</v>
      </c>
      <c r="M84" s="61">
        <v>26.704999999999998</v>
      </c>
      <c r="N84" s="74">
        <f t="shared" si="7"/>
        <v>0.34299999999999997</v>
      </c>
    </row>
    <row r="85" spans="2:14">
      <c r="B85" s="59" t="s">
        <v>88</v>
      </c>
      <c r="C85" s="61">
        <v>2.72</v>
      </c>
      <c r="D85" s="61">
        <v>3.4570000000000007</v>
      </c>
      <c r="E85" s="74">
        <f t="shared" si="4"/>
        <v>0.73700000000000054</v>
      </c>
      <c r="F85" s="61">
        <v>33.851999999999997</v>
      </c>
      <c r="G85" s="61">
        <v>59.553999999999995</v>
      </c>
      <c r="H85" s="74">
        <f t="shared" si="5"/>
        <v>25.701999999999998</v>
      </c>
      <c r="I85" s="61">
        <v>0</v>
      </c>
      <c r="J85" s="61">
        <v>0</v>
      </c>
      <c r="K85" s="71">
        <f t="shared" si="6"/>
        <v>0</v>
      </c>
      <c r="L85" s="61">
        <v>17.731999999999999</v>
      </c>
      <c r="M85" s="61">
        <v>13.338000000000005</v>
      </c>
      <c r="N85" s="69">
        <f t="shared" si="7"/>
        <v>-4.3939999999999948</v>
      </c>
    </row>
    <row r="86" spans="2:14">
      <c r="B86" s="59" t="s">
        <v>83</v>
      </c>
      <c r="C86" s="61">
        <v>19.533999999999999</v>
      </c>
      <c r="D86" s="61">
        <v>9.4970000000000425</v>
      </c>
      <c r="E86" s="69">
        <f t="shared" si="4"/>
        <v>-10.036999999999956</v>
      </c>
      <c r="F86" s="61">
        <v>21.202000000000002</v>
      </c>
      <c r="G86" s="61">
        <v>101.76099999999997</v>
      </c>
      <c r="H86" s="74">
        <f t="shared" si="5"/>
        <v>80.558999999999969</v>
      </c>
      <c r="I86" s="61">
        <v>0.77100000000000002</v>
      </c>
      <c r="J86" s="61">
        <v>3.0789999999999971</v>
      </c>
      <c r="K86" s="74">
        <f t="shared" si="6"/>
        <v>2.3079999999999972</v>
      </c>
      <c r="L86" s="61">
        <v>33.218000000000004</v>
      </c>
      <c r="M86" s="61">
        <v>31.899000000000001</v>
      </c>
      <c r="N86" s="69">
        <f t="shared" si="7"/>
        <v>-1.3190000000000026</v>
      </c>
    </row>
    <row r="89" spans="2:14">
      <c r="B89" s="58">
        <v>46161</v>
      </c>
      <c r="C89" s="50"/>
      <c r="D89" s="50"/>
      <c r="E89" s="50"/>
      <c r="F89" s="50"/>
    </row>
    <row r="90" spans="2:14">
      <c r="B90" s="32" t="s">
        <v>68</v>
      </c>
      <c r="C90" s="33">
        <v>161</v>
      </c>
      <c r="D90" s="33"/>
      <c r="E90" s="33"/>
      <c r="F90" s="33">
        <v>2054</v>
      </c>
      <c r="G90" s="34"/>
      <c r="H90" s="34"/>
      <c r="I90" s="34">
        <v>5550</v>
      </c>
      <c r="J90" s="34"/>
      <c r="K90" s="34"/>
      <c r="L90" s="34">
        <v>8899</v>
      </c>
      <c r="M90" s="1"/>
      <c r="N90" s="1"/>
    </row>
    <row r="91" spans="2:14">
      <c r="B91" s="32" t="s">
        <v>69</v>
      </c>
      <c r="C91" s="35">
        <v>100001</v>
      </c>
      <c r="D91" s="35"/>
      <c r="E91" s="35"/>
      <c r="F91" s="33">
        <v>100004</v>
      </c>
      <c r="G91" s="34"/>
      <c r="H91" s="34"/>
      <c r="I91" s="34">
        <v>100030</v>
      </c>
      <c r="J91" s="34"/>
      <c r="K91" s="34"/>
      <c r="L91" s="34">
        <v>100153</v>
      </c>
      <c r="M91" s="34"/>
      <c r="N91" s="34"/>
    </row>
    <row r="92" spans="2:14">
      <c r="B92" s="37" t="s">
        <v>70</v>
      </c>
      <c r="C92" s="33" t="s">
        <v>71</v>
      </c>
      <c r="D92" s="33"/>
      <c r="E92" s="33"/>
      <c r="F92" s="33" t="s">
        <v>71</v>
      </c>
      <c r="G92" s="38"/>
      <c r="H92" s="38"/>
      <c r="I92" s="38" t="s">
        <v>71</v>
      </c>
      <c r="J92" s="38"/>
      <c r="K92" s="38"/>
      <c r="L92" s="38" t="s">
        <v>71</v>
      </c>
      <c r="M92" s="1"/>
      <c r="N92" s="1"/>
    </row>
    <row r="93" spans="2:14">
      <c r="B93" s="39" t="s">
        <v>72</v>
      </c>
      <c r="C93" s="126" t="s">
        <v>73</v>
      </c>
      <c r="D93" s="126"/>
      <c r="E93" s="126"/>
      <c r="F93" s="122" t="s">
        <v>74</v>
      </c>
      <c r="G93" s="122"/>
      <c r="H93" s="122"/>
      <c r="I93" s="127" t="s">
        <v>75</v>
      </c>
      <c r="J93" s="127"/>
      <c r="K93" s="127"/>
      <c r="L93" s="120" t="s">
        <v>76</v>
      </c>
      <c r="M93" s="120"/>
      <c r="N93" s="120"/>
    </row>
    <row r="94" spans="2:14" ht="43.2">
      <c r="B94" s="40" t="s">
        <v>61</v>
      </c>
      <c r="C94" s="41" t="s">
        <v>116</v>
      </c>
      <c r="D94" s="41" t="s">
        <v>77</v>
      </c>
      <c r="E94" s="41" t="s">
        <v>78</v>
      </c>
      <c r="F94" s="42" t="s">
        <v>116</v>
      </c>
      <c r="G94" s="42" t="s">
        <v>77</v>
      </c>
      <c r="H94" s="42" t="s">
        <v>78</v>
      </c>
      <c r="I94" s="43" t="s">
        <v>116</v>
      </c>
      <c r="J94" s="43" t="s">
        <v>77</v>
      </c>
      <c r="K94" s="43" t="s">
        <v>78</v>
      </c>
      <c r="L94" s="44" t="s">
        <v>116</v>
      </c>
      <c r="M94" s="44" t="s">
        <v>77</v>
      </c>
      <c r="N94" s="44" t="s">
        <v>78</v>
      </c>
    </row>
    <row r="95" spans="2:14">
      <c r="B95" s="59" t="s">
        <v>86</v>
      </c>
      <c r="C95" s="61">
        <v>61.915999999999997</v>
      </c>
      <c r="D95" s="61">
        <v>4.9418100000000003</v>
      </c>
      <c r="E95" s="69">
        <f t="shared" ref="E95:E128" si="8">D95-C95</f>
        <v>-56.974189999999993</v>
      </c>
      <c r="F95" s="61">
        <v>11.154</v>
      </c>
      <c r="G95" s="61">
        <v>13.952384999999992</v>
      </c>
      <c r="H95" s="74">
        <f t="shared" ref="H95:H128" si="9">G95-F95</f>
        <v>2.7983849999999926</v>
      </c>
      <c r="I95" s="61">
        <v>0</v>
      </c>
      <c r="J95" s="61">
        <v>0</v>
      </c>
      <c r="K95" s="71">
        <f t="shared" ref="K95:K128" si="10">J95-I95</f>
        <v>0</v>
      </c>
      <c r="L95" s="61">
        <v>20.234999999999999</v>
      </c>
      <c r="M95" s="61">
        <v>10.29980999999999</v>
      </c>
      <c r="N95" s="69">
        <f t="shared" ref="N95:N128" si="11">M95-L95</f>
        <v>-9.9351900000000093</v>
      </c>
    </row>
    <row r="96" spans="2:14">
      <c r="B96" s="59" t="s">
        <v>103</v>
      </c>
      <c r="C96" s="61">
        <v>28.172000000000001</v>
      </c>
      <c r="D96" s="61">
        <v>25.516000000000002</v>
      </c>
      <c r="E96" s="69">
        <f t="shared" si="8"/>
        <v>-2.6559999999999988</v>
      </c>
      <c r="F96" s="61">
        <v>175.42500000000001</v>
      </c>
      <c r="G96" s="61">
        <v>116.32900000000001</v>
      </c>
      <c r="H96" s="69">
        <f t="shared" si="9"/>
        <v>-59.096000000000004</v>
      </c>
      <c r="I96" s="61">
        <v>-21.984000000000002</v>
      </c>
      <c r="J96" s="61">
        <v>3.6819999999999999</v>
      </c>
      <c r="K96" s="74">
        <f t="shared" si="10"/>
        <v>25.666</v>
      </c>
      <c r="L96" s="61">
        <v>39.834000000000003</v>
      </c>
      <c r="M96" s="61">
        <v>27.616</v>
      </c>
      <c r="N96" s="69">
        <f t="shared" si="11"/>
        <v>-12.218000000000004</v>
      </c>
    </row>
    <row r="97" spans="2:14">
      <c r="B97" s="59" t="s">
        <v>88</v>
      </c>
      <c r="C97" s="61">
        <v>22.282</v>
      </c>
      <c r="D97" s="61">
        <v>21.208000000000002</v>
      </c>
      <c r="E97" s="69">
        <f t="shared" si="8"/>
        <v>-1.0739999999999981</v>
      </c>
      <c r="F97" s="61">
        <v>14.885999999999999</v>
      </c>
      <c r="G97" s="61">
        <v>35.38600000000001</v>
      </c>
      <c r="H97" s="74">
        <f t="shared" si="9"/>
        <v>20.500000000000011</v>
      </c>
      <c r="I97" s="61">
        <v>0</v>
      </c>
      <c r="J97" s="61">
        <v>0</v>
      </c>
      <c r="K97" s="71">
        <f t="shared" si="10"/>
        <v>0</v>
      </c>
      <c r="L97" s="61">
        <v>5.92</v>
      </c>
      <c r="M97" s="61">
        <v>20.212000000000003</v>
      </c>
      <c r="N97" s="74">
        <f t="shared" si="11"/>
        <v>14.292000000000003</v>
      </c>
    </row>
    <row r="98" spans="2:14">
      <c r="B98" s="59" t="s">
        <v>112</v>
      </c>
      <c r="C98" s="61">
        <v>14.942</v>
      </c>
      <c r="D98" s="61">
        <v>14.433000000000003</v>
      </c>
      <c r="E98" s="69">
        <f t="shared" si="8"/>
        <v>-0.50899999999999679</v>
      </c>
      <c r="F98" s="61">
        <v>16.038</v>
      </c>
      <c r="G98" s="61">
        <v>15.978999999999996</v>
      </c>
      <c r="H98" s="69">
        <f t="shared" si="9"/>
        <v>-5.9000000000004604E-2</v>
      </c>
      <c r="I98" s="61">
        <v>11.489000000000001</v>
      </c>
      <c r="J98" s="61">
        <v>11.068999999999999</v>
      </c>
      <c r="K98" s="69">
        <f t="shared" si="10"/>
        <v>-0.42000000000000171</v>
      </c>
      <c r="L98" s="61">
        <v>18.178999999999998</v>
      </c>
      <c r="M98" s="61">
        <v>17.335000000000001</v>
      </c>
      <c r="N98" s="69">
        <f t="shared" si="11"/>
        <v>-0.84399999999999764</v>
      </c>
    </row>
    <row r="99" spans="2:14">
      <c r="B99" s="59" t="s">
        <v>104</v>
      </c>
      <c r="C99" s="61">
        <v>3.944</v>
      </c>
      <c r="D99" s="61">
        <v>3.548</v>
      </c>
      <c r="E99" s="69">
        <f t="shared" si="8"/>
        <v>-0.39599999999999991</v>
      </c>
      <c r="F99" s="61">
        <v>168.76300000000001</v>
      </c>
      <c r="G99" s="61">
        <v>168.53199999999995</v>
      </c>
      <c r="H99" s="69">
        <f t="shared" si="9"/>
        <v>-0.23100000000005139</v>
      </c>
      <c r="I99" s="61">
        <v>27.858000000000001</v>
      </c>
      <c r="J99" s="61">
        <v>27.747000000000003</v>
      </c>
      <c r="K99" s="69">
        <f t="shared" si="10"/>
        <v>-0.1109999999999971</v>
      </c>
      <c r="L99" s="61">
        <v>49.143999999999998</v>
      </c>
      <c r="M99" s="61">
        <v>48.225000000000001</v>
      </c>
      <c r="N99" s="69">
        <f t="shared" si="11"/>
        <v>-0.91899999999999693</v>
      </c>
    </row>
    <row r="100" spans="2:14">
      <c r="B100" s="59" t="s">
        <v>92</v>
      </c>
      <c r="C100" s="61">
        <v>22.190999999999999</v>
      </c>
      <c r="D100" s="61">
        <v>21.849000000000004</v>
      </c>
      <c r="E100" s="69">
        <f t="shared" si="8"/>
        <v>-0.3419999999999952</v>
      </c>
      <c r="F100" s="61">
        <v>89.099000000000004</v>
      </c>
      <c r="G100" s="61">
        <v>92.495000000000005</v>
      </c>
      <c r="H100" s="74">
        <f t="shared" si="9"/>
        <v>3.3960000000000008</v>
      </c>
      <c r="I100" s="61">
        <v>0</v>
      </c>
      <c r="J100" s="61">
        <v>0</v>
      </c>
      <c r="K100" s="71">
        <f t="shared" si="10"/>
        <v>0</v>
      </c>
      <c r="L100" s="61">
        <v>83.177999999999997</v>
      </c>
      <c r="M100" s="61">
        <v>85.731999999999999</v>
      </c>
      <c r="N100" s="74">
        <f t="shared" si="11"/>
        <v>2.554000000000002</v>
      </c>
    </row>
    <row r="101" spans="2:14">
      <c r="B101" s="59" t="s">
        <v>96</v>
      </c>
      <c r="C101" s="61">
        <v>31.812000000000001</v>
      </c>
      <c r="D101" s="61">
        <v>31.749999999999996</v>
      </c>
      <c r="E101" s="69">
        <f t="shared" si="8"/>
        <v>-6.2000000000004718E-2</v>
      </c>
      <c r="F101" s="61">
        <v>81.613</v>
      </c>
      <c r="G101" s="61">
        <v>81.340999999999994</v>
      </c>
      <c r="H101" s="69">
        <f t="shared" si="9"/>
        <v>-0.27200000000000557</v>
      </c>
      <c r="I101" s="61">
        <v>10.678000000000001</v>
      </c>
      <c r="J101" s="61">
        <v>10.678000000000001</v>
      </c>
      <c r="K101" s="71">
        <f t="shared" si="10"/>
        <v>0</v>
      </c>
      <c r="L101" s="61">
        <v>6.2309999999999999</v>
      </c>
      <c r="M101" s="61">
        <v>6.1361000000000008</v>
      </c>
      <c r="N101" s="69">
        <f t="shared" si="11"/>
        <v>-9.4899999999999096E-2</v>
      </c>
    </row>
    <row r="102" spans="2:14">
      <c r="B102" s="59" t="s">
        <v>91</v>
      </c>
      <c r="C102" s="61">
        <v>19.885999999999999</v>
      </c>
      <c r="D102" s="61">
        <v>19.846000000000004</v>
      </c>
      <c r="E102" s="69">
        <f t="shared" si="8"/>
        <v>-3.9999999999995595E-2</v>
      </c>
      <c r="F102" s="61">
        <v>10.456</v>
      </c>
      <c r="G102" s="61">
        <v>3.9640000000000128</v>
      </c>
      <c r="H102" s="69">
        <f t="shared" si="9"/>
        <v>-6.4919999999999867</v>
      </c>
      <c r="I102" s="61">
        <v>13.329000000000001</v>
      </c>
      <c r="J102" s="61">
        <v>46.249000000000002</v>
      </c>
      <c r="K102" s="74">
        <f t="shared" si="10"/>
        <v>32.92</v>
      </c>
      <c r="L102" s="61">
        <v>0.22900000000000001</v>
      </c>
      <c r="M102" s="61">
        <v>0.2289999999999992</v>
      </c>
      <c r="N102" s="71">
        <f t="shared" si="11"/>
        <v>-8.0491169285323849E-16</v>
      </c>
    </row>
    <row r="103" spans="2:14">
      <c r="B103" s="59" t="s">
        <v>83</v>
      </c>
      <c r="C103" s="61">
        <v>0</v>
      </c>
      <c r="D103" s="61">
        <v>0</v>
      </c>
      <c r="E103" s="71">
        <f t="shared" si="8"/>
        <v>0</v>
      </c>
      <c r="F103" s="61">
        <v>32.752000000000002</v>
      </c>
      <c r="G103" s="61">
        <v>2.9753977059954195E-14</v>
      </c>
      <c r="H103" s="69">
        <f t="shared" si="9"/>
        <v>-32.751999999999974</v>
      </c>
      <c r="I103" s="61">
        <v>11.194000000000001</v>
      </c>
      <c r="J103" s="61">
        <v>8.0910000000000011</v>
      </c>
      <c r="K103" s="69">
        <f t="shared" si="10"/>
        <v>-3.1029999999999998</v>
      </c>
      <c r="L103" s="61">
        <v>8.4920000000000009</v>
      </c>
      <c r="M103" s="61">
        <v>0</v>
      </c>
      <c r="N103" s="69">
        <f t="shared" si="11"/>
        <v>-8.4920000000000009</v>
      </c>
    </row>
    <row r="104" spans="2:14">
      <c r="B104" s="59" t="s">
        <v>98</v>
      </c>
      <c r="C104" s="61">
        <v>20.271000000000001</v>
      </c>
      <c r="D104" s="61">
        <v>20.271000000000001</v>
      </c>
      <c r="E104" s="71">
        <f t="shared" si="8"/>
        <v>0</v>
      </c>
      <c r="F104" s="61">
        <v>30.83</v>
      </c>
      <c r="G104" s="61">
        <v>30.830000000000013</v>
      </c>
      <c r="H104" s="71">
        <f t="shared" si="9"/>
        <v>0</v>
      </c>
      <c r="I104" s="61">
        <v>20.74</v>
      </c>
      <c r="J104" s="61">
        <v>20.76</v>
      </c>
      <c r="K104" s="74">
        <f t="shared" si="10"/>
        <v>2.0000000000003126E-2</v>
      </c>
      <c r="L104" s="61">
        <v>44.552</v>
      </c>
      <c r="M104" s="61">
        <v>44.551999999999992</v>
      </c>
      <c r="N104" s="71">
        <f t="shared" si="11"/>
        <v>0</v>
      </c>
    </row>
    <row r="105" spans="2:14">
      <c r="B105" s="59" t="s">
        <v>81</v>
      </c>
      <c r="C105" s="61">
        <v>20.757999999999996</v>
      </c>
      <c r="D105" s="61">
        <v>20.757999999999996</v>
      </c>
      <c r="E105" s="79">
        <f t="shared" si="8"/>
        <v>0</v>
      </c>
      <c r="F105" s="61">
        <v>84.489999999999952</v>
      </c>
      <c r="G105" s="61">
        <v>84.489999999999952</v>
      </c>
      <c r="H105" s="79">
        <f t="shared" si="9"/>
        <v>0</v>
      </c>
      <c r="I105" s="61">
        <v>8.3640000000000043</v>
      </c>
      <c r="J105" s="61">
        <v>8.3640000000000043</v>
      </c>
      <c r="K105" s="71">
        <f t="shared" si="10"/>
        <v>0</v>
      </c>
      <c r="L105" s="61">
        <v>7.4260000000000055</v>
      </c>
      <c r="M105" s="61">
        <v>7.4260000000000055</v>
      </c>
      <c r="N105" s="71">
        <f t="shared" si="11"/>
        <v>0</v>
      </c>
    </row>
    <row r="106" spans="2:14">
      <c r="B106" s="59" t="s">
        <v>82</v>
      </c>
      <c r="C106" s="61">
        <v>14.878</v>
      </c>
      <c r="D106" s="61">
        <v>14.878</v>
      </c>
      <c r="E106" s="71">
        <f t="shared" si="8"/>
        <v>0</v>
      </c>
      <c r="F106" s="61">
        <v>161.95400000000001</v>
      </c>
      <c r="G106" s="61">
        <v>161.95400000000001</v>
      </c>
      <c r="H106" s="71">
        <f t="shared" si="9"/>
        <v>0</v>
      </c>
      <c r="I106" s="61">
        <v>0</v>
      </c>
      <c r="J106" s="61">
        <v>0</v>
      </c>
      <c r="K106" s="71">
        <f t="shared" si="10"/>
        <v>0</v>
      </c>
      <c r="L106" s="61">
        <v>129.88800000000001</v>
      </c>
      <c r="M106" s="61">
        <v>129.88800000000001</v>
      </c>
      <c r="N106" s="71">
        <f t="shared" si="11"/>
        <v>0</v>
      </c>
    </row>
    <row r="107" spans="2:14">
      <c r="B107" s="59" t="s">
        <v>95</v>
      </c>
      <c r="C107" s="61">
        <v>30.305</v>
      </c>
      <c r="D107" s="61">
        <v>30.305</v>
      </c>
      <c r="E107" s="71">
        <f t="shared" si="8"/>
        <v>0</v>
      </c>
      <c r="F107" s="61">
        <v>64.83</v>
      </c>
      <c r="G107" s="61">
        <v>64.830000000000013</v>
      </c>
      <c r="H107" s="71">
        <f t="shared" si="9"/>
        <v>0</v>
      </c>
      <c r="I107" s="61">
        <v>42.122</v>
      </c>
      <c r="J107" s="61">
        <v>42.122</v>
      </c>
      <c r="K107" s="71">
        <f t="shared" si="10"/>
        <v>0</v>
      </c>
      <c r="L107" s="61">
        <v>32.255000000000003</v>
      </c>
      <c r="M107" s="61">
        <v>32.255000000000003</v>
      </c>
      <c r="N107" s="71">
        <f t="shared" si="11"/>
        <v>0</v>
      </c>
    </row>
    <row r="108" spans="2:14">
      <c r="B108" s="59" t="s">
        <v>100</v>
      </c>
      <c r="C108" s="61">
        <v>5.4649999999999999</v>
      </c>
      <c r="D108" s="61">
        <v>5.4649999999999963</v>
      </c>
      <c r="E108" s="71">
        <f t="shared" si="8"/>
        <v>0</v>
      </c>
      <c r="F108" s="61">
        <v>44.375</v>
      </c>
      <c r="G108" s="61">
        <v>44.375</v>
      </c>
      <c r="H108" s="71">
        <f t="shared" si="9"/>
        <v>0</v>
      </c>
      <c r="I108" s="61">
        <v>25.355</v>
      </c>
      <c r="J108" s="61">
        <v>25.355000000000004</v>
      </c>
      <c r="K108" s="71">
        <f t="shared" si="10"/>
        <v>0</v>
      </c>
      <c r="L108" s="61">
        <v>15.57</v>
      </c>
      <c r="M108" s="61">
        <v>15.569999999999999</v>
      </c>
      <c r="N108" s="71">
        <f t="shared" si="11"/>
        <v>0</v>
      </c>
    </row>
    <row r="109" spans="2:14">
      <c r="B109" s="59" t="s">
        <v>111</v>
      </c>
      <c r="C109" s="61">
        <v>21.637</v>
      </c>
      <c r="D109" s="61">
        <v>21.636999999999997</v>
      </c>
      <c r="E109" s="71">
        <f t="shared" si="8"/>
        <v>0</v>
      </c>
      <c r="F109" s="61">
        <v>18.048999999999999</v>
      </c>
      <c r="G109" s="61">
        <v>18.048999999999996</v>
      </c>
      <c r="H109" s="71">
        <f t="shared" si="9"/>
        <v>0</v>
      </c>
      <c r="I109" s="61">
        <v>9.8219999999999992</v>
      </c>
      <c r="J109" s="61">
        <v>9.8219999999999992</v>
      </c>
      <c r="K109" s="71">
        <f t="shared" si="10"/>
        <v>0</v>
      </c>
      <c r="L109" s="61">
        <v>29.143999999999998</v>
      </c>
      <c r="M109" s="61">
        <v>29.144000000000002</v>
      </c>
      <c r="N109" s="71">
        <f t="shared" si="11"/>
        <v>0</v>
      </c>
    </row>
    <row r="110" spans="2:14">
      <c r="B110" s="59" t="s">
        <v>110</v>
      </c>
      <c r="C110" s="61">
        <v>41.984999999999999</v>
      </c>
      <c r="D110" s="61">
        <v>41.984999999999999</v>
      </c>
      <c r="E110" s="71">
        <f t="shared" si="8"/>
        <v>0</v>
      </c>
      <c r="F110" s="61">
        <v>51.920999999999999</v>
      </c>
      <c r="G110" s="61">
        <v>51.920999999999992</v>
      </c>
      <c r="H110" s="71">
        <f t="shared" si="9"/>
        <v>0</v>
      </c>
      <c r="I110" s="61">
        <v>59.354999999999997</v>
      </c>
      <c r="J110" s="61">
        <v>59.295000000000002</v>
      </c>
      <c r="K110" s="69">
        <f t="shared" si="10"/>
        <v>-5.9999999999995168E-2</v>
      </c>
      <c r="L110" s="61">
        <v>11.497</v>
      </c>
      <c r="M110" s="61">
        <v>11.497</v>
      </c>
      <c r="N110" s="71">
        <f t="shared" si="11"/>
        <v>0</v>
      </c>
    </row>
    <row r="111" spans="2:14">
      <c r="B111" s="59" t="s">
        <v>84</v>
      </c>
      <c r="C111" s="61">
        <v>40.332000000000001</v>
      </c>
      <c r="D111" s="61">
        <v>40.340000000000003</v>
      </c>
      <c r="E111" s="74">
        <f t="shared" si="8"/>
        <v>8.0000000000026716E-3</v>
      </c>
      <c r="F111" s="61">
        <v>78.653000000000006</v>
      </c>
      <c r="G111" s="61">
        <v>78.639999999999986</v>
      </c>
      <c r="H111" s="69">
        <f t="shared" si="9"/>
        <v>-1.300000000001944E-2</v>
      </c>
      <c r="I111" s="61">
        <v>18.439</v>
      </c>
      <c r="J111" s="61">
        <v>18.529999999999994</v>
      </c>
      <c r="K111" s="74">
        <f t="shared" si="10"/>
        <v>9.0999999999993975E-2</v>
      </c>
      <c r="L111" s="61">
        <v>34.289000000000001</v>
      </c>
      <c r="M111" s="61">
        <v>34.240000000000009</v>
      </c>
      <c r="N111" s="69">
        <f t="shared" si="11"/>
        <v>-4.8999999999992383E-2</v>
      </c>
    </row>
    <row r="112" spans="2:14">
      <c r="B112" s="59" t="s">
        <v>85</v>
      </c>
      <c r="C112" s="61">
        <v>62.792999999999999</v>
      </c>
      <c r="D112" s="61">
        <v>62.812999999999988</v>
      </c>
      <c r="E112" s="74">
        <f t="shared" si="8"/>
        <v>1.9999999999988916E-2</v>
      </c>
      <c r="F112" s="61">
        <v>163.24</v>
      </c>
      <c r="G112" s="61">
        <v>70.135999999999981</v>
      </c>
      <c r="H112" s="69">
        <f t="shared" si="9"/>
        <v>-93.104000000000028</v>
      </c>
      <c r="I112" s="61">
        <v>47.588000000000001</v>
      </c>
      <c r="J112" s="61">
        <v>47.360999999999997</v>
      </c>
      <c r="K112" s="69">
        <f t="shared" si="10"/>
        <v>-0.22700000000000387</v>
      </c>
      <c r="L112" s="61">
        <v>10.996</v>
      </c>
      <c r="M112" s="61">
        <v>11.019</v>
      </c>
      <c r="N112" s="74">
        <f t="shared" si="11"/>
        <v>2.2999999999999687E-2</v>
      </c>
    </row>
    <row r="113" spans="2:14">
      <c r="B113" s="59" t="s">
        <v>90</v>
      </c>
      <c r="C113" s="61">
        <v>31.350999999999999</v>
      </c>
      <c r="D113" s="61">
        <v>31.466000000000001</v>
      </c>
      <c r="E113" s="74">
        <f t="shared" si="8"/>
        <v>0.11500000000000199</v>
      </c>
      <c r="F113" s="61">
        <v>74.739000000000004</v>
      </c>
      <c r="G113" s="61">
        <v>74.849000000000004</v>
      </c>
      <c r="H113" s="74">
        <f t="shared" si="9"/>
        <v>0.10999999999999943</v>
      </c>
      <c r="I113" s="61">
        <v>26.899000000000001</v>
      </c>
      <c r="J113" s="61">
        <v>27.004000000000001</v>
      </c>
      <c r="K113" s="74">
        <f t="shared" si="10"/>
        <v>0.10500000000000043</v>
      </c>
      <c r="L113" s="61">
        <v>8.1739999999999995</v>
      </c>
      <c r="M113" s="61">
        <v>8.2739999999999991</v>
      </c>
      <c r="N113" s="74">
        <f t="shared" si="11"/>
        <v>9.9999999999999645E-2</v>
      </c>
    </row>
    <row r="114" spans="2:14">
      <c r="B114" s="59" t="s">
        <v>93</v>
      </c>
      <c r="C114" s="61">
        <v>11.1</v>
      </c>
      <c r="D114" s="61">
        <v>11.297999999999998</v>
      </c>
      <c r="E114" s="74">
        <f t="shared" si="8"/>
        <v>0.19799999999999862</v>
      </c>
      <c r="F114" s="61">
        <v>22.88</v>
      </c>
      <c r="G114" s="61">
        <v>23.444000000000003</v>
      </c>
      <c r="H114" s="74">
        <f t="shared" si="9"/>
        <v>0.56400000000000361</v>
      </c>
      <c r="I114" s="61">
        <v>0</v>
      </c>
      <c r="J114" s="61">
        <v>0</v>
      </c>
      <c r="K114" s="71">
        <f t="shared" si="10"/>
        <v>0</v>
      </c>
      <c r="L114" s="61">
        <v>13.1</v>
      </c>
      <c r="M114" s="61">
        <v>13.207999999999998</v>
      </c>
      <c r="N114" s="74">
        <f t="shared" si="11"/>
        <v>0.10799999999999876</v>
      </c>
    </row>
    <row r="115" spans="2:14">
      <c r="B115" s="59" t="s">
        <v>94</v>
      </c>
      <c r="C115" s="61">
        <v>17.914999999999999</v>
      </c>
      <c r="D115" s="61">
        <v>18.11699999999999</v>
      </c>
      <c r="E115" s="74">
        <f t="shared" si="8"/>
        <v>0.20199999999999108</v>
      </c>
      <c r="F115" s="61">
        <v>261.40300000000002</v>
      </c>
      <c r="G115" s="61">
        <v>261.709</v>
      </c>
      <c r="H115" s="74">
        <f t="shared" si="9"/>
        <v>0.30599999999998317</v>
      </c>
      <c r="I115" s="61">
        <v>20.463999999999999</v>
      </c>
      <c r="J115" s="61">
        <v>20.676000000000005</v>
      </c>
      <c r="K115" s="74">
        <f t="shared" si="10"/>
        <v>0.21200000000000685</v>
      </c>
      <c r="L115" s="61">
        <v>122.84099999999999</v>
      </c>
      <c r="M115" s="61">
        <v>123.06900000000002</v>
      </c>
      <c r="N115" s="74">
        <f t="shared" si="11"/>
        <v>0.22800000000002285</v>
      </c>
    </row>
    <row r="116" spans="2:14">
      <c r="B116" s="59" t="s">
        <v>79</v>
      </c>
      <c r="C116" s="61">
        <v>16.98</v>
      </c>
      <c r="D116" s="61">
        <v>17.28000000000003</v>
      </c>
      <c r="E116" s="74">
        <f t="shared" si="8"/>
        <v>0.30000000000002913</v>
      </c>
      <c r="F116" s="61">
        <v>114.117</v>
      </c>
      <c r="G116" s="61">
        <v>114.26999999999998</v>
      </c>
      <c r="H116" s="74">
        <f t="shared" si="9"/>
        <v>0.15299999999997738</v>
      </c>
      <c r="I116" s="61">
        <v>3.23</v>
      </c>
      <c r="J116" s="61">
        <v>3.230000000000004</v>
      </c>
      <c r="K116" s="71">
        <f t="shared" si="10"/>
        <v>3.9968028886505635E-15</v>
      </c>
      <c r="L116" s="61">
        <v>28.556999999999999</v>
      </c>
      <c r="M116" s="61">
        <v>28.79999999999999</v>
      </c>
      <c r="N116" s="74">
        <f t="shared" si="11"/>
        <v>0.24299999999999145</v>
      </c>
    </row>
    <row r="117" spans="2:14">
      <c r="B117" s="59" t="s">
        <v>108</v>
      </c>
      <c r="C117" s="61">
        <v>29.672000000000001</v>
      </c>
      <c r="D117" s="61">
        <v>29.980000000000004</v>
      </c>
      <c r="E117" s="74">
        <f t="shared" si="8"/>
        <v>0.30800000000000338</v>
      </c>
      <c r="F117" s="61">
        <v>108.364</v>
      </c>
      <c r="G117" s="61">
        <v>110.726</v>
      </c>
      <c r="H117" s="74">
        <f t="shared" si="9"/>
        <v>2.3619999999999948</v>
      </c>
      <c r="I117" s="61">
        <v>13.416</v>
      </c>
      <c r="J117" s="61">
        <v>13.425999999999995</v>
      </c>
      <c r="K117" s="74">
        <f t="shared" si="10"/>
        <v>9.9999999999944578E-3</v>
      </c>
      <c r="L117" s="61">
        <v>11.635</v>
      </c>
      <c r="M117" s="61">
        <v>11.635</v>
      </c>
      <c r="N117" s="71">
        <f t="shared" si="11"/>
        <v>0</v>
      </c>
    </row>
    <row r="118" spans="2:14">
      <c r="B118" s="59" t="s">
        <v>89</v>
      </c>
      <c r="C118" s="61">
        <v>37.5</v>
      </c>
      <c r="D118" s="61">
        <v>37.896999999999991</v>
      </c>
      <c r="E118" s="74">
        <f t="shared" si="8"/>
        <v>0.39699999999999136</v>
      </c>
      <c r="F118" s="61">
        <v>76</v>
      </c>
      <c r="G118" s="61">
        <v>76.887</v>
      </c>
      <c r="H118" s="74">
        <f t="shared" si="9"/>
        <v>0.88700000000000045</v>
      </c>
      <c r="I118" s="61">
        <v>0</v>
      </c>
      <c r="J118" s="61">
        <v>0</v>
      </c>
      <c r="K118" s="71">
        <f t="shared" si="10"/>
        <v>0</v>
      </c>
      <c r="L118" s="61">
        <v>38.015000000000001</v>
      </c>
      <c r="M118" s="61">
        <v>38.114999999999995</v>
      </c>
      <c r="N118" s="74">
        <f t="shared" si="11"/>
        <v>9.9999999999994316E-2</v>
      </c>
    </row>
    <row r="119" spans="2:14">
      <c r="B119" s="59" t="s">
        <v>80</v>
      </c>
      <c r="C119" s="61">
        <v>2.4700000000000002</v>
      </c>
      <c r="D119" s="61">
        <v>2.9689999999999941</v>
      </c>
      <c r="E119" s="74">
        <f t="shared" si="8"/>
        <v>0.49899999999999389</v>
      </c>
      <c r="F119" s="61">
        <v>24.606000000000002</v>
      </c>
      <c r="G119" s="61">
        <v>25.879000000000019</v>
      </c>
      <c r="H119" s="74">
        <f t="shared" si="9"/>
        <v>1.2730000000000175</v>
      </c>
      <c r="I119" s="61">
        <v>36.603999999999999</v>
      </c>
      <c r="J119" s="61">
        <v>37.981999999999999</v>
      </c>
      <c r="K119" s="74">
        <f t="shared" si="10"/>
        <v>1.3780000000000001</v>
      </c>
      <c r="L119" s="61">
        <v>0.26900000000000002</v>
      </c>
      <c r="M119" s="61">
        <v>0.83599999999999497</v>
      </c>
      <c r="N119" s="74">
        <f t="shared" si="11"/>
        <v>0.56699999999999495</v>
      </c>
    </row>
    <row r="120" spans="2:14">
      <c r="B120" s="59" t="s">
        <v>99</v>
      </c>
      <c r="C120" s="61">
        <v>21.5</v>
      </c>
      <c r="D120" s="61">
        <v>23.749999999999996</v>
      </c>
      <c r="E120" s="74">
        <f t="shared" si="8"/>
        <v>2.2499999999999964</v>
      </c>
      <c r="F120" s="61">
        <v>16.3</v>
      </c>
      <c r="G120" s="61">
        <v>16.434999999999995</v>
      </c>
      <c r="H120" s="74">
        <f t="shared" si="9"/>
        <v>0.13499999999999446</v>
      </c>
      <c r="I120" s="61">
        <v>6.7</v>
      </c>
      <c r="J120" s="61">
        <v>6.8349999999999991</v>
      </c>
      <c r="K120" s="74">
        <f t="shared" si="10"/>
        <v>0.1349999999999989</v>
      </c>
      <c r="L120" s="61">
        <v>29.55</v>
      </c>
      <c r="M120" s="61">
        <v>29.685000000000002</v>
      </c>
      <c r="N120" s="74">
        <f t="shared" si="11"/>
        <v>0.13500000000000156</v>
      </c>
    </row>
    <row r="121" spans="2:14">
      <c r="B121" s="59" t="s">
        <v>105</v>
      </c>
      <c r="C121" s="61">
        <v>19.777000000000001</v>
      </c>
      <c r="D121" s="61">
        <v>25.125999999999994</v>
      </c>
      <c r="E121" s="74">
        <f t="shared" si="8"/>
        <v>5.3489999999999931</v>
      </c>
      <c r="F121" s="61">
        <v>69.745999999999995</v>
      </c>
      <c r="G121" s="61">
        <v>52.903000000000006</v>
      </c>
      <c r="H121" s="69">
        <f t="shared" si="9"/>
        <v>-16.842999999999989</v>
      </c>
      <c r="I121" s="61">
        <v>40.021999999999998</v>
      </c>
      <c r="J121" s="61">
        <v>65.44</v>
      </c>
      <c r="K121" s="74">
        <f t="shared" si="10"/>
        <v>25.417999999999999</v>
      </c>
      <c r="L121" s="61">
        <v>3.1059999999999999</v>
      </c>
      <c r="M121" s="61">
        <v>19.594000000000001</v>
      </c>
      <c r="N121" s="74">
        <f t="shared" si="11"/>
        <v>16.488</v>
      </c>
    </row>
    <row r="122" spans="2:14">
      <c r="B122" s="59" t="s">
        <v>97</v>
      </c>
      <c r="C122" s="61">
        <v>-7.1710000000000003</v>
      </c>
      <c r="D122" s="61">
        <v>0</v>
      </c>
      <c r="E122" s="74">
        <f t="shared" si="8"/>
        <v>7.1710000000000003</v>
      </c>
      <c r="F122" s="61">
        <v>118.217</v>
      </c>
      <c r="G122" s="61">
        <v>108.84700000000002</v>
      </c>
      <c r="H122" s="69">
        <f t="shared" si="9"/>
        <v>-9.3699999999999761</v>
      </c>
      <c r="I122" s="61">
        <v>45.015000000000001</v>
      </c>
      <c r="J122" s="61">
        <v>44.901000000000003</v>
      </c>
      <c r="K122" s="69">
        <f t="shared" si="10"/>
        <v>-0.11399999999999721</v>
      </c>
      <c r="L122" s="61">
        <v>-1.0029999999999999</v>
      </c>
      <c r="M122" s="61">
        <v>0</v>
      </c>
      <c r="N122" s="74">
        <f t="shared" si="11"/>
        <v>1.0029999999999999</v>
      </c>
    </row>
    <row r="123" spans="2:14">
      <c r="B123" s="59" t="s">
        <v>101</v>
      </c>
      <c r="C123" s="61">
        <v>13.64</v>
      </c>
      <c r="D123" s="61">
        <v>21.07</v>
      </c>
      <c r="E123" s="74">
        <f t="shared" si="8"/>
        <v>7.43</v>
      </c>
      <c r="F123" s="61">
        <v>79.254999999999995</v>
      </c>
      <c r="G123" s="61">
        <v>118.765</v>
      </c>
      <c r="H123" s="74">
        <f t="shared" si="9"/>
        <v>39.510000000000005</v>
      </c>
      <c r="I123" s="61">
        <v>55.505000000000003</v>
      </c>
      <c r="J123" s="61">
        <v>52.65</v>
      </c>
      <c r="K123" s="69">
        <f t="shared" si="10"/>
        <v>-2.855000000000004</v>
      </c>
      <c r="L123" s="61">
        <v>6.52</v>
      </c>
      <c r="M123" s="61">
        <v>0</v>
      </c>
      <c r="N123" s="69">
        <f t="shared" si="11"/>
        <v>-6.52</v>
      </c>
    </row>
    <row r="124" spans="2:14">
      <c r="B124" s="59" t="s">
        <v>87</v>
      </c>
      <c r="C124" s="61">
        <v>5.4539999999999997</v>
      </c>
      <c r="D124" s="61">
        <v>21.413999999999987</v>
      </c>
      <c r="E124" s="74">
        <f t="shared" si="8"/>
        <v>15.959999999999987</v>
      </c>
      <c r="F124" s="61">
        <v>49.72</v>
      </c>
      <c r="G124" s="61">
        <v>21.580000000000005</v>
      </c>
      <c r="H124" s="69">
        <f t="shared" si="9"/>
        <v>-28.139999999999993</v>
      </c>
      <c r="I124" s="61">
        <v>5.1559999999999997</v>
      </c>
      <c r="J124" s="61">
        <v>10.744999999999997</v>
      </c>
      <c r="K124" s="74">
        <f t="shared" si="10"/>
        <v>5.5889999999999977</v>
      </c>
      <c r="L124" s="61">
        <v>13.97</v>
      </c>
      <c r="M124" s="61">
        <v>7.7239999999999984</v>
      </c>
      <c r="N124" s="69">
        <f t="shared" si="11"/>
        <v>-6.2460000000000022</v>
      </c>
    </row>
    <row r="125" spans="2:14">
      <c r="B125" s="65" t="s">
        <v>102</v>
      </c>
      <c r="C125" s="61">
        <v>2.0089999999999999</v>
      </c>
      <c r="D125" s="61">
        <v>18.103000000000002</v>
      </c>
      <c r="E125" s="74">
        <f t="shared" si="8"/>
        <v>16.094000000000001</v>
      </c>
      <c r="F125" s="61">
        <v>46.933</v>
      </c>
      <c r="G125" s="61">
        <v>54.90300000000002</v>
      </c>
      <c r="H125" s="74">
        <f t="shared" si="9"/>
        <v>7.9700000000000202</v>
      </c>
      <c r="I125" s="61">
        <v>11.218</v>
      </c>
      <c r="J125" s="61">
        <v>6.6780000000000017</v>
      </c>
      <c r="K125" s="69">
        <f t="shared" si="10"/>
        <v>-4.5399999999999983</v>
      </c>
      <c r="L125" s="61">
        <v>12.688000000000001</v>
      </c>
      <c r="M125" s="61">
        <v>27.908000000000005</v>
      </c>
      <c r="N125" s="74">
        <f t="shared" si="11"/>
        <v>15.220000000000004</v>
      </c>
    </row>
    <row r="126" spans="2:14">
      <c r="B126" s="59" t="s">
        <v>106</v>
      </c>
      <c r="C126" s="61">
        <v>50.960999999999999</v>
      </c>
      <c r="D126" s="61">
        <v>83.575000000000003</v>
      </c>
      <c r="E126" s="74">
        <f t="shared" si="8"/>
        <v>32.614000000000004</v>
      </c>
      <c r="F126" s="61">
        <v>27.73</v>
      </c>
      <c r="G126" s="61">
        <v>11.838999999999999</v>
      </c>
      <c r="H126" s="69">
        <f t="shared" si="9"/>
        <v>-15.891000000000002</v>
      </c>
      <c r="I126" s="61">
        <v>22.663</v>
      </c>
      <c r="J126" s="61">
        <v>17.065999999999999</v>
      </c>
      <c r="K126" s="69">
        <f t="shared" si="10"/>
        <v>-5.5970000000000013</v>
      </c>
      <c r="L126" s="61">
        <v>21.614999999999998</v>
      </c>
      <c r="M126" s="61">
        <v>17.302</v>
      </c>
      <c r="N126" s="69">
        <f t="shared" si="11"/>
        <v>-4.3129999999999988</v>
      </c>
    </row>
    <row r="127" spans="2:14">
      <c r="B127" s="59" t="s">
        <v>109</v>
      </c>
      <c r="C127" s="61">
        <v>-38.097999999999999</v>
      </c>
      <c r="D127" s="61">
        <v>43.781000000000006</v>
      </c>
      <c r="E127" s="74">
        <f t="shared" si="8"/>
        <v>81.879000000000005</v>
      </c>
      <c r="F127" s="61">
        <v>108.083</v>
      </c>
      <c r="G127" s="61">
        <v>22.71</v>
      </c>
      <c r="H127" s="69">
        <f t="shared" si="9"/>
        <v>-85.37299999999999</v>
      </c>
      <c r="I127" s="61">
        <v>-62.25</v>
      </c>
      <c r="J127" s="61">
        <v>0</v>
      </c>
      <c r="K127" s="74">
        <f t="shared" si="10"/>
        <v>62.25</v>
      </c>
      <c r="L127" s="61">
        <v>36.555</v>
      </c>
      <c r="M127" s="61">
        <v>30.828999999999997</v>
      </c>
      <c r="N127" s="69">
        <f t="shared" si="11"/>
        <v>-5.7260000000000026</v>
      </c>
    </row>
    <row r="128" spans="2:14">
      <c r="B128" s="59" t="s">
        <v>107</v>
      </c>
      <c r="C128" s="61">
        <v>-250.8</v>
      </c>
      <c r="D128" s="61">
        <v>21.154999999999973</v>
      </c>
      <c r="E128" s="74">
        <f t="shared" si="8"/>
        <v>271.95499999999998</v>
      </c>
      <c r="F128" s="61">
        <v>2.9780000000000002</v>
      </c>
      <c r="G128" s="61">
        <v>5.4349999999999996</v>
      </c>
      <c r="H128" s="74">
        <f t="shared" si="9"/>
        <v>2.4569999999999994</v>
      </c>
      <c r="I128" s="61">
        <v>2.66</v>
      </c>
      <c r="J128" s="61">
        <v>1.7399999999999993</v>
      </c>
      <c r="K128" s="69">
        <f t="shared" si="10"/>
        <v>-0.92000000000000082</v>
      </c>
      <c r="L128" s="61">
        <v>1.85</v>
      </c>
      <c r="M128" s="61">
        <v>3.5549999999999997</v>
      </c>
      <c r="N128" s="74">
        <f t="shared" si="11"/>
        <v>1.7049999999999996</v>
      </c>
    </row>
    <row r="131" spans="1:14">
      <c r="B131" s="58">
        <v>46162</v>
      </c>
      <c r="C131" s="50"/>
      <c r="D131" s="50"/>
      <c r="E131" s="50"/>
      <c r="F131" s="50"/>
    </row>
    <row r="132" spans="1:14">
      <c r="B132" s="32" t="s">
        <v>68</v>
      </c>
      <c r="C132" s="33">
        <v>161</v>
      </c>
      <c r="D132" s="33"/>
      <c r="E132" s="33"/>
      <c r="F132" s="33">
        <v>2054</v>
      </c>
      <c r="G132" s="34"/>
      <c r="H132" s="34"/>
      <c r="I132" s="34">
        <v>5550</v>
      </c>
      <c r="J132" s="34"/>
      <c r="K132" s="34"/>
      <c r="L132" s="34">
        <v>8899</v>
      </c>
      <c r="M132" s="1"/>
      <c r="N132" s="1"/>
    </row>
    <row r="133" spans="1:14">
      <c r="A133" s="36"/>
      <c r="B133" s="32" t="s">
        <v>69</v>
      </c>
      <c r="C133" s="35">
        <v>100001</v>
      </c>
      <c r="D133" s="35"/>
      <c r="E133" s="35"/>
      <c r="F133" s="33">
        <v>100004</v>
      </c>
      <c r="G133" s="34"/>
      <c r="H133" s="34"/>
      <c r="I133" s="34">
        <v>100030</v>
      </c>
      <c r="J133" s="34"/>
      <c r="K133" s="34"/>
      <c r="L133" s="34">
        <v>100153</v>
      </c>
      <c r="M133" s="34"/>
      <c r="N133" s="34"/>
    </row>
    <row r="134" spans="1:14">
      <c r="B134" s="37" t="s">
        <v>70</v>
      </c>
      <c r="C134" s="33" t="s">
        <v>71</v>
      </c>
      <c r="D134" s="33"/>
      <c r="E134" s="33"/>
      <c r="F134" s="33" t="s">
        <v>71</v>
      </c>
      <c r="G134" s="38"/>
      <c r="H134" s="38"/>
      <c r="I134" s="38" t="s">
        <v>71</v>
      </c>
      <c r="J134" s="38"/>
      <c r="K134" s="38"/>
      <c r="L134" s="38" t="s">
        <v>71</v>
      </c>
      <c r="M134" s="1"/>
      <c r="N134" s="1"/>
    </row>
    <row r="135" spans="1:14">
      <c r="B135" s="39" t="s">
        <v>72</v>
      </c>
      <c r="C135" s="80" t="s">
        <v>73</v>
      </c>
      <c r="D135" s="80"/>
      <c r="E135" s="80"/>
      <c r="F135" s="81" t="s">
        <v>74</v>
      </c>
      <c r="G135" s="81"/>
      <c r="H135" s="81"/>
      <c r="I135" s="82" t="s">
        <v>75</v>
      </c>
      <c r="J135" s="82"/>
      <c r="K135" s="82"/>
      <c r="L135" s="83" t="s">
        <v>76</v>
      </c>
      <c r="M135" s="83"/>
      <c r="N135" s="83"/>
    </row>
    <row r="136" spans="1:14" ht="43.2">
      <c r="A136">
        <v>13</v>
      </c>
      <c r="B136" s="40" t="s">
        <v>61</v>
      </c>
      <c r="C136" s="41" t="s">
        <v>116</v>
      </c>
      <c r="D136" s="41" t="s">
        <v>77</v>
      </c>
      <c r="E136" s="41" t="s">
        <v>78</v>
      </c>
      <c r="F136" s="42" t="s">
        <v>116</v>
      </c>
      <c r="G136" s="42" t="s">
        <v>77</v>
      </c>
      <c r="H136" s="42" t="s">
        <v>78</v>
      </c>
      <c r="I136" s="43" t="s">
        <v>116</v>
      </c>
      <c r="J136" s="43" t="s">
        <v>77</v>
      </c>
      <c r="K136" s="43" t="s">
        <v>78</v>
      </c>
      <c r="L136" s="44" t="s">
        <v>116</v>
      </c>
      <c r="M136" s="44" t="s">
        <v>77</v>
      </c>
      <c r="N136" s="44" t="s">
        <v>78</v>
      </c>
    </row>
    <row r="137" spans="1:14">
      <c r="A137">
        <v>13</v>
      </c>
      <c r="B137" s="59" t="s">
        <v>91</v>
      </c>
      <c r="C137" s="61">
        <v>-21.852</v>
      </c>
      <c r="D137" s="61">
        <v>3.1479999999999961</v>
      </c>
      <c r="E137" s="88">
        <f t="shared" ref="E137:E170" si="12">D137-C137</f>
        <v>24.999999999999996</v>
      </c>
      <c r="F137" s="61">
        <v>153.10300000000001</v>
      </c>
      <c r="G137" s="61">
        <v>53.282999999999987</v>
      </c>
      <c r="H137" s="69">
        <f t="shared" ref="H137:H170" si="13">G137-F137</f>
        <v>-99.820000000000022</v>
      </c>
      <c r="I137" s="61">
        <v>37.448</v>
      </c>
      <c r="J137" s="61">
        <v>37.448</v>
      </c>
      <c r="K137" s="85">
        <f t="shared" ref="K137:K170" si="14">J137-I137</f>
        <v>0</v>
      </c>
      <c r="L137" s="61">
        <v>11.997999999999999</v>
      </c>
      <c r="M137" s="61">
        <v>11.998000000000001</v>
      </c>
      <c r="N137" s="85">
        <f t="shared" ref="N137:N170" si="15">M137-L137</f>
        <v>0</v>
      </c>
    </row>
    <row r="138" spans="1:14">
      <c r="A138">
        <v>25</v>
      </c>
      <c r="B138" s="59" t="s">
        <v>103</v>
      </c>
      <c r="C138" s="61">
        <v>28.065999999999999</v>
      </c>
      <c r="D138" s="61">
        <v>52.505999999999993</v>
      </c>
      <c r="E138" s="88">
        <f t="shared" si="12"/>
        <v>24.439999999999994</v>
      </c>
      <c r="F138" s="61">
        <v>219.39</v>
      </c>
      <c r="G138" s="61">
        <v>149.66800000000001</v>
      </c>
      <c r="H138" s="69">
        <f t="shared" si="13"/>
        <v>-69.72199999999998</v>
      </c>
      <c r="I138" s="61">
        <v>-28.696000000000002</v>
      </c>
      <c r="J138" s="61">
        <v>-0.6339999999999999</v>
      </c>
      <c r="K138" s="84">
        <f t="shared" si="14"/>
        <v>28.062000000000001</v>
      </c>
      <c r="L138" s="61">
        <v>32.21</v>
      </c>
      <c r="M138" s="61">
        <v>24.292000000000002</v>
      </c>
      <c r="N138" s="69">
        <f t="shared" si="15"/>
        <v>-7.9179999999999993</v>
      </c>
    </row>
    <row r="139" spans="1:14">
      <c r="A139">
        <v>16</v>
      </c>
      <c r="B139" s="59" t="s">
        <v>94</v>
      </c>
      <c r="C139" s="61">
        <v>-46.027000000000001</v>
      </c>
      <c r="D139" s="61">
        <v>28.012999999999991</v>
      </c>
      <c r="E139" s="88">
        <f t="shared" si="12"/>
        <v>74.039999999999992</v>
      </c>
      <c r="F139" s="61" t="e">
        <f>342.903+#REF!</f>
        <v>#REF!</v>
      </c>
      <c r="G139" s="61">
        <v>283.95100000000002</v>
      </c>
      <c r="H139" s="69" t="e">
        <f t="shared" si="13"/>
        <v>#REF!</v>
      </c>
      <c r="I139" s="61">
        <v>7.15</v>
      </c>
      <c r="J139" s="61">
        <v>7.1500000000000057</v>
      </c>
      <c r="K139" s="85">
        <f t="shared" si="14"/>
        <v>0</v>
      </c>
      <c r="L139" s="61">
        <v>111.155</v>
      </c>
      <c r="M139" s="61">
        <v>111.15500000000003</v>
      </c>
      <c r="N139" s="85">
        <f t="shared" si="15"/>
        <v>0</v>
      </c>
    </row>
    <row r="140" spans="1:14">
      <c r="A140">
        <v>5</v>
      </c>
      <c r="B140" s="59" t="s">
        <v>83</v>
      </c>
      <c r="C140" s="61">
        <v>12.782</v>
      </c>
      <c r="D140" s="61">
        <v>0</v>
      </c>
      <c r="E140" s="69">
        <f t="shared" si="12"/>
        <v>-12.782</v>
      </c>
      <c r="F140" s="61">
        <v>28.234000000000002</v>
      </c>
      <c r="G140" s="61">
        <v>2.9753977059954195E-14</v>
      </c>
      <c r="H140" s="69">
        <f t="shared" si="13"/>
        <v>-28.233999999999973</v>
      </c>
      <c r="I140" s="61">
        <v>51.686</v>
      </c>
      <c r="J140" s="61">
        <v>8.0910000000000011</v>
      </c>
      <c r="K140" s="69">
        <f t="shared" si="14"/>
        <v>-43.594999999999999</v>
      </c>
      <c r="L140" s="61">
        <v>9.4860000000000007</v>
      </c>
      <c r="M140" s="61">
        <v>0</v>
      </c>
      <c r="N140" s="69">
        <f t="shared" si="15"/>
        <v>-9.4860000000000007</v>
      </c>
    </row>
    <row r="141" spans="1:14">
      <c r="A141">
        <v>8</v>
      </c>
      <c r="B141" s="59" t="s">
        <v>86</v>
      </c>
      <c r="C141" s="61">
        <v>77.956000000000003</v>
      </c>
      <c r="D141" s="61">
        <v>20.558139999999998</v>
      </c>
      <c r="E141" s="69">
        <f t="shared" si="12"/>
        <v>-57.397860000000009</v>
      </c>
      <c r="F141" s="61">
        <v>138.29400000000001</v>
      </c>
      <c r="G141" s="61">
        <v>112.75121499999997</v>
      </c>
      <c r="H141" s="69">
        <f t="shared" si="13"/>
        <v>-25.542785000000038</v>
      </c>
      <c r="I141" s="61">
        <v>0</v>
      </c>
      <c r="J141" s="61">
        <v>0</v>
      </c>
      <c r="K141" s="85">
        <f t="shared" si="14"/>
        <v>0</v>
      </c>
      <c r="L141" s="61">
        <v>11.817</v>
      </c>
      <c r="M141" s="61">
        <v>1.8479399999999906</v>
      </c>
      <c r="N141" s="69">
        <f t="shared" si="15"/>
        <v>-9.9690600000000096</v>
      </c>
    </row>
    <row r="142" spans="1:14">
      <c r="A142">
        <v>27</v>
      </c>
      <c r="B142" s="59" t="s">
        <v>105</v>
      </c>
      <c r="C142" s="61">
        <v>38.722000000000001</v>
      </c>
      <c r="D142" s="61">
        <v>38.515999999999998</v>
      </c>
      <c r="E142" s="69">
        <f t="shared" si="12"/>
        <v>-0.20600000000000307</v>
      </c>
      <c r="F142" s="61">
        <v>50.503</v>
      </c>
      <c r="G142" s="61">
        <v>48.741999999999962</v>
      </c>
      <c r="H142" s="69">
        <f t="shared" si="13"/>
        <v>-1.7610000000000383</v>
      </c>
      <c r="I142" s="61">
        <v>62.011000000000003</v>
      </c>
      <c r="J142" s="61">
        <v>61.097999999999999</v>
      </c>
      <c r="K142" s="69">
        <f t="shared" si="14"/>
        <v>-0.91300000000000381</v>
      </c>
      <c r="L142" s="61">
        <v>11.375</v>
      </c>
      <c r="M142" s="61">
        <v>11.272000000000002</v>
      </c>
      <c r="N142" s="69">
        <f t="shared" si="15"/>
        <v>-0.10299999999999798</v>
      </c>
    </row>
    <row r="143" spans="1:14">
      <c r="A143">
        <v>19</v>
      </c>
      <c r="B143" s="59" t="s">
        <v>97</v>
      </c>
      <c r="C143" s="61">
        <v>5.7140000000000004</v>
      </c>
      <c r="D143" s="61">
        <v>5.7149999999999999</v>
      </c>
      <c r="E143" s="85">
        <f t="shared" si="12"/>
        <v>9.9999999999944578E-4</v>
      </c>
      <c r="F143" s="61">
        <f>101.73</f>
        <v>101.73</v>
      </c>
      <c r="G143" s="61">
        <v>101.077</v>
      </c>
      <c r="H143" s="69">
        <f t="shared" si="13"/>
        <v>-0.6530000000000058</v>
      </c>
      <c r="I143" s="61">
        <v>36.798999999999999</v>
      </c>
      <c r="J143" s="61">
        <v>36.685000000000002</v>
      </c>
      <c r="K143" s="69">
        <f t="shared" si="14"/>
        <v>-0.11399999999999721</v>
      </c>
      <c r="L143" s="61">
        <v>4.8220000000000001</v>
      </c>
      <c r="M143" s="61">
        <v>4.8254999999999981</v>
      </c>
      <c r="N143" s="85">
        <f t="shared" si="15"/>
        <v>3.4999999999980602E-3</v>
      </c>
    </row>
    <row r="144" spans="1:14">
      <c r="A144">
        <v>18</v>
      </c>
      <c r="B144" s="59" t="s">
        <v>96</v>
      </c>
      <c r="C144" s="61">
        <v>18.655000000000001</v>
      </c>
      <c r="D144" s="61">
        <v>18.593000000000004</v>
      </c>
      <c r="E144" s="69">
        <f t="shared" si="12"/>
        <v>-6.1999999999997613E-2</v>
      </c>
      <c r="F144" s="61">
        <v>32.527999999999999</v>
      </c>
      <c r="G144" s="61">
        <v>32.061999999999998</v>
      </c>
      <c r="H144" s="69">
        <f t="shared" si="13"/>
        <v>-0.46600000000000108</v>
      </c>
      <c r="I144" s="61">
        <v>19.387</v>
      </c>
      <c r="J144" s="61">
        <v>19.387000000000004</v>
      </c>
      <c r="K144" s="85">
        <f t="shared" si="14"/>
        <v>0</v>
      </c>
      <c r="L144" s="61">
        <v>-9.9000000000000005E-2</v>
      </c>
      <c r="M144" s="61">
        <v>0</v>
      </c>
      <c r="N144" s="88">
        <f t="shared" si="15"/>
        <v>9.9000000000000005E-2</v>
      </c>
    </row>
    <row r="145" spans="1:14">
      <c r="A145">
        <v>26</v>
      </c>
      <c r="B145" s="59" t="s">
        <v>104</v>
      </c>
      <c r="C145" s="61">
        <v>0.157</v>
      </c>
      <c r="D145" s="61">
        <v>0.221</v>
      </c>
      <c r="E145" s="88">
        <f t="shared" si="12"/>
        <v>6.4000000000000001E-2</v>
      </c>
      <c r="F145" s="61">
        <v>151.38</v>
      </c>
      <c r="G145" s="61">
        <v>151.149</v>
      </c>
      <c r="H145" s="69">
        <f t="shared" si="13"/>
        <v>-0.23099999999999454</v>
      </c>
      <c r="I145" s="61">
        <v>21.811</v>
      </c>
      <c r="J145" s="61">
        <v>21.7</v>
      </c>
      <c r="K145" s="69">
        <f t="shared" si="14"/>
        <v>-0.11100000000000065</v>
      </c>
      <c r="L145" s="61">
        <v>47.046999999999997</v>
      </c>
      <c r="M145" s="61">
        <v>65.938000000000002</v>
      </c>
      <c r="N145" s="88">
        <f t="shared" si="15"/>
        <v>18.891000000000005</v>
      </c>
    </row>
    <row r="146" spans="1:14">
      <c r="A146">
        <v>30</v>
      </c>
      <c r="B146" s="59" t="s">
        <v>108</v>
      </c>
      <c r="C146" s="61">
        <v>20.033999999999999</v>
      </c>
      <c r="D146" s="61">
        <v>19.984000000000002</v>
      </c>
      <c r="E146" s="69">
        <f t="shared" si="12"/>
        <v>-4.9999999999997158E-2</v>
      </c>
      <c r="F146" s="61">
        <v>84.988</v>
      </c>
      <c r="G146" s="61">
        <v>84.798000000000002</v>
      </c>
      <c r="H146" s="69">
        <f t="shared" si="13"/>
        <v>-0.18999999999999773</v>
      </c>
      <c r="I146" s="61">
        <v>4.2460000000000004</v>
      </c>
      <c r="J146" s="61">
        <v>4.2460000000000004</v>
      </c>
      <c r="K146" s="85">
        <f t="shared" si="14"/>
        <v>0</v>
      </c>
      <c r="L146" s="61">
        <v>23.023</v>
      </c>
      <c r="M146" s="61">
        <v>22.912999999999997</v>
      </c>
      <c r="N146" s="69">
        <f t="shared" si="15"/>
        <v>-0.11000000000000298</v>
      </c>
    </row>
    <row r="147" spans="1:14">
      <c r="A147">
        <v>6</v>
      </c>
      <c r="B147" s="59" t="s">
        <v>84</v>
      </c>
      <c r="C147" s="61">
        <v>51.106000000000002</v>
      </c>
      <c r="D147" s="61">
        <v>51.11</v>
      </c>
      <c r="E147" s="85">
        <f t="shared" si="12"/>
        <v>3.9999999999977831E-3</v>
      </c>
      <c r="F147" s="61">
        <v>55.308999999999997</v>
      </c>
      <c r="G147" s="61">
        <v>55.291999999999987</v>
      </c>
      <c r="H147" s="69">
        <f t="shared" si="13"/>
        <v>-1.7000000000010118E-2</v>
      </c>
      <c r="I147" s="61">
        <v>45.457000000000001</v>
      </c>
      <c r="J147" s="61">
        <v>45.550000000000004</v>
      </c>
      <c r="K147" s="84">
        <f t="shared" si="14"/>
        <v>9.3000000000003524E-2</v>
      </c>
      <c r="L147" s="61">
        <v>31.74</v>
      </c>
      <c r="M147" s="61">
        <v>31.740000000000002</v>
      </c>
      <c r="N147" s="85">
        <f t="shared" si="15"/>
        <v>0</v>
      </c>
    </row>
    <row r="148" spans="1:14">
      <c r="A148">
        <v>9</v>
      </c>
      <c r="B148" s="59" t="s">
        <v>87</v>
      </c>
      <c r="C148" s="61">
        <v>-6.7560000000000002</v>
      </c>
      <c r="D148" s="61">
        <v>5.637999999999991</v>
      </c>
      <c r="E148" s="88">
        <f t="shared" si="12"/>
        <v>12.393999999999991</v>
      </c>
      <c r="F148" s="61">
        <v>19.806000000000001</v>
      </c>
      <c r="G148" s="61">
        <v>19.806000000000015</v>
      </c>
      <c r="H148" s="85">
        <f t="shared" si="13"/>
        <v>0</v>
      </c>
      <c r="I148" s="61">
        <v>0</v>
      </c>
      <c r="J148" s="61">
        <v>5.4640000000000004</v>
      </c>
      <c r="K148" s="84">
        <f t="shared" si="14"/>
        <v>5.4640000000000004</v>
      </c>
      <c r="L148" s="61">
        <v>22.931999999999999</v>
      </c>
      <c r="M148" s="61">
        <v>10.322000000000003</v>
      </c>
      <c r="N148" s="69">
        <f t="shared" si="15"/>
        <v>-12.609999999999996</v>
      </c>
    </row>
    <row r="149" spans="1:14">
      <c r="A149">
        <v>23</v>
      </c>
      <c r="B149" s="59" t="s">
        <v>101</v>
      </c>
      <c r="C149" s="61">
        <v>32.340000000000003</v>
      </c>
      <c r="D149" s="61">
        <v>32.340000000000003</v>
      </c>
      <c r="E149" s="85">
        <f t="shared" si="12"/>
        <v>0</v>
      </c>
      <c r="F149" s="61">
        <v>106.895</v>
      </c>
      <c r="G149" s="61">
        <v>106.895</v>
      </c>
      <c r="H149" s="85">
        <f t="shared" si="13"/>
        <v>0</v>
      </c>
      <c r="I149" s="61">
        <v>41.62</v>
      </c>
      <c r="J149" s="61">
        <v>41.62</v>
      </c>
      <c r="K149" s="85">
        <f t="shared" si="14"/>
        <v>0</v>
      </c>
      <c r="L149" s="61">
        <v>8.8000000000000007</v>
      </c>
      <c r="M149" s="61">
        <v>6.7909999999999968</v>
      </c>
      <c r="N149" s="69">
        <f t="shared" si="15"/>
        <v>-2.0090000000000039</v>
      </c>
    </row>
    <row r="150" spans="1:14">
      <c r="A150">
        <v>3</v>
      </c>
      <c r="B150" s="59" t="s">
        <v>81</v>
      </c>
      <c r="C150" s="61">
        <v>0</v>
      </c>
      <c r="D150" s="61">
        <v>0</v>
      </c>
      <c r="E150" s="85">
        <f t="shared" si="12"/>
        <v>0</v>
      </c>
      <c r="F150" s="61">
        <v>71.251000000000005</v>
      </c>
      <c r="G150" s="61">
        <v>71.250999999999976</v>
      </c>
      <c r="H150" s="85">
        <f t="shared" si="13"/>
        <v>0</v>
      </c>
      <c r="I150" s="61">
        <v>10.874000000000001</v>
      </c>
      <c r="J150" s="61">
        <v>10.874000000000006</v>
      </c>
      <c r="K150" s="85">
        <f t="shared" si="14"/>
        <v>0</v>
      </c>
      <c r="L150" s="61">
        <v>12.226000000000001</v>
      </c>
      <c r="M150" s="61">
        <v>12.226000000000006</v>
      </c>
      <c r="N150" s="85">
        <f t="shared" si="15"/>
        <v>0</v>
      </c>
    </row>
    <row r="151" spans="1:14">
      <c r="A151">
        <v>4</v>
      </c>
      <c r="B151" s="59" t="s">
        <v>82</v>
      </c>
      <c r="C151" s="61">
        <v>51</v>
      </c>
      <c r="D151" s="61">
        <v>51</v>
      </c>
      <c r="E151" s="85">
        <f t="shared" si="12"/>
        <v>0</v>
      </c>
      <c r="F151" s="61">
        <v>213.19</v>
      </c>
      <c r="G151" s="61">
        <v>213.18999999999994</v>
      </c>
      <c r="H151" s="85">
        <f t="shared" si="13"/>
        <v>0</v>
      </c>
      <c r="I151" s="61">
        <v>0</v>
      </c>
      <c r="J151" s="61">
        <v>0</v>
      </c>
      <c r="K151" s="85">
        <f t="shared" si="14"/>
        <v>0</v>
      </c>
      <c r="L151" s="61">
        <v>116.295</v>
      </c>
      <c r="M151" s="61">
        <v>116.295</v>
      </c>
      <c r="N151" s="85">
        <f t="shared" si="15"/>
        <v>0</v>
      </c>
    </row>
    <row r="152" spans="1:14">
      <c r="A152">
        <v>11</v>
      </c>
      <c r="B152" s="59" t="s">
        <v>89</v>
      </c>
      <c r="C152" s="61">
        <v>120.631</v>
      </c>
      <c r="D152" s="61">
        <v>120.63099999999997</v>
      </c>
      <c r="E152" s="86">
        <f t="shared" si="12"/>
        <v>0</v>
      </c>
      <c r="F152" s="61">
        <v>82.260999999999996</v>
      </c>
      <c r="G152" s="61">
        <v>82.260999999999996</v>
      </c>
      <c r="H152" s="86">
        <f t="shared" si="13"/>
        <v>0</v>
      </c>
      <c r="I152" s="61">
        <v>11.526</v>
      </c>
      <c r="J152" s="61">
        <v>11.525999999999998</v>
      </c>
      <c r="K152" s="85">
        <f t="shared" si="14"/>
        <v>0</v>
      </c>
      <c r="L152" s="61">
        <v>32.195</v>
      </c>
      <c r="M152" s="61">
        <v>32.195</v>
      </c>
      <c r="N152" s="85">
        <f t="shared" si="15"/>
        <v>0</v>
      </c>
    </row>
    <row r="153" spans="1:14">
      <c r="A153">
        <v>15</v>
      </c>
      <c r="B153" s="59" t="s">
        <v>93</v>
      </c>
      <c r="C153" s="61">
        <v>18.048999999999999</v>
      </c>
      <c r="D153" s="61">
        <v>18.048999999999999</v>
      </c>
      <c r="E153" s="85">
        <f t="shared" si="12"/>
        <v>0</v>
      </c>
      <c r="F153" s="61">
        <v>24.91</v>
      </c>
      <c r="G153" s="61">
        <v>24.910000000000011</v>
      </c>
      <c r="H153" s="85">
        <f t="shared" si="13"/>
        <v>0</v>
      </c>
      <c r="I153" s="61">
        <v>0</v>
      </c>
      <c r="J153" s="61">
        <v>0</v>
      </c>
      <c r="K153" s="85">
        <f t="shared" si="14"/>
        <v>0</v>
      </c>
      <c r="L153" s="61">
        <v>4.9960000000000004</v>
      </c>
      <c r="M153" s="61">
        <v>4.9959999999999969</v>
      </c>
      <c r="N153" s="85">
        <f t="shared" si="15"/>
        <v>0</v>
      </c>
    </row>
    <row r="154" spans="1:14">
      <c r="A154">
        <v>17</v>
      </c>
      <c r="B154" s="59" t="s">
        <v>95</v>
      </c>
      <c r="C154" s="61">
        <v>26.542000000000002</v>
      </c>
      <c r="D154" s="61">
        <v>26.542000000000002</v>
      </c>
      <c r="E154" s="85">
        <f t="shared" si="12"/>
        <v>0</v>
      </c>
      <c r="F154" s="61">
        <v>69.486000000000004</v>
      </c>
      <c r="G154" s="61">
        <v>69.48599999999999</v>
      </c>
      <c r="H154" s="85">
        <f t="shared" si="13"/>
        <v>0</v>
      </c>
      <c r="I154" s="61">
        <v>39.787999999999997</v>
      </c>
      <c r="J154" s="61">
        <v>39.787999999999997</v>
      </c>
      <c r="K154" s="85">
        <f t="shared" si="14"/>
        <v>0</v>
      </c>
      <c r="L154" s="61">
        <v>38.183999999999997</v>
      </c>
      <c r="M154" s="61">
        <v>38.184000000000005</v>
      </c>
      <c r="N154" s="85">
        <f t="shared" si="15"/>
        <v>0</v>
      </c>
    </row>
    <row r="155" spans="1:14">
      <c r="A155">
        <v>20</v>
      </c>
      <c r="B155" s="59" t="s">
        <v>98</v>
      </c>
      <c r="C155" s="61">
        <v>34.677999999999997</v>
      </c>
      <c r="D155" s="61">
        <v>34.677999999999997</v>
      </c>
      <c r="E155" s="85">
        <f t="shared" si="12"/>
        <v>0</v>
      </c>
      <c r="F155" s="61">
        <v>29.259</v>
      </c>
      <c r="G155" s="61">
        <v>29.259</v>
      </c>
      <c r="H155" s="85">
        <f t="shared" si="13"/>
        <v>0</v>
      </c>
      <c r="I155" s="61">
        <v>31.190999999999999</v>
      </c>
      <c r="J155" s="61">
        <v>31.190999999999999</v>
      </c>
      <c r="K155" s="85">
        <f t="shared" si="14"/>
        <v>0</v>
      </c>
      <c r="L155" s="61">
        <v>35.491999999999997</v>
      </c>
      <c r="M155" s="61">
        <v>35.491999999999997</v>
      </c>
      <c r="N155" s="85">
        <f t="shared" si="15"/>
        <v>0</v>
      </c>
    </row>
    <row r="156" spans="1:14">
      <c r="A156">
        <v>24</v>
      </c>
      <c r="B156" s="65" t="s">
        <v>102</v>
      </c>
      <c r="C156" s="61">
        <v>0</v>
      </c>
      <c r="D156" s="61">
        <v>0</v>
      </c>
      <c r="E156" s="85">
        <f t="shared" si="12"/>
        <v>0</v>
      </c>
      <c r="F156" s="61">
        <v>40.283000000000001</v>
      </c>
      <c r="G156" s="61">
        <v>40.282999999999987</v>
      </c>
      <c r="H156" s="85">
        <f t="shared" si="13"/>
        <v>0</v>
      </c>
      <c r="I156" s="61">
        <v>23.11</v>
      </c>
      <c r="J156" s="61">
        <v>23.11</v>
      </c>
      <c r="K156" s="85">
        <f t="shared" si="14"/>
        <v>0</v>
      </c>
      <c r="L156" s="61">
        <v>17.724</v>
      </c>
      <c r="M156" s="61">
        <v>17.724000000000004</v>
      </c>
      <c r="N156" s="85">
        <f t="shared" si="15"/>
        <v>0</v>
      </c>
    </row>
    <row r="157" spans="1:14">
      <c r="A157">
        <v>33</v>
      </c>
      <c r="B157" s="59" t="s">
        <v>111</v>
      </c>
      <c r="C157" s="61">
        <v>15.976000000000001</v>
      </c>
      <c r="D157" s="61">
        <v>15.976000000000006</v>
      </c>
      <c r="E157" s="85">
        <f t="shared" si="12"/>
        <v>0</v>
      </c>
      <c r="F157" s="61">
        <v>23.062999999999999</v>
      </c>
      <c r="G157" s="61">
        <v>23.063000000000009</v>
      </c>
      <c r="H157" s="85">
        <f t="shared" si="13"/>
        <v>0</v>
      </c>
      <c r="I157" s="61">
        <v>4.1459999999999999</v>
      </c>
      <c r="J157" s="61">
        <v>4.145999999999999</v>
      </c>
      <c r="K157" s="85">
        <f t="shared" si="14"/>
        <v>0</v>
      </c>
      <c r="L157" s="61">
        <v>21.59</v>
      </c>
      <c r="M157" s="61">
        <v>21.589999999999996</v>
      </c>
      <c r="N157" s="85">
        <f t="shared" si="15"/>
        <v>0</v>
      </c>
    </row>
    <row r="158" spans="1:14">
      <c r="A158">
        <v>12</v>
      </c>
      <c r="B158" s="59" t="s">
        <v>90</v>
      </c>
      <c r="C158" s="61">
        <v>28.838999999999999</v>
      </c>
      <c r="D158" s="61">
        <v>28.838999999999999</v>
      </c>
      <c r="E158" s="85">
        <f t="shared" si="12"/>
        <v>0</v>
      </c>
      <c r="F158" s="61">
        <v>5.899</v>
      </c>
      <c r="G158" s="61">
        <v>5.8990000000000133</v>
      </c>
      <c r="H158" s="85">
        <f t="shared" si="13"/>
        <v>1.3322676295501878E-14</v>
      </c>
      <c r="I158" s="61">
        <v>25.068999999999999</v>
      </c>
      <c r="J158" s="61">
        <v>25.068999999999999</v>
      </c>
      <c r="K158" s="85">
        <f t="shared" si="14"/>
        <v>0</v>
      </c>
      <c r="L158" s="61">
        <v>9.5280000000000005</v>
      </c>
      <c r="M158" s="61">
        <v>9.5280000000000022</v>
      </c>
      <c r="N158" s="85">
        <f t="shared" si="15"/>
        <v>0</v>
      </c>
    </row>
    <row r="159" spans="1:14">
      <c r="A159">
        <v>34</v>
      </c>
      <c r="B159" s="59" t="s">
        <v>112</v>
      </c>
      <c r="C159" s="61">
        <v>32.462000000000003</v>
      </c>
      <c r="D159" s="61">
        <v>32.463000000000001</v>
      </c>
      <c r="E159" s="85">
        <f t="shared" si="12"/>
        <v>9.9999999999766942E-4</v>
      </c>
      <c r="F159" s="61">
        <v>7.508</v>
      </c>
      <c r="G159" s="61">
        <v>7.5089999999999986</v>
      </c>
      <c r="H159" s="85">
        <f t="shared" si="13"/>
        <v>9.999999999985576E-4</v>
      </c>
      <c r="I159" s="61">
        <v>37.744</v>
      </c>
      <c r="J159" s="61">
        <v>37.744</v>
      </c>
      <c r="K159" s="85">
        <f t="shared" si="14"/>
        <v>0</v>
      </c>
      <c r="L159" s="61">
        <v>16.699000000000002</v>
      </c>
      <c r="M159" s="61">
        <v>16.695</v>
      </c>
      <c r="N159" s="85">
        <f t="shared" si="15"/>
        <v>-4.0000000000013358E-3</v>
      </c>
    </row>
    <row r="160" spans="1:14">
      <c r="A160">
        <v>1</v>
      </c>
      <c r="B160" s="59" t="s">
        <v>79</v>
      </c>
      <c r="C160" s="61">
        <v>29.199000000000002</v>
      </c>
      <c r="D160" s="61">
        <v>29.195000000000022</v>
      </c>
      <c r="E160" s="85">
        <f t="shared" si="12"/>
        <v>-3.9999999999800195E-3</v>
      </c>
      <c r="F160" s="61">
        <v>124.559</v>
      </c>
      <c r="G160" s="61">
        <v>124.56</v>
      </c>
      <c r="H160" s="85">
        <f t="shared" si="13"/>
        <v>1.0000000000047748E-3</v>
      </c>
      <c r="I160" s="61">
        <v>16.276</v>
      </c>
      <c r="J160" s="61">
        <v>16.279999999999994</v>
      </c>
      <c r="K160" s="85">
        <f t="shared" si="14"/>
        <v>3.9999999999942304E-3</v>
      </c>
      <c r="L160" s="61">
        <v>36.807000000000002</v>
      </c>
      <c r="M160" s="61">
        <v>36.809999999999988</v>
      </c>
      <c r="N160" s="85">
        <f t="shared" si="15"/>
        <v>2.9999999999859028E-3</v>
      </c>
    </row>
    <row r="161" spans="1:14">
      <c r="A161">
        <v>22</v>
      </c>
      <c r="B161" s="59" t="s">
        <v>100</v>
      </c>
      <c r="C161" s="61">
        <v>9.4049999999999994</v>
      </c>
      <c r="D161" s="61">
        <v>9.4049999999999976</v>
      </c>
      <c r="E161" s="85">
        <f t="shared" si="12"/>
        <v>0</v>
      </c>
      <c r="F161" s="61">
        <v>41.134999999999998</v>
      </c>
      <c r="G161" s="61">
        <v>41.150000000000006</v>
      </c>
      <c r="H161" s="88">
        <f t="shared" si="13"/>
        <v>1.5000000000007674E-2</v>
      </c>
      <c r="I161" s="61">
        <v>22.67</v>
      </c>
      <c r="J161" s="61">
        <v>22.67</v>
      </c>
      <c r="K161" s="85">
        <f t="shared" si="14"/>
        <v>0</v>
      </c>
      <c r="L161" s="61">
        <v>12.895</v>
      </c>
      <c r="M161" s="61">
        <v>12.894999999999998</v>
      </c>
      <c r="N161" s="85">
        <f t="shared" si="15"/>
        <v>0</v>
      </c>
    </row>
    <row r="162" spans="1:14">
      <c r="A162">
        <v>28</v>
      </c>
      <c r="B162" s="59" t="s">
        <v>106</v>
      </c>
      <c r="C162" s="61">
        <v>44.456000000000003</v>
      </c>
      <c r="D162" s="61">
        <v>44.453000000000003</v>
      </c>
      <c r="E162" s="85">
        <f t="shared" si="12"/>
        <v>-3.0000000000001137E-3</v>
      </c>
      <c r="F162" s="61" t="e">
        <f>49.214+#REF!</f>
        <v>#REF!</v>
      </c>
      <c r="G162" s="61">
        <v>49.233000000000004</v>
      </c>
      <c r="H162" s="88" t="e">
        <f t="shared" si="13"/>
        <v>#REF!</v>
      </c>
      <c r="I162" s="61">
        <v>43.261000000000003</v>
      </c>
      <c r="J162" s="61">
        <v>43.284000000000006</v>
      </c>
      <c r="K162" s="84">
        <f t="shared" si="14"/>
        <v>2.300000000000324E-2</v>
      </c>
      <c r="L162" s="61">
        <v>15.305999999999999</v>
      </c>
      <c r="M162" s="61">
        <v>15.292999999999999</v>
      </c>
      <c r="N162" s="69">
        <f t="shared" si="15"/>
        <v>-1.2999999999999901E-2</v>
      </c>
    </row>
    <row r="163" spans="1:14">
      <c r="A163">
        <v>32</v>
      </c>
      <c r="B163" s="59" t="s">
        <v>110</v>
      </c>
      <c r="C163" s="61">
        <v>30.641999999999999</v>
      </c>
      <c r="D163" s="61">
        <v>30.757000000000001</v>
      </c>
      <c r="E163" s="88">
        <f t="shared" si="12"/>
        <v>0.11500000000000199</v>
      </c>
      <c r="F163" s="61">
        <v>31.738</v>
      </c>
      <c r="G163" s="61">
        <v>31.894000000000002</v>
      </c>
      <c r="H163" s="88">
        <f t="shared" si="13"/>
        <v>0.15600000000000236</v>
      </c>
      <c r="I163" s="61">
        <v>50.29</v>
      </c>
      <c r="J163" s="61">
        <v>50.230000000000004</v>
      </c>
      <c r="K163" s="69">
        <f t="shared" si="14"/>
        <v>-5.9999999999995168E-2</v>
      </c>
      <c r="L163" s="61">
        <v>2.4129999999999998</v>
      </c>
      <c r="M163" s="61">
        <v>2.5429999999999993</v>
      </c>
      <c r="N163" s="88">
        <f t="shared" si="15"/>
        <v>0.12999999999999945</v>
      </c>
    </row>
    <row r="164" spans="1:14">
      <c r="A164">
        <v>2</v>
      </c>
      <c r="B164" s="59" t="s">
        <v>80</v>
      </c>
      <c r="C164" s="61">
        <v>2.827</v>
      </c>
      <c r="D164" s="61">
        <v>3.3260000000000005</v>
      </c>
      <c r="E164" s="88">
        <f t="shared" si="12"/>
        <v>0.49900000000000055</v>
      </c>
      <c r="F164" s="61">
        <v>66.397000000000006</v>
      </c>
      <c r="G164" s="61">
        <v>67.670000000000016</v>
      </c>
      <c r="H164" s="88">
        <f t="shared" si="13"/>
        <v>1.2730000000000103</v>
      </c>
      <c r="I164" s="61">
        <v>20.943999999999999</v>
      </c>
      <c r="J164" s="61">
        <v>22.321999999999999</v>
      </c>
      <c r="K164" s="84">
        <f t="shared" si="14"/>
        <v>1.3780000000000001</v>
      </c>
      <c r="L164" s="61">
        <v>3.2330000000000001</v>
      </c>
      <c r="M164" s="61">
        <v>3.1599999999999966</v>
      </c>
      <c r="N164" s="69">
        <f t="shared" si="15"/>
        <v>-7.3000000000003507E-2</v>
      </c>
    </row>
    <row r="165" spans="1:14">
      <c r="A165">
        <v>14</v>
      </c>
      <c r="B165" s="59" t="s">
        <v>92</v>
      </c>
      <c r="C165" s="61">
        <v>6.101</v>
      </c>
      <c r="D165" s="61">
        <v>6.5740000000000016</v>
      </c>
      <c r="E165" s="88">
        <f t="shared" si="12"/>
        <v>0.47300000000000164</v>
      </c>
      <c r="F165" s="61">
        <v>90.643000000000001</v>
      </c>
      <c r="G165" s="61">
        <v>93.103999999999999</v>
      </c>
      <c r="H165" s="88">
        <f t="shared" si="13"/>
        <v>2.4609999999999985</v>
      </c>
      <c r="I165" s="61">
        <v>0</v>
      </c>
      <c r="J165" s="61">
        <v>0</v>
      </c>
      <c r="K165" s="85">
        <f t="shared" si="14"/>
        <v>0</v>
      </c>
      <c r="L165" s="61">
        <v>62.87</v>
      </c>
      <c r="M165" s="61">
        <v>65.786000000000001</v>
      </c>
      <c r="N165" s="88">
        <f t="shared" si="15"/>
        <v>2.9160000000000039</v>
      </c>
    </row>
    <row r="166" spans="1:14">
      <c r="A166">
        <v>29</v>
      </c>
      <c r="B166" s="59" t="s">
        <v>107</v>
      </c>
      <c r="C166" s="61">
        <v>-157.89500000000001</v>
      </c>
      <c r="D166" s="61">
        <v>12.914999999999992</v>
      </c>
      <c r="E166" s="88">
        <f t="shared" si="12"/>
        <v>170.81</v>
      </c>
      <c r="F166" s="61">
        <v>-1.8280000000000001</v>
      </c>
      <c r="G166" s="61">
        <v>1.1649999999999991</v>
      </c>
      <c r="H166" s="88">
        <f t="shared" si="13"/>
        <v>2.9929999999999994</v>
      </c>
      <c r="I166" s="61">
        <v>-1.345</v>
      </c>
      <c r="J166" s="61">
        <v>4.7749999999999995</v>
      </c>
      <c r="K166" s="84">
        <f t="shared" si="14"/>
        <v>6.1199999999999992</v>
      </c>
      <c r="L166" s="61">
        <v>3.5000000000000003E-2</v>
      </c>
      <c r="M166" s="61">
        <v>1.5249999999999999</v>
      </c>
      <c r="N166" s="88">
        <f t="shared" si="15"/>
        <v>1.49</v>
      </c>
    </row>
    <row r="167" spans="1:14">
      <c r="A167">
        <v>31</v>
      </c>
      <c r="B167" s="59" t="s">
        <v>109</v>
      </c>
      <c r="C167" s="61">
        <v>6.0570000000000004</v>
      </c>
      <c r="D167" s="61">
        <v>38.218000000000004</v>
      </c>
      <c r="E167" s="88">
        <f t="shared" si="12"/>
        <v>32.161000000000001</v>
      </c>
      <c r="F167" s="61">
        <v>13.818</v>
      </c>
      <c r="G167" s="61">
        <v>19.167000000000002</v>
      </c>
      <c r="H167" s="88">
        <f t="shared" si="13"/>
        <v>5.349000000000002</v>
      </c>
      <c r="I167" s="61">
        <v>-64.144999999999996</v>
      </c>
      <c r="J167" s="61">
        <v>0</v>
      </c>
      <c r="K167" s="84">
        <f t="shared" si="14"/>
        <v>64.144999999999996</v>
      </c>
      <c r="L167" s="61">
        <v>35.51</v>
      </c>
      <c r="M167" s="61">
        <v>29.709000000000003</v>
      </c>
      <c r="N167" s="69">
        <f t="shared" si="15"/>
        <v>-5.8009999999999948</v>
      </c>
    </row>
    <row r="168" spans="1:14">
      <c r="A168">
        <v>21</v>
      </c>
      <c r="B168" s="59" t="s">
        <v>99</v>
      </c>
      <c r="C168" s="61">
        <v>6.7149999999999999</v>
      </c>
      <c r="D168" s="61">
        <v>6.7150000000000034</v>
      </c>
      <c r="E168" s="85">
        <f t="shared" si="12"/>
        <v>0</v>
      </c>
      <c r="F168" s="61">
        <v>8.11</v>
      </c>
      <c r="G168" s="61">
        <v>17.920000000000002</v>
      </c>
      <c r="H168" s="88">
        <f t="shared" si="13"/>
        <v>9.8100000000000023</v>
      </c>
      <c r="I168" s="61">
        <v>-5</v>
      </c>
      <c r="J168" s="61">
        <v>5</v>
      </c>
      <c r="K168" s="84">
        <f t="shared" si="14"/>
        <v>10</v>
      </c>
      <c r="L168" s="61">
        <v>26.664999999999999</v>
      </c>
      <c r="M168" s="61">
        <v>26.664999999999999</v>
      </c>
      <c r="N168" s="85">
        <f t="shared" si="15"/>
        <v>0</v>
      </c>
    </row>
    <row r="169" spans="1:14">
      <c r="A169">
        <v>10</v>
      </c>
      <c r="B169" s="59" t="s">
        <v>88</v>
      </c>
      <c r="C169" s="61">
        <v>24.021000000000001</v>
      </c>
      <c r="D169" s="61">
        <v>22.946999999999999</v>
      </c>
      <c r="E169" s="69">
        <f t="shared" si="12"/>
        <v>-1.0740000000000016</v>
      </c>
      <c r="F169" s="61">
        <v>40.026000000000003</v>
      </c>
      <c r="G169" s="61">
        <v>60.52600000000001</v>
      </c>
      <c r="H169" s="88">
        <f t="shared" si="13"/>
        <v>20.500000000000007</v>
      </c>
      <c r="I169" s="61">
        <v>0</v>
      </c>
      <c r="J169" s="61">
        <v>0</v>
      </c>
      <c r="K169" s="85">
        <f t="shared" si="14"/>
        <v>0</v>
      </c>
      <c r="L169" s="61">
        <v>15.266</v>
      </c>
      <c r="M169" s="61">
        <v>29.558</v>
      </c>
      <c r="N169" s="88">
        <f t="shared" si="15"/>
        <v>14.292</v>
      </c>
    </row>
    <row r="170" spans="1:14">
      <c r="A170">
        <v>7</v>
      </c>
      <c r="B170" s="59" t="s">
        <v>85</v>
      </c>
      <c r="C170" s="61">
        <v>40.265000000000001</v>
      </c>
      <c r="D170" s="61">
        <v>40.284999999999997</v>
      </c>
      <c r="E170" s="88">
        <f t="shared" si="12"/>
        <v>1.9999999999996021E-2</v>
      </c>
      <c r="F170" s="61">
        <v>71.013000000000005</v>
      </c>
      <c r="G170" s="61">
        <v>351.82599999999996</v>
      </c>
      <c r="H170" s="88">
        <f t="shared" si="13"/>
        <v>280.81299999999999</v>
      </c>
      <c r="I170" s="61">
        <v>41.832000000000001</v>
      </c>
      <c r="J170" s="61">
        <v>41.604999999999997</v>
      </c>
      <c r="K170" s="69">
        <f t="shared" si="14"/>
        <v>-0.22700000000000387</v>
      </c>
      <c r="L170" s="61">
        <v>14.587999999999999</v>
      </c>
      <c r="M170" s="61">
        <v>14.150999999999996</v>
      </c>
      <c r="N170" s="69">
        <f t="shared" si="15"/>
        <v>-0.43700000000000294</v>
      </c>
    </row>
    <row r="173" spans="1:14">
      <c r="B173" s="58">
        <v>46164</v>
      </c>
      <c r="C173" s="50"/>
      <c r="D173" s="50"/>
      <c r="E173" s="50"/>
      <c r="F173" s="50"/>
    </row>
    <row r="174" spans="1:14">
      <c r="B174" s="32" t="s">
        <v>68</v>
      </c>
      <c r="C174" s="33">
        <v>161</v>
      </c>
      <c r="D174" s="33"/>
      <c r="E174" s="33"/>
      <c r="F174" s="33">
        <v>2054</v>
      </c>
      <c r="G174" s="34"/>
      <c r="H174" s="34"/>
      <c r="I174" s="34">
        <v>5550</v>
      </c>
      <c r="J174" s="34"/>
      <c r="K174" s="34"/>
      <c r="L174" s="34">
        <v>8899</v>
      </c>
      <c r="M174" s="1"/>
      <c r="N174" s="1"/>
    </row>
    <row r="175" spans="1:14">
      <c r="A175" s="36"/>
      <c r="B175" s="32" t="s">
        <v>69</v>
      </c>
      <c r="C175" s="35">
        <v>100001</v>
      </c>
      <c r="D175" s="35"/>
      <c r="E175" s="35"/>
      <c r="F175" s="33">
        <v>100004</v>
      </c>
      <c r="G175" s="34"/>
      <c r="H175" s="34"/>
      <c r="I175" s="34">
        <v>100030</v>
      </c>
      <c r="J175" s="34"/>
      <c r="K175" s="34"/>
      <c r="L175" s="34">
        <v>100153</v>
      </c>
      <c r="M175" s="34"/>
      <c r="N175" s="34"/>
    </row>
    <row r="176" spans="1:14">
      <c r="B176" s="37" t="s">
        <v>70</v>
      </c>
      <c r="C176" s="33" t="s">
        <v>71</v>
      </c>
      <c r="D176" s="33"/>
      <c r="E176" s="33"/>
      <c r="F176" s="33" t="s">
        <v>71</v>
      </c>
      <c r="G176" s="38"/>
      <c r="H176" s="38"/>
      <c r="I176" s="38" t="s">
        <v>71</v>
      </c>
      <c r="J176" s="38"/>
      <c r="K176" s="38"/>
      <c r="L176" s="38" t="s">
        <v>71</v>
      </c>
      <c r="M176" s="1"/>
      <c r="N176" s="1"/>
    </row>
    <row r="177" spans="1:14">
      <c r="B177" s="39" t="s">
        <v>72</v>
      </c>
      <c r="C177" s="126" t="s">
        <v>73</v>
      </c>
      <c r="D177" s="126"/>
      <c r="E177" s="126"/>
      <c r="F177" s="122" t="s">
        <v>74</v>
      </c>
      <c r="G177" s="122"/>
      <c r="H177" s="122"/>
      <c r="I177" s="127" t="s">
        <v>75</v>
      </c>
      <c r="J177" s="127"/>
      <c r="K177" s="127"/>
      <c r="L177" s="120" t="s">
        <v>76</v>
      </c>
      <c r="M177" s="120"/>
      <c r="N177" s="120"/>
    </row>
    <row r="178" spans="1:14" ht="43.2">
      <c r="A178">
        <v>13</v>
      </c>
      <c r="B178" s="40" t="s">
        <v>61</v>
      </c>
      <c r="C178" s="41" t="s">
        <v>116</v>
      </c>
      <c r="D178" s="41" t="s">
        <v>77</v>
      </c>
      <c r="E178" s="41" t="s">
        <v>78</v>
      </c>
      <c r="F178" s="42" t="s">
        <v>116</v>
      </c>
      <c r="G178" s="42" t="s">
        <v>77</v>
      </c>
      <c r="H178" s="42" t="s">
        <v>78</v>
      </c>
      <c r="I178" s="43" t="s">
        <v>116</v>
      </c>
      <c r="J178" s="43" t="s">
        <v>77</v>
      </c>
      <c r="K178" s="43" t="s">
        <v>78</v>
      </c>
      <c r="L178" s="44" t="s">
        <v>116</v>
      </c>
      <c r="M178" s="44" t="s">
        <v>77</v>
      </c>
      <c r="N178" s="44" t="s">
        <v>78</v>
      </c>
    </row>
    <row r="179" spans="1:14">
      <c r="A179">
        <v>8</v>
      </c>
      <c r="B179" s="92" t="s">
        <v>86</v>
      </c>
      <c r="C179" s="89">
        <v>51.101999999999997</v>
      </c>
      <c r="D179" s="89">
        <v>51.103999999999999</v>
      </c>
      <c r="E179" s="85">
        <f t="shared" ref="E179:E212" si="16">D179-C179</f>
        <v>2.0000000000024443E-3</v>
      </c>
      <c r="F179" s="90">
        <v>34.914000000000001</v>
      </c>
      <c r="G179" s="89">
        <v>10.452</v>
      </c>
      <c r="H179" s="69">
        <f t="shared" ref="H179:H212" si="17">G179-F179</f>
        <v>-24.462000000000003</v>
      </c>
      <c r="I179" s="89">
        <v>0</v>
      </c>
      <c r="J179" s="89">
        <v>0</v>
      </c>
      <c r="K179" s="85">
        <f t="shared" ref="K179:K212" si="18">J179-I179</f>
        <v>0</v>
      </c>
      <c r="L179" s="89">
        <v>19.643000000000001</v>
      </c>
      <c r="M179" s="89">
        <v>19.641999999999999</v>
      </c>
      <c r="N179" s="85">
        <f t="shared" ref="N179:N212" si="19">M179-L179</f>
        <v>-1.0000000000012221E-3</v>
      </c>
    </row>
    <row r="180" spans="1:14">
      <c r="A180">
        <v>5</v>
      </c>
      <c r="B180" s="92" t="s">
        <v>83</v>
      </c>
      <c r="C180" s="89">
        <v>42.466000000000001</v>
      </c>
      <c r="D180" s="89">
        <v>16.448000000000022</v>
      </c>
      <c r="E180" s="69">
        <f t="shared" si="16"/>
        <v>-26.017999999999979</v>
      </c>
      <c r="F180" s="90">
        <v>79.459999999999994</v>
      </c>
      <c r="G180" s="89">
        <v>69.382000000000019</v>
      </c>
      <c r="H180" s="69">
        <f t="shared" si="17"/>
        <v>-10.077999999999975</v>
      </c>
      <c r="I180" s="89">
        <v>55.203000000000003</v>
      </c>
      <c r="J180" s="89">
        <v>49.468999999999994</v>
      </c>
      <c r="K180" s="69">
        <f t="shared" si="18"/>
        <v>-5.7340000000000089</v>
      </c>
      <c r="L180" s="89">
        <v>27.145</v>
      </c>
      <c r="M180" s="89">
        <v>25.344999999999999</v>
      </c>
      <c r="N180" s="69">
        <f t="shared" si="19"/>
        <v>-1.8000000000000007</v>
      </c>
    </row>
    <row r="181" spans="1:14">
      <c r="A181">
        <v>7</v>
      </c>
      <c r="B181" s="92" t="s">
        <v>85</v>
      </c>
      <c r="C181" s="89">
        <v>26.702999999999999</v>
      </c>
      <c r="D181" s="89">
        <v>26.448999999999998</v>
      </c>
      <c r="E181" s="69">
        <f t="shared" si="16"/>
        <v>-0.25400000000000134</v>
      </c>
      <c r="F181" s="90">
        <v>7.657</v>
      </c>
      <c r="G181" s="89">
        <v>3.2139999999999986</v>
      </c>
      <c r="H181" s="69">
        <f t="shared" si="17"/>
        <v>-4.4430000000000014</v>
      </c>
      <c r="I181" s="89">
        <v>18.016999999999999</v>
      </c>
      <c r="J181" s="89">
        <v>17.792000000000002</v>
      </c>
      <c r="K181" s="69">
        <f t="shared" si="18"/>
        <v>-0.22499999999999787</v>
      </c>
      <c r="L181" s="89">
        <v>28.951000000000001</v>
      </c>
      <c r="M181" s="89">
        <v>28.158000000000001</v>
      </c>
      <c r="N181" s="69">
        <f t="shared" si="19"/>
        <v>-0.79299999999999926</v>
      </c>
    </row>
    <row r="182" spans="1:14">
      <c r="A182">
        <v>20</v>
      </c>
      <c r="B182" s="92" t="s">
        <v>98</v>
      </c>
      <c r="C182" s="89">
        <v>26.361000000000001</v>
      </c>
      <c r="D182" s="89">
        <v>26.361000000000001</v>
      </c>
      <c r="E182" s="85">
        <f t="shared" si="16"/>
        <v>0</v>
      </c>
      <c r="F182" s="90">
        <v>19.073</v>
      </c>
      <c r="G182" s="89">
        <v>18.893000000000001</v>
      </c>
      <c r="H182" s="69">
        <f t="shared" si="17"/>
        <v>-0.17999999999999972</v>
      </c>
      <c r="I182" s="89">
        <v>20.38</v>
      </c>
      <c r="J182" s="89">
        <v>20.38</v>
      </c>
      <c r="K182" s="85">
        <f t="shared" si="18"/>
        <v>0</v>
      </c>
      <c r="L182" s="89">
        <v>26.268999999999998</v>
      </c>
      <c r="M182" s="89">
        <v>26.268999999999998</v>
      </c>
      <c r="N182" s="85">
        <f t="shared" si="19"/>
        <v>0</v>
      </c>
    </row>
    <row r="183" spans="1:14">
      <c r="A183">
        <v>19</v>
      </c>
      <c r="B183" s="92" t="s">
        <v>97</v>
      </c>
      <c r="C183" s="89">
        <v>29.774000000000001</v>
      </c>
      <c r="D183" s="89">
        <v>30.510999999999999</v>
      </c>
      <c r="E183" s="88">
        <f t="shared" si="16"/>
        <v>0.73699999999999832</v>
      </c>
      <c r="F183" s="90">
        <v>156.74199999999999</v>
      </c>
      <c r="G183" s="89">
        <v>156.60499999999999</v>
      </c>
      <c r="H183" s="69">
        <f t="shared" si="17"/>
        <v>-0.13700000000000045</v>
      </c>
      <c r="I183" s="89">
        <v>24.428999999999998</v>
      </c>
      <c r="J183" s="89">
        <v>25.210999999999999</v>
      </c>
      <c r="K183" s="88">
        <f t="shared" si="18"/>
        <v>0.78200000000000003</v>
      </c>
      <c r="L183" s="89">
        <v>12.679</v>
      </c>
      <c r="M183" s="89">
        <v>12.177</v>
      </c>
      <c r="N183" s="69">
        <f t="shared" si="19"/>
        <v>-0.50200000000000067</v>
      </c>
    </row>
    <row r="184" spans="1:14">
      <c r="A184">
        <v>23</v>
      </c>
      <c r="B184" s="92" t="s">
        <v>101</v>
      </c>
      <c r="C184" s="89">
        <v>55.07</v>
      </c>
      <c r="D184" s="89">
        <v>54.975000000000001</v>
      </c>
      <c r="E184" s="69">
        <f t="shared" si="16"/>
        <v>-9.4999999999998863E-2</v>
      </c>
      <c r="F184" s="90">
        <v>132.58000000000001</v>
      </c>
      <c r="G184" s="89">
        <v>132.51</v>
      </c>
      <c r="H184" s="69">
        <f t="shared" si="17"/>
        <v>-7.00000000000216E-2</v>
      </c>
      <c r="I184" s="89">
        <v>54.65</v>
      </c>
      <c r="J184" s="89">
        <v>54.545000000000002</v>
      </c>
      <c r="K184" s="69">
        <f t="shared" si="18"/>
        <v>-0.10499999999999687</v>
      </c>
      <c r="L184" s="89">
        <v>1.31</v>
      </c>
      <c r="M184" s="89">
        <v>2.3149999999999999</v>
      </c>
      <c r="N184" s="88">
        <f t="shared" si="19"/>
        <v>1.0049999999999999</v>
      </c>
    </row>
    <row r="185" spans="1:14">
      <c r="A185">
        <v>31</v>
      </c>
      <c r="B185" s="92" t="s">
        <v>109</v>
      </c>
      <c r="C185" s="89">
        <v>12.18</v>
      </c>
      <c r="D185" s="89">
        <v>12.18</v>
      </c>
      <c r="E185" s="85">
        <f t="shared" si="16"/>
        <v>0</v>
      </c>
      <c r="F185" s="90">
        <v>24.76</v>
      </c>
      <c r="G185" s="89">
        <v>24.727</v>
      </c>
      <c r="H185" s="69">
        <f t="shared" si="17"/>
        <v>-3.3000000000001251E-2</v>
      </c>
      <c r="I185" s="89">
        <v>16.38</v>
      </c>
      <c r="J185" s="89">
        <v>20.190000000000001</v>
      </c>
      <c r="K185" s="88">
        <f t="shared" si="18"/>
        <v>3.8100000000000023</v>
      </c>
      <c r="L185" s="89">
        <v>13.04</v>
      </c>
      <c r="M185" s="89">
        <v>13.04</v>
      </c>
      <c r="N185" s="85">
        <f t="shared" si="19"/>
        <v>0</v>
      </c>
    </row>
    <row r="186" spans="1:14">
      <c r="A186">
        <v>6</v>
      </c>
      <c r="B186" s="92" t="s">
        <v>84</v>
      </c>
      <c r="C186" s="89">
        <v>47.713999999999999</v>
      </c>
      <c r="D186" s="89">
        <v>47.72</v>
      </c>
      <c r="E186" s="88">
        <f t="shared" si="16"/>
        <v>6.0000000000002274E-3</v>
      </c>
      <c r="F186" s="90">
        <v>86.412999999999997</v>
      </c>
      <c r="G186" s="89">
        <v>86.396000000000001</v>
      </c>
      <c r="H186" s="69">
        <f t="shared" si="17"/>
        <v>-1.6999999999995907E-2</v>
      </c>
      <c r="I186" s="89">
        <v>49.671999999999997</v>
      </c>
      <c r="J186" s="89">
        <v>49.77</v>
      </c>
      <c r="K186" s="88">
        <f t="shared" si="18"/>
        <v>9.8000000000006082E-2</v>
      </c>
      <c r="L186" s="89">
        <v>16.103999999999999</v>
      </c>
      <c r="M186" s="89">
        <v>16.102</v>
      </c>
      <c r="N186" s="85">
        <f t="shared" si="19"/>
        <v>-1.9999999999988916E-3</v>
      </c>
    </row>
    <row r="187" spans="1:14">
      <c r="A187">
        <v>25</v>
      </c>
      <c r="B187" s="92" t="s">
        <v>103</v>
      </c>
      <c r="C187" s="89">
        <v>-8.8770000000000007</v>
      </c>
      <c r="D187" s="89">
        <v>20.853000000000002</v>
      </c>
      <c r="E187" s="88">
        <f t="shared" si="16"/>
        <v>29.730000000000004</v>
      </c>
      <c r="F187" s="90">
        <v>218.315</v>
      </c>
      <c r="G187" s="89">
        <v>218.41499999999999</v>
      </c>
      <c r="H187" s="88">
        <f t="shared" si="17"/>
        <v>9.9999999999994316E-2</v>
      </c>
      <c r="I187" s="89">
        <v>-2.66</v>
      </c>
      <c r="J187" s="89">
        <v>25.725999999999999</v>
      </c>
      <c r="K187" s="88">
        <f t="shared" si="18"/>
        <v>28.385999999999999</v>
      </c>
      <c r="L187" s="89">
        <v>25.193000000000001</v>
      </c>
      <c r="M187" s="89">
        <v>25.285</v>
      </c>
      <c r="N187" s="88">
        <f t="shared" si="19"/>
        <v>9.1999999999998749E-2</v>
      </c>
    </row>
    <row r="188" spans="1:14">
      <c r="A188">
        <v>28</v>
      </c>
      <c r="B188" s="92" t="s">
        <v>106</v>
      </c>
      <c r="C188" s="89">
        <v>35.814</v>
      </c>
      <c r="D188" s="89">
        <v>35.987000000000002</v>
      </c>
      <c r="E188" s="88">
        <f t="shared" si="16"/>
        <v>0.17300000000000182</v>
      </c>
      <c r="F188" s="90">
        <v>12.532</v>
      </c>
      <c r="G188" s="89">
        <v>12.65</v>
      </c>
      <c r="H188" s="88">
        <f t="shared" si="17"/>
        <v>0.11800000000000033</v>
      </c>
      <c r="I188" s="89">
        <v>31.835000000000001</v>
      </c>
      <c r="J188" s="89">
        <v>31.858000000000001</v>
      </c>
      <c r="K188" s="88">
        <f t="shared" si="18"/>
        <v>2.2999999999999687E-2</v>
      </c>
      <c r="L188" s="89">
        <v>16.669</v>
      </c>
      <c r="M188" s="89">
        <v>16.655999999999999</v>
      </c>
      <c r="N188" s="69">
        <f t="shared" si="19"/>
        <v>-1.3000000000001677E-2</v>
      </c>
    </row>
    <row r="189" spans="1:14">
      <c r="A189">
        <v>2</v>
      </c>
      <c r="B189" s="92" t="s">
        <v>80</v>
      </c>
      <c r="C189" s="89">
        <v>5.8929999999999998</v>
      </c>
      <c r="D189" s="89">
        <v>7.8140000000000001</v>
      </c>
      <c r="E189" s="88">
        <f t="shared" si="16"/>
        <v>1.9210000000000003</v>
      </c>
      <c r="F189" s="90">
        <v>30.594999999999999</v>
      </c>
      <c r="G189" s="89">
        <v>30.765000000000015</v>
      </c>
      <c r="H189" s="88">
        <f t="shared" si="17"/>
        <v>0.17000000000001592</v>
      </c>
      <c r="I189" s="89">
        <v>22.802</v>
      </c>
      <c r="J189" s="89">
        <v>22.578000000000003</v>
      </c>
      <c r="K189" s="69">
        <f t="shared" si="18"/>
        <v>-0.22399999999999665</v>
      </c>
      <c r="L189" s="89">
        <v>24.228000000000002</v>
      </c>
      <c r="M189" s="89">
        <v>61.302999999999997</v>
      </c>
      <c r="N189" s="88">
        <f t="shared" si="19"/>
        <v>37.074999999999996</v>
      </c>
    </row>
    <row r="190" spans="1:14">
      <c r="A190">
        <v>27</v>
      </c>
      <c r="B190" s="92" t="s">
        <v>105</v>
      </c>
      <c r="C190" s="89">
        <v>53.252000000000002</v>
      </c>
      <c r="D190" s="89">
        <v>53.082999999999998</v>
      </c>
      <c r="E190" s="69">
        <f t="shared" si="16"/>
        <v>-0.16900000000000404</v>
      </c>
      <c r="F190" s="90">
        <v>48.612000000000002</v>
      </c>
      <c r="G190" s="89">
        <v>48.789000000000001</v>
      </c>
      <c r="H190" s="88">
        <f t="shared" si="17"/>
        <v>0.1769999999999996</v>
      </c>
      <c r="I190" s="89">
        <v>73.022000000000006</v>
      </c>
      <c r="J190" s="89">
        <v>72.052000000000007</v>
      </c>
      <c r="K190" s="69">
        <f t="shared" si="18"/>
        <v>-0.96999999999999886</v>
      </c>
      <c r="L190" s="89">
        <v>5.593</v>
      </c>
      <c r="M190" s="89">
        <v>5.4580000000000002</v>
      </c>
      <c r="N190" s="69">
        <f t="shared" si="19"/>
        <v>-0.13499999999999979</v>
      </c>
    </row>
    <row r="191" spans="1:14">
      <c r="A191">
        <v>24</v>
      </c>
      <c r="B191" s="93" t="s">
        <v>102</v>
      </c>
      <c r="C191" s="89">
        <v>21.55</v>
      </c>
      <c r="D191" s="89">
        <v>22.050999999999998</v>
      </c>
      <c r="E191" s="88">
        <f t="shared" si="16"/>
        <v>0.50099999999999767</v>
      </c>
      <c r="F191" s="90">
        <v>35.274999999999999</v>
      </c>
      <c r="G191" s="89">
        <v>35.594999999999999</v>
      </c>
      <c r="H191" s="88">
        <f t="shared" si="17"/>
        <v>0.32000000000000028</v>
      </c>
      <c r="I191" s="89">
        <v>19.393000000000001</v>
      </c>
      <c r="J191" s="89">
        <v>19.734999999999999</v>
      </c>
      <c r="K191" s="88">
        <f t="shared" si="18"/>
        <v>0.34199999999999875</v>
      </c>
      <c r="L191" s="89">
        <v>3.8490000000000002</v>
      </c>
      <c r="M191" s="89">
        <v>3.9590000000000001</v>
      </c>
      <c r="N191" s="88">
        <f t="shared" si="19"/>
        <v>0.10999999999999988</v>
      </c>
    </row>
    <row r="192" spans="1:14">
      <c r="A192">
        <v>30</v>
      </c>
      <c r="B192" s="92" t="s">
        <v>108</v>
      </c>
      <c r="C192" s="89">
        <v>0.27800000000000002</v>
      </c>
      <c r="D192" s="89">
        <v>0.38700000000000001</v>
      </c>
      <c r="E192" s="88">
        <f t="shared" si="16"/>
        <v>0.10899999999999999</v>
      </c>
      <c r="F192" s="90">
        <v>72.299000000000007</v>
      </c>
      <c r="G192" s="89">
        <v>73.052000000000007</v>
      </c>
      <c r="H192" s="88">
        <f t="shared" si="17"/>
        <v>0.75300000000000011</v>
      </c>
      <c r="I192" s="89">
        <v>0</v>
      </c>
      <c r="J192" s="89">
        <v>0</v>
      </c>
      <c r="K192" s="85">
        <f t="shared" si="18"/>
        <v>0</v>
      </c>
      <c r="L192" s="89">
        <v>12.377000000000001</v>
      </c>
      <c r="M192" s="89">
        <v>12.377000000000001</v>
      </c>
      <c r="N192" s="85">
        <f t="shared" si="19"/>
        <v>0</v>
      </c>
    </row>
    <row r="193" spans="1:14">
      <c r="A193">
        <v>14</v>
      </c>
      <c r="B193" s="92" t="s">
        <v>92</v>
      </c>
      <c r="C193" s="89">
        <v>10.175000000000001</v>
      </c>
      <c r="D193" s="89">
        <v>15.39</v>
      </c>
      <c r="E193" s="88">
        <f t="shared" si="16"/>
        <v>5.2149999999999999</v>
      </c>
      <c r="F193" s="90">
        <v>93.320999999999998</v>
      </c>
      <c r="G193" s="89">
        <v>96.197999999999993</v>
      </c>
      <c r="H193" s="88">
        <f t="shared" si="17"/>
        <v>2.8769999999999953</v>
      </c>
      <c r="I193" s="89">
        <v>0</v>
      </c>
      <c r="J193" s="89">
        <v>0</v>
      </c>
      <c r="K193" s="85">
        <f t="shared" si="18"/>
        <v>0</v>
      </c>
      <c r="L193" s="89">
        <v>55.887999999999998</v>
      </c>
      <c r="M193" s="89">
        <v>57.548000000000002</v>
      </c>
      <c r="N193" s="88">
        <f t="shared" si="19"/>
        <v>1.6600000000000037</v>
      </c>
    </row>
    <row r="194" spans="1:14">
      <c r="A194">
        <v>29</v>
      </c>
      <c r="B194" s="92" t="s">
        <v>107</v>
      </c>
      <c r="C194" s="89">
        <v>-3.1850000000000001</v>
      </c>
      <c r="D194" s="89">
        <v>21.565000000000001</v>
      </c>
      <c r="E194" s="88">
        <f t="shared" si="16"/>
        <v>24.75</v>
      </c>
      <c r="F194" s="90">
        <v>-2.9809999999999999</v>
      </c>
      <c r="G194" s="89">
        <v>5.17</v>
      </c>
      <c r="H194" s="88">
        <f t="shared" si="17"/>
        <v>8.1509999999999998</v>
      </c>
      <c r="I194" s="89">
        <v>-0.185</v>
      </c>
      <c r="J194" s="89">
        <v>12.065</v>
      </c>
      <c r="K194" s="88">
        <f t="shared" si="18"/>
        <v>12.25</v>
      </c>
      <c r="L194" s="89">
        <v>0.84499999999999997</v>
      </c>
      <c r="M194" s="89">
        <v>0.84499999999999997</v>
      </c>
      <c r="N194" s="85">
        <f t="shared" si="19"/>
        <v>0</v>
      </c>
    </row>
    <row r="195" spans="1:14">
      <c r="A195">
        <v>26</v>
      </c>
      <c r="B195" s="92" t="s">
        <v>104</v>
      </c>
      <c r="C195" s="89">
        <v>5.3760000000000003</v>
      </c>
      <c r="D195" s="89">
        <v>5.3760000000000003</v>
      </c>
      <c r="E195" s="85">
        <f t="shared" si="16"/>
        <v>0</v>
      </c>
      <c r="F195" s="90">
        <v>163.07900000000001</v>
      </c>
      <c r="G195" s="89">
        <v>163.07900000000001</v>
      </c>
      <c r="H195" s="85">
        <f t="shared" si="17"/>
        <v>0</v>
      </c>
      <c r="I195" s="89">
        <v>1.9750000000000001</v>
      </c>
      <c r="J195" s="89">
        <v>1.718</v>
      </c>
      <c r="K195" s="69">
        <f t="shared" si="18"/>
        <v>-0.25700000000000012</v>
      </c>
      <c r="L195" s="89">
        <v>59.8</v>
      </c>
      <c r="M195" s="89">
        <v>59.872999999999998</v>
      </c>
      <c r="N195" s="88">
        <f t="shared" si="19"/>
        <v>7.3000000000000398E-2</v>
      </c>
    </row>
    <row r="196" spans="1:14">
      <c r="A196">
        <v>9</v>
      </c>
      <c r="B196" s="92" t="s">
        <v>87</v>
      </c>
      <c r="C196" s="89">
        <v>3.3140000000000001</v>
      </c>
      <c r="D196" s="89">
        <v>3.31</v>
      </c>
      <c r="E196" s="85">
        <f t="shared" si="16"/>
        <v>-4.0000000000000036E-3</v>
      </c>
      <c r="F196" s="90">
        <v>11.76</v>
      </c>
      <c r="G196" s="89">
        <v>11.762</v>
      </c>
      <c r="H196" s="85">
        <f t="shared" si="17"/>
        <v>2.0000000000006679E-3</v>
      </c>
      <c r="I196" s="89">
        <v>0</v>
      </c>
      <c r="J196" s="89">
        <v>0</v>
      </c>
      <c r="K196" s="85">
        <f t="shared" si="18"/>
        <v>0</v>
      </c>
      <c r="L196" s="89">
        <v>8.3059999999999992</v>
      </c>
      <c r="M196" s="89">
        <v>8.3140000000000001</v>
      </c>
      <c r="N196" s="88">
        <f t="shared" si="19"/>
        <v>8.0000000000008953E-3</v>
      </c>
    </row>
    <row r="197" spans="1:14">
      <c r="A197">
        <v>10</v>
      </c>
      <c r="B197" s="92" t="s">
        <v>88</v>
      </c>
      <c r="C197" s="89">
        <v>10.811999999999999</v>
      </c>
      <c r="D197" s="89">
        <v>5.33</v>
      </c>
      <c r="E197" s="69">
        <f t="shared" si="16"/>
        <v>-5.4819999999999993</v>
      </c>
      <c r="F197" s="90">
        <v>50.286000000000001</v>
      </c>
      <c r="G197" s="89">
        <v>50.290999999999997</v>
      </c>
      <c r="H197" s="85">
        <f t="shared" si="17"/>
        <v>4.9999999999954525E-3</v>
      </c>
      <c r="I197" s="89">
        <v>0</v>
      </c>
      <c r="J197" s="89">
        <v>0</v>
      </c>
      <c r="K197" s="85">
        <f t="shared" si="18"/>
        <v>0</v>
      </c>
      <c r="L197" s="89">
        <v>4.9320000000000004</v>
      </c>
      <c r="M197" s="89">
        <v>5.33</v>
      </c>
      <c r="N197" s="88">
        <f t="shared" si="19"/>
        <v>0.39799999999999969</v>
      </c>
    </row>
    <row r="198" spans="1:14">
      <c r="A198">
        <v>22</v>
      </c>
      <c r="B198" s="92" t="s">
        <v>100</v>
      </c>
      <c r="C198" s="89">
        <v>22.684999999999999</v>
      </c>
      <c r="D198" s="89">
        <v>22.684999999999999</v>
      </c>
      <c r="E198" s="85">
        <f t="shared" si="16"/>
        <v>0</v>
      </c>
      <c r="F198" s="90">
        <v>68.314999999999998</v>
      </c>
      <c r="G198" s="89">
        <v>68.405000000000001</v>
      </c>
      <c r="H198" s="88">
        <f t="shared" si="17"/>
        <v>9.0000000000003411E-2</v>
      </c>
      <c r="I198" s="89">
        <v>16.47</v>
      </c>
      <c r="J198" s="89">
        <v>16.47</v>
      </c>
      <c r="K198" s="85">
        <f t="shared" si="18"/>
        <v>0</v>
      </c>
      <c r="L198" s="89">
        <v>5.82</v>
      </c>
      <c r="M198" s="89">
        <v>5.82</v>
      </c>
      <c r="N198" s="85">
        <f t="shared" si="19"/>
        <v>0</v>
      </c>
    </row>
    <row r="199" spans="1:14">
      <c r="A199">
        <v>1</v>
      </c>
      <c r="B199" s="59" t="s">
        <v>79</v>
      </c>
      <c r="C199" s="89">
        <v>12.177</v>
      </c>
      <c r="D199" s="89">
        <v>12.180000000000007</v>
      </c>
      <c r="E199" s="85">
        <f t="shared" si="16"/>
        <v>3.0000000000072191E-3</v>
      </c>
      <c r="F199" s="90">
        <v>78.893000000000001</v>
      </c>
      <c r="G199" s="89">
        <v>78.889999999999986</v>
      </c>
      <c r="H199" s="85">
        <f t="shared" si="17"/>
        <v>-3.0000000000143245E-3</v>
      </c>
      <c r="I199" s="89">
        <v>22.462</v>
      </c>
      <c r="J199" s="89">
        <v>22.46</v>
      </c>
      <c r="K199" s="85">
        <f t="shared" si="18"/>
        <v>-1.9999999999988916E-3</v>
      </c>
      <c r="L199" s="89">
        <v>27.783000000000001</v>
      </c>
      <c r="M199" s="89">
        <v>27.779999999999994</v>
      </c>
      <c r="N199" s="85">
        <f t="shared" si="19"/>
        <v>-3.0000000000072191E-3</v>
      </c>
    </row>
    <row r="200" spans="1:14">
      <c r="A200">
        <v>3</v>
      </c>
      <c r="B200" s="59" t="s">
        <v>81</v>
      </c>
      <c r="C200" s="89">
        <v>0</v>
      </c>
      <c r="D200" s="89">
        <v>0</v>
      </c>
      <c r="E200" s="85">
        <f t="shared" si="16"/>
        <v>0</v>
      </c>
      <c r="F200" s="90">
        <v>81.944999999999993</v>
      </c>
      <c r="G200" s="89">
        <v>81.944999999999993</v>
      </c>
      <c r="H200" s="86">
        <f t="shared" si="17"/>
        <v>0</v>
      </c>
      <c r="I200" s="89">
        <v>22.814</v>
      </c>
      <c r="J200" s="89">
        <v>22.814</v>
      </c>
      <c r="K200" s="86">
        <f t="shared" si="18"/>
        <v>0</v>
      </c>
      <c r="L200" s="89">
        <v>0</v>
      </c>
      <c r="M200" s="89">
        <v>0</v>
      </c>
      <c r="N200" s="85">
        <f t="shared" si="19"/>
        <v>0</v>
      </c>
    </row>
    <row r="201" spans="1:14">
      <c r="A201">
        <v>4</v>
      </c>
      <c r="B201" s="59" t="s">
        <v>82</v>
      </c>
      <c r="C201" s="89">
        <v>51.85</v>
      </c>
      <c r="D201" s="89">
        <v>51.849999999999994</v>
      </c>
      <c r="E201" s="85">
        <f t="shared" si="16"/>
        <v>0</v>
      </c>
      <c r="F201" s="90">
        <v>103.46</v>
      </c>
      <c r="G201" s="89">
        <v>103.45999999999997</v>
      </c>
      <c r="H201" s="85">
        <f t="shared" si="17"/>
        <v>0</v>
      </c>
      <c r="I201" s="89">
        <v>0</v>
      </c>
      <c r="J201" s="89">
        <v>0</v>
      </c>
      <c r="K201" s="85">
        <f t="shared" si="18"/>
        <v>0</v>
      </c>
      <c r="L201" s="89">
        <v>108.24</v>
      </c>
      <c r="M201" s="89">
        <v>108.24</v>
      </c>
      <c r="N201" s="85">
        <f t="shared" si="19"/>
        <v>0</v>
      </c>
    </row>
    <row r="202" spans="1:14">
      <c r="A202">
        <v>11</v>
      </c>
      <c r="B202" s="59" t="s">
        <v>89</v>
      </c>
      <c r="C202" s="89">
        <v>59.375</v>
      </c>
      <c r="D202" s="89">
        <v>59.375</v>
      </c>
      <c r="E202" s="85">
        <f t="shared" si="16"/>
        <v>0</v>
      </c>
      <c r="F202" s="90">
        <v>141.11199999999999</v>
      </c>
      <c r="G202" s="89">
        <v>141.11199999999999</v>
      </c>
      <c r="H202" s="86">
        <f t="shared" si="17"/>
        <v>0</v>
      </c>
      <c r="I202" s="89">
        <v>0</v>
      </c>
      <c r="J202" s="89">
        <v>0</v>
      </c>
      <c r="K202" s="85">
        <f t="shared" si="18"/>
        <v>0</v>
      </c>
      <c r="L202" s="89">
        <v>41.44</v>
      </c>
      <c r="M202" s="89">
        <v>41.44</v>
      </c>
      <c r="N202" s="85">
        <f t="shared" si="19"/>
        <v>0</v>
      </c>
    </row>
    <row r="203" spans="1:14">
      <c r="A203">
        <v>12</v>
      </c>
      <c r="B203" s="59" t="s">
        <v>90</v>
      </c>
      <c r="C203" s="89">
        <v>29.041</v>
      </c>
      <c r="D203" s="89">
        <v>29.041</v>
      </c>
      <c r="E203" s="85">
        <f t="shared" si="16"/>
        <v>0</v>
      </c>
      <c r="F203" s="90">
        <v>43.302999999999997</v>
      </c>
      <c r="G203" s="89">
        <v>43.302999999999997</v>
      </c>
      <c r="H203" s="85">
        <f t="shared" si="17"/>
        <v>0</v>
      </c>
      <c r="I203" s="89">
        <v>8.3460000000000001</v>
      </c>
      <c r="J203" s="89">
        <v>8.3460000000000001</v>
      </c>
      <c r="K203" s="85">
        <f t="shared" si="18"/>
        <v>0</v>
      </c>
      <c r="L203" s="89">
        <v>16.213000000000001</v>
      </c>
      <c r="M203" s="89">
        <v>16.213000000000001</v>
      </c>
      <c r="N203" s="85">
        <f t="shared" si="19"/>
        <v>0</v>
      </c>
    </row>
    <row r="204" spans="1:14">
      <c r="A204">
        <v>13</v>
      </c>
      <c r="B204" s="59" t="s">
        <v>91</v>
      </c>
      <c r="C204" s="89">
        <v>53.57</v>
      </c>
      <c r="D204" s="89">
        <v>53.57</v>
      </c>
      <c r="E204" s="85">
        <f t="shared" si="16"/>
        <v>0</v>
      </c>
      <c r="F204" s="90">
        <v>6.7640000000000002</v>
      </c>
      <c r="G204" s="89">
        <v>6.7640000000000002</v>
      </c>
      <c r="H204" s="85">
        <f t="shared" si="17"/>
        <v>0</v>
      </c>
      <c r="I204" s="89">
        <v>22.594000000000001</v>
      </c>
      <c r="J204" s="89">
        <v>22.594000000000001</v>
      </c>
      <c r="K204" s="85">
        <f t="shared" si="18"/>
        <v>0</v>
      </c>
      <c r="L204" s="89">
        <v>18.344000000000001</v>
      </c>
      <c r="M204" s="89">
        <v>18.344000000000001</v>
      </c>
      <c r="N204" s="85">
        <f t="shared" si="19"/>
        <v>0</v>
      </c>
    </row>
    <row r="205" spans="1:14">
      <c r="A205">
        <v>15</v>
      </c>
      <c r="B205" s="59" t="s">
        <v>93</v>
      </c>
      <c r="C205" s="89">
        <v>16.826000000000001</v>
      </c>
      <c r="D205" s="89">
        <v>16.826000000000001</v>
      </c>
      <c r="E205" s="85">
        <f t="shared" si="16"/>
        <v>0</v>
      </c>
      <c r="F205" s="90">
        <v>17.417999999999999</v>
      </c>
      <c r="G205" s="89">
        <v>17.417999999999999</v>
      </c>
      <c r="H205" s="85">
        <f t="shared" si="17"/>
        <v>0</v>
      </c>
      <c r="I205" s="89">
        <v>0</v>
      </c>
      <c r="J205" s="89">
        <v>0</v>
      </c>
      <c r="K205" s="85">
        <f t="shared" si="18"/>
        <v>0</v>
      </c>
      <c r="L205" s="89">
        <v>19.486000000000001</v>
      </c>
      <c r="M205" s="89">
        <v>19.486000000000001</v>
      </c>
      <c r="N205" s="85">
        <f t="shared" si="19"/>
        <v>0</v>
      </c>
    </row>
    <row r="206" spans="1:14">
      <c r="A206">
        <v>16</v>
      </c>
      <c r="B206" s="59" t="s">
        <v>94</v>
      </c>
      <c r="C206" s="89">
        <v>32.645000000000003</v>
      </c>
      <c r="D206" s="89">
        <v>32.645000000000003</v>
      </c>
      <c r="E206" s="85">
        <f t="shared" si="16"/>
        <v>0</v>
      </c>
      <c r="F206" s="90">
        <v>45.567</v>
      </c>
      <c r="G206" s="89">
        <v>45.567</v>
      </c>
      <c r="H206" s="85">
        <f t="shared" si="17"/>
        <v>0</v>
      </c>
      <c r="I206" s="89">
        <v>14.465999999999999</v>
      </c>
      <c r="J206" s="89">
        <v>14.465999999999999</v>
      </c>
      <c r="K206" s="85">
        <f t="shared" si="18"/>
        <v>0</v>
      </c>
      <c r="L206" s="89">
        <v>103.849</v>
      </c>
      <c r="M206" s="89">
        <v>103.849</v>
      </c>
      <c r="N206" s="85">
        <f t="shared" si="19"/>
        <v>0</v>
      </c>
    </row>
    <row r="207" spans="1:14">
      <c r="A207">
        <v>17</v>
      </c>
      <c r="B207" s="59" t="s">
        <v>95</v>
      </c>
      <c r="C207" s="89">
        <v>16.673999999999999</v>
      </c>
      <c r="D207" s="89">
        <v>16.673999999999999</v>
      </c>
      <c r="E207" s="85">
        <f t="shared" si="16"/>
        <v>0</v>
      </c>
      <c r="F207" s="90">
        <v>124.449</v>
      </c>
      <c r="G207" s="89">
        <v>124.449</v>
      </c>
      <c r="H207" s="85">
        <f t="shared" si="17"/>
        <v>0</v>
      </c>
      <c r="I207" s="89">
        <v>71.509</v>
      </c>
      <c r="J207" s="89">
        <v>71.509</v>
      </c>
      <c r="K207" s="85">
        <f t="shared" si="18"/>
        <v>0</v>
      </c>
      <c r="L207" s="89">
        <v>43.814999999999998</v>
      </c>
      <c r="M207" s="89">
        <v>43.814999999999998</v>
      </c>
      <c r="N207" s="85">
        <f t="shared" si="19"/>
        <v>0</v>
      </c>
    </row>
    <row r="208" spans="1:14">
      <c r="A208">
        <v>18</v>
      </c>
      <c r="B208" s="59" t="s">
        <v>96</v>
      </c>
      <c r="C208" s="89">
        <v>11.173999999999999</v>
      </c>
      <c r="D208" s="89">
        <v>11.173999999999999</v>
      </c>
      <c r="E208" s="85">
        <f t="shared" si="16"/>
        <v>0</v>
      </c>
      <c r="F208" s="90">
        <v>15.025</v>
      </c>
      <c r="G208" s="89">
        <v>15.025</v>
      </c>
      <c r="H208" s="85">
        <f t="shared" si="17"/>
        <v>0</v>
      </c>
      <c r="I208" s="89">
        <v>18.556999999999999</v>
      </c>
      <c r="J208" s="89">
        <v>18.556999999999999</v>
      </c>
      <c r="K208" s="85">
        <f t="shared" si="18"/>
        <v>0</v>
      </c>
      <c r="L208" s="89">
        <v>0.35</v>
      </c>
      <c r="M208" s="89">
        <v>0.35</v>
      </c>
      <c r="N208" s="85">
        <f t="shared" si="19"/>
        <v>0</v>
      </c>
    </row>
    <row r="209" spans="1:19">
      <c r="A209">
        <v>21</v>
      </c>
      <c r="B209" s="59" t="s">
        <v>99</v>
      </c>
      <c r="C209" s="89">
        <v>22.155000000000001</v>
      </c>
      <c r="D209" s="89">
        <v>22.155000000000005</v>
      </c>
      <c r="E209" s="85">
        <f t="shared" si="16"/>
        <v>0</v>
      </c>
      <c r="F209" s="90">
        <v>28.37</v>
      </c>
      <c r="G209" s="89">
        <v>28.37</v>
      </c>
      <c r="H209" s="85">
        <f t="shared" si="17"/>
        <v>0</v>
      </c>
      <c r="I209" s="89">
        <v>18.86</v>
      </c>
      <c r="J209" s="89">
        <v>18.86</v>
      </c>
      <c r="K209" s="85">
        <f t="shared" si="18"/>
        <v>0</v>
      </c>
      <c r="L209" s="89">
        <v>15.994999999999999</v>
      </c>
      <c r="M209" s="89">
        <v>15.994999999999997</v>
      </c>
      <c r="N209" s="85">
        <f t="shared" si="19"/>
        <v>0</v>
      </c>
    </row>
    <row r="210" spans="1:19">
      <c r="A210">
        <v>32</v>
      </c>
      <c r="B210" s="59" t="s">
        <v>110</v>
      </c>
      <c r="C210" s="89">
        <v>4.8970000000000002</v>
      </c>
      <c r="D210" s="89">
        <v>4.8970000000000002</v>
      </c>
      <c r="E210" s="85">
        <f t="shared" si="16"/>
        <v>0</v>
      </c>
      <c r="F210" s="90">
        <v>1.905</v>
      </c>
      <c r="G210" s="89">
        <v>1.905</v>
      </c>
      <c r="H210" s="85">
        <f t="shared" si="17"/>
        <v>0</v>
      </c>
      <c r="I210" s="89">
        <v>25.61</v>
      </c>
      <c r="J210" s="89">
        <v>25.61</v>
      </c>
      <c r="K210" s="85">
        <f t="shared" si="18"/>
        <v>0</v>
      </c>
      <c r="L210" s="89">
        <v>0.11899999999999999</v>
      </c>
      <c r="M210" s="89">
        <v>0.11899999999999999</v>
      </c>
      <c r="N210" s="85">
        <f t="shared" si="19"/>
        <v>0</v>
      </c>
    </row>
    <row r="211" spans="1:19">
      <c r="A211">
        <v>33</v>
      </c>
      <c r="B211" s="59" t="s">
        <v>111</v>
      </c>
      <c r="C211" s="89">
        <v>1.482</v>
      </c>
      <c r="D211" s="89">
        <v>1.482</v>
      </c>
      <c r="E211" s="85">
        <f t="shared" si="16"/>
        <v>0</v>
      </c>
      <c r="F211" s="90">
        <v>29.728999999999999</v>
      </c>
      <c r="G211" s="89">
        <v>29.728999999999999</v>
      </c>
      <c r="H211" s="85">
        <f t="shared" si="17"/>
        <v>0</v>
      </c>
      <c r="I211" s="89">
        <v>6.3490000000000002</v>
      </c>
      <c r="J211" s="89">
        <v>6.3490000000000002</v>
      </c>
      <c r="K211" s="85">
        <f t="shared" si="18"/>
        <v>0</v>
      </c>
      <c r="L211" s="89">
        <v>6.4969999999999999</v>
      </c>
      <c r="M211" s="89">
        <v>6.4969999999999999</v>
      </c>
      <c r="N211" s="85">
        <f t="shared" si="19"/>
        <v>0</v>
      </c>
    </row>
    <row r="212" spans="1:19">
      <c r="A212">
        <v>34</v>
      </c>
      <c r="B212" s="59" t="s">
        <v>112</v>
      </c>
      <c r="C212" s="89">
        <v>22.852</v>
      </c>
      <c r="D212" s="89">
        <v>22.853000000000002</v>
      </c>
      <c r="E212" s="85">
        <f t="shared" si="16"/>
        <v>1.0000000000012221E-3</v>
      </c>
      <c r="F212" s="90">
        <v>2.798</v>
      </c>
      <c r="G212" s="89">
        <v>2.7989999999999999</v>
      </c>
      <c r="H212" s="85">
        <f t="shared" si="17"/>
        <v>9.9999999999988987E-4</v>
      </c>
      <c r="I212" s="89">
        <v>33.427</v>
      </c>
      <c r="J212" s="89">
        <v>33.427</v>
      </c>
      <c r="K212" s="85">
        <f t="shared" si="18"/>
        <v>0</v>
      </c>
      <c r="L212" s="89">
        <v>12.622</v>
      </c>
      <c r="M212" s="89">
        <v>12.618</v>
      </c>
      <c r="N212" s="85">
        <f t="shared" si="19"/>
        <v>-3.9999999999995595E-3</v>
      </c>
    </row>
    <row r="215" spans="1:19">
      <c r="A215" s="72">
        <v>46169</v>
      </c>
    </row>
    <row r="216" spans="1:19">
      <c r="A216" s="39" t="s">
        <v>72</v>
      </c>
      <c r="B216" s="121" t="s">
        <v>73</v>
      </c>
      <c r="C216" s="121"/>
      <c r="D216" s="121"/>
      <c r="F216" s="39" t="s">
        <v>72</v>
      </c>
      <c r="G216" s="122" t="s">
        <v>74</v>
      </c>
      <c r="H216" s="122"/>
      <c r="I216" s="122"/>
      <c r="K216" s="39" t="s">
        <v>72</v>
      </c>
      <c r="L216" s="123" t="s">
        <v>75</v>
      </c>
      <c r="M216" s="124"/>
      <c r="N216" s="125"/>
      <c r="P216" s="39" t="s">
        <v>72</v>
      </c>
      <c r="Q216" s="120" t="s">
        <v>76</v>
      </c>
      <c r="R216" s="120"/>
      <c r="S216" s="120"/>
    </row>
    <row r="217" spans="1:19" ht="43.2">
      <c r="A217" s="40" t="s">
        <v>61</v>
      </c>
      <c r="B217" s="96" t="s">
        <v>116</v>
      </c>
      <c r="C217" s="96" t="s">
        <v>77</v>
      </c>
      <c r="D217" s="96" t="s">
        <v>78</v>
      </c>
      <c r="F217" s="40" t="s">
        <v>61</v>
      </c>
      <c r="G217" s="42" t="s">
        <v>116</v>
      </c>
      <c r="H217" s="42" t="s">
        <v>77</v>
      </c>
      <c r="I217" s="42" t="s">
        <v>78</v>
      </c>
      <c r="K217" s="40" t="s">
        <v>61</v>
      </c>
      <c r="L217" s="43" t="s">
        <v>116</v>
      </c>
      <c r="M217" s="43" t="s">
        <v>77</v>
      </c>
      <c r="N217" s="43" t="s">
        <v>78</v>
      </c>
      <c r="P217" s="40" t="s">
        <v>61</v>
      </c>
      <c r="Q217" s="44" t="s">
        <v>116</v>
      </c>
      <c r="R217" s="44" t="s">
        <v>77</v>
      </c>
      <c r="S217" s="44" t="s">
        <v>78</v>
      </c>
    </row>
    <row r="218" spans="1:19">
      <c r="A218" s="95" t="s">
        <v>109</v>
      </c>
      <c r="B218" s="89">
        <v>-26.803000000000001</v>
      </c>
      <c r="C218" s="89">
        <v>74.501999999999995</v>
      </c>
      <c r="D218" s="88">
        <v>101.30499999999999</v>
      </c>
      <c r="F218" s="95" t="s">
        <v>109</v>
      </c>
      <c r="G218" s="89">
        <v>-57.829000000000001</v>
      </c>
      <c r="H218" s="89">
        <v>31.44</v>
      </c>
      <c r="I218" s="88">
        <v>89.269000000000005</v>
      </c>
      <c r="K218" s="95" t="s">
        <v>109</v>
      </c>
      <c r="L218" s="89">
        <v>-16.04</v>
      </c>
      <c r="M218" s="89">
        <v>7.1870000000000003</v>
      </c>
      <c r="N218" s="88">
        <v>23.227</v>
      </c>
      <c r="P218" s="95" t="s">
        <v>109</v>
      </c>
      <c r="Q218" s="89">
        <v>10.231</v>
      </c>
      <c r="R218" s="89">
        <v>35.994999999999997</v>
      </c>
      <c r="S218" s="88">
        <v>25.763999999999996</v>
      </c>
    </row>
    <row r="219" spans="1:19">
      <c r="A219" s="95" t="s">
        <v>85</v>
      </c>
      <c r="B219" s="89">
        <v>65.963999999999999</v>
      </c>
      <c r="C219" s="89">
        <v>98.911999999999992</v>
      </c>
      <c r="D219" s="88">
        <v>32.947999999999993</v>
      </c>
      <c r="F219" s="95" t="s">
        <v>85</v>
      </c>
      <c r="G219" s="89">
        <v>0.77600000000000002</v>
      </c>
      <c r="H219" s="89">
        <v>88.344000000000165</v>
      </c>
      <c r="I219" s="88">
        <v>87.568000000000168</v>
      </c>
      <c r="K219" s="95" t="s">
        <v>97</v>
      </c>
      <c r="L219" s="89">
        <v>-11.189</v>
      </c>
      <c r="M219" s="89">
        <v>0</v>
      </c>
      <c r="N219" s="88">
        <v>11.189</v>
      </c>
      <c r="P219" s="95" t="s">
        <v>80</v>
      </c>
      <c r="Q219" s="89">
        <v>37.619</v>
      </c>
      <c r="R219" s="89">
        <v>58.881</v>
      </c>
      <c r="S219" s="88">
        <v>21.262</v>
      </c>
    </row>
    <row r="220" spans="1:19">
      <c r="A220" s="95" t="s">
        <v>92</v>
      </c>
      <c r="B220" s="89">
        <v>-5.4690000000000003</v>
      </c>
      <c r="C220" s="89">
        <v>19.228000000000002</v>
      </c>
      <c r="D220" s="88">
        <v>24.697000000000003</v>
      </c>
      <c r="F220" s="95" t="s">
        <v>80</v>
      </c>
      <c r="G220" s="89">
        <v>184.11199999999999</v>
      </c>
      <c r="H220" s="89">
        <v>219.66300000000001</v>
      </c>
      <c r="I220" s="88">
        <v>35.551000000000016</v>
      </c>
      <c r="K220" s="95" t="s">
        <v>92</v>
      </c>
      <c r="L220" s="89">
        <v>-5.1479999999999997</v>
      </c>
      <c r="M220" s="89">
        <v>0</v>
      </c>
      <c r="N220" s="88">
        <v>5.1479999999999997</v>
      </c>
      <c r="P220" s="95" t="s">
        <v>97</v>
      </c>
      <c r="Q220" s="89">
        <v>10.6</v>
      </c>
      <c r="R220" s="89">
        <v>15.26</v>
      </c>
      <c r="S220" s="88">
        <v>4.66</v>
      </c>
    </row>
    <row r="221" spans="1:19">
      <c r="A221" s="95" t="s">
        <v>110</v>
      </c>
      <c r="B221" s="89">
        <v>-12.936</v>
      </c>
      <c r="C221" s="89">
        <v>0</v>
      </c>
      <c r="D221" s="88">
        <v>12.936</v>
      </c>
      <c r="F221" s="95" t="s">
        <v>110</v>
      </c>
      <c r="G221" s="89">
        <v>-15.03</v>
      </c>
      <c r="H221" s="89">
        <v>9.1850000000000005</v>
      </c>
      <c r="I221" s="88">
        <v>24.215</v>
      </c>
      <c r="K221" s="95" t="s">
        <v>85</v>
      </c>
      <c r="L221" s="89">
        <v>20.41</v>
      </c>
      <c r="M221" s="89">
        <v>22.234999999999999</v>
      </c>
      <c r="N221" s="88">
        <v>1.8249999999999993</v>
      </c>
      <c r="P221" s="95" t="s">
        <v>85</v>
      </c>
      <c r="Q221" s="89">
        <v>48.71</v>
      </c>
      <c r="R221" s="89">
        <v>52.619000000000007</v>
      </c>
      <c r="S221" s="88">
        <v>3.909000000000006</v>
      </c>
    </row>
    <row r="222" spans="1:19">
      <c r="A222" s="95" t="s">
        <v>80</v>
      </c>
      <c r="B222" s="89">
        <v>87.561000000000007</v>
      </c>
      <c r="C222" s="89">
        <v>97.475999999999999</v>
      </c>
      <c r="D222" s="88">
        <v>9.914999999999992</v>
      </c>
      <c r="F222" s="95" t="s">
        <v>98</v>
      </c>
      <c r="G222" s="89">
        <v>4.58</v>
      </c>
      <c r="H222" s="89">
        <v>6.48</v>
      </c>
      <c r="I222" s="88">
        <v>1.9000000000000004</v>
      </c>
      <c r="K222" s="95" t="s">
        <v>99</v>
      </c>
      <c r="L222" s="89">
        <v>6.4720000000000004</v>
      </c>
      <c r="M222" s="89">
        <v>6.7799999999999994</v>
      </c>
      <c r="N222" s="88">
        <v>0.30799999999999894</v>
      </c>
      <c r="P222" s="95" t="s">
        <v>98</v>
      </c>
      <c r="Q222" s="89">
        <v>11.877000000000001</v>
      </c>
      <c r="R222" s="89">
        <v>14.324999999999999</v>
      </c>
      <c r="S222" s="88">
        <v>2.4479999999999986</v>
      </c>
    </row>
    <row r="223" spans="1:19">
      <c r="A223" s="95" t="s">
        <v>107</v>
      </c>
      <c r="B223" s="89">
        <v>19.295000000000002</v>
      </c>
      <c r="C223" s="89">
        <v>22.305</v>
      </c>
      <c r="D223" s="88">
        <v>3.009999999999998</v>
      </c>
      <c r="F223" s="95" t="s">
        <v>105</v>
      </c>
      <c r="G223" s="89">
        <v>58.548999999999999</v>
      </c>
      <c r="H223" s="89">
        <v>60.210999999999999</v>
      </c>
      <c r="I223" s="88">
        <v>1.661999999999999</v>
      </c>
      <c r="K223" s="95" t="s">
        <v>107</v>
      </c>
      <c r="L223" s="89">
        <v>10.029999999999999</v>
      </c>
      <c r="M223" s="89">
        <v>10.26</v>
      </c>
      <c r="N223" s="88">
        <v>0.23000000000000043</v>
      </c>
      <c r="P223" s="95" t="s">
        <v>105</v>
      </c>
      <c r="Q223" s="89">
        <v>13.885</v>
      </c>
      <c r="R223" s="89">
        <v>15.739000000000001</v>
      </c>
      <c r="S223" s="88">
        <v>1.854000000000001</v>
      </c>
    </row>
    <row r="224" spans="1:19">
      <c r="A224" s="95" t="s">
        <v>97</v>
      </c>
      <c r="B224" s="89">
        <v>18.544</v>
      </c>
      <c r="C224" s="89">
        <v>19.946999999999996</v>
      </c>
      <c r="D224" s="88">
        <v>1.4029999999999951</v>
      </c>
      <c r="F224" s="95" t="s">
        <v>83</v>
      </c>
      <c r="G224" s="89">
        <v>127.348</v>
      </c>
      <c r="H224" s="89">
        <v>128.13800000000001</v>
      </c>
      <c r="I224" s="88">
        <v>0.79000000000000625</v>
      </c>
      <c r="K224" s="59" t="s">
        <v>84</v>
      </c>
      <c r="L224" s="89">
        <v>134.767</v>
      </c>
      <c r="M224" s="89">
        <v>134.86799999999999</v>
      </c>
      <c r="N224" s="88">
        <v>0.10099999999999909</v>
      </c>
      <c r="P224" s="95" t="s">
        <v>110</v>
      </c>
      <c r="Q224" s="89">
        <v>-1.0049999999999999</v>
      </c>
      <c r="R224" s="89">
        <v>0</v>
      </c>
      <c r="S224" s="88">
        <v>1.0049999999999999</v>
      </c>
    </row>
    <row r="225" spans="1:19">
      <c r="A225" s="95" t="s">
        <v>99</v>
      </c>
      <c r="B225" s="89">
        <v>17.931999999999999</v>
      </c>
      <c r="C225" s="89">
        <v>18.255000000000003</v>
      </c>
      <c r="D225" s="88">
        <v>0.32300000000000395</v>
      </c>
      <c r="F225" s="95" t="s">
        <v>107</v>
      </c>
      <c r="G225" s="89">
        <v>7.8250000000000002</v>
      </c>
      <c r="H225" s="89">
        <v>7.91</v>
      </c>
      <c r="I225" s="88">
        <v>8.4999999999999964E-2</v>
      </c>
      <c r="K225" s="95" t="s">
        <v>106</v>
      </c>
      <c r="L225" s="89">
        <v>14.157</v>
      </c>
      <c r="M225" s="89">
        <v>14.164</v>
      </c>
      <c r="N225" s="88">
        <v>6.9999999999996732E-3</v>
      </c>
      <c r="P225" s="95" t="s">
        <v>86</v>
      </c>
      <c r="Q225" s="89">
        <v>4.7E-2</v>
      </c>
      <c r="R225" s="89">
        <v>0.70200000000000018</v>
      </c>
      <c r="S225" s="88">
        <v>0.65500000000000014</v>
      </c>
    </row>
    <row r="226" spans="1:19">
      <c r="A226" s="95" t="s">
        <v>106</v>
      </c>
      <c r="B226" s="89">
        <v>72.564999999999998</v>
      </c>
      <c r="C226" s="89">
        <v>72.581999999999994</v>
      </c>
      <c r="D226" s="88">
        <v>1.6999999999995907E-2</v>
      </c>
      <c r="F226" s="95" t="s">
        <v>87</v>
      </c>
      <c r="G226" s="89">
        <v>30.219000000000001</v>
      </c>
      <c r="H226" s="89">
        <v>30.225999999999999</v>
      </c>
      <c r="I226" s="88">
        <v>6.9999999999978968E-3</v>
      </c>
      <c r="K226" s="95" t="s">
        <v>101</v>
      </c>
      <c r="L226" s="89">
        <v>62.914999999999999</v>
      </c>
      <c r="M226" s="89">
        <v>62.784999999999997</v>
      </c>
      <c r="N226" s="69">
        <v>-0.13000000000000256</v>
      </c>
      <c r="P226" s="95" t="s">
        <v>87</v>
      </c>
      <c r="Q226" s="89">
        <v>11.614000000000001</v>
      </c>
      <c r="R226" s="89">
        <v>12.135999999999999</v>
      </c>
      <c r="S226" s="88">
        <v>0.52199999999999847</v>
      </c>
    </row>
    <row r="227" spans="1:19">
      <c r="A227" s="95" t="s">
        <v>87</v>
      </c>
      <c r="B227" s="89">
        <v>3.9550000000000001</v>
      </c>
      <c r="C227" s="89">
        <v>3.9670000000000001</v>
      </c>
      <c r="D227" s="88">
        <v>1.2000000000000011E-2</v>
      </c>
      <c r="F227" s="95" t="s">
        <v>112</v>
      </c>
      <c r="G227" s="89">
        <v>16.492000000000001</v>
      </c>
      <c r="H227" s="89">
        <v>16.453000000000003</v>
      </c>
      <c r="I227" s="69">
        <v>-3.8999999999997925E-2</v>
      </c>
      <c r="K227" s="59" t="s">
        <v>108</v>
      </c>
      <c r="L227" s="89">
        <v>17.902000000000001</v>
      </c>
      <c r="M227" s="89">
        <v>17.712</v>
      </c>
      <c r="N227" s="69">
        <v>-0.19000000000000128</v>
      </c>
      <c r="P227" s="95" t="s">
        <v>99</v>
      </c>
      <c r="Q227" s="89">
        <v>8.4629999999999992</v>
      </c>
      <c r="R227" s="89">
        <v>8.58</v>
      </c>
      <c r="S227" s="88">
        <v>0.11700000000000088</v>
      </c>
    </row>
    <row r="228" spans="1:19">
      <c r="A228" s="95" t="s">
        <v>105</v>
      </c>
      <c r="B228" s="89">
        <v>17.526</v>
      </c>
      <c r="C228" s="89">
        <v>17.321000000000002</v>
      </c>
      <c r="D228" s="69">
        <v>-0.20499999999999829</v>
      </c>
      <c r="F228" s="95" t="s">
        <v>104</v>
      </c>
      <c r="G228" s="89">
        <v>202.333</v>
      </c>
      <c r="H228" s="89">
        <v>200.22200000000001</v>
      </c>
      <c r="I228" s="69">
        <v>-2.11099999999999</v>
      </c>
      <c r="K228" s="95" t="s">
        <v>80</v>
      </c>
      <c r="L228" s="89">
        <v>70.695999999999998</v>
      </c>
      <c r="M228" s="89">
        <v>70.471999999999994</v>
      </c>
      <c r="N228" s="69">
        <v>-0.22400000000000375</v>
      </c>
      <c r="P228" s="95" t="s">
        <v>79</v>
      </c>
      <c r="Q228" s="89">
        <v>63.353999999999999</v>
      </c>
      <c r="R228" s="89">
        <v>63.359000000000009</v>
      </c>
      <c r="S228" s="88">
        <v>5.0000000000096634E-3</v>
      </c>
    </row>
    <row r="229" spans="1:19">
      <c r="A229" s="95" t="s">
        <v>104</v>
      </c>
      <c r="B229" s="89">
        <v>26.324999999999999</v>
      </c>
      <c r="C229" s="89">
        <v>26.088000000000001</v>
      </c>
      <c r="D229" s="69">
        <v>-0.23699999999999832</v>
      </c>
      <c r="F229" s="95" t="s">
        <v>86</v>
      </c>
      <c r="G229" s="89">
        <v>29.716000000000001</v>
      </c>
      <c r="H229" s="89">
        <v>11.611999999999995</v>
      </c>
      <c r="I229" s="69">
        <v>-18.104000000000006</v>
      </c>
      <c r="K229" s="95" t="s">
        <v>105</v>
      </c>
      <c r="L229" s="89">
        <v>74.078999999999994</v>
      </c>
      <c r="M229" s="89">
        <v>72.882000000000005</v>
      </c>
      <c r="N229" s="69">
        <v>-1.1969999999999885</v>
      </c>
      <c r="P229" s="95" t="s">
        <v>107</v>
      </c>
      <c r="Q229" s="89">
        <v>1.5249999999999999</v>
      </c>
      <c r="R229" s="89">
        <v>1.53</v>
      </c>
      <c r="S229" s="88">
        <v>5.0000000000001155E-3</v>
      </c>
    </row>
    <row r="230" spans="1:19">
      <c r="A230" s="95" t="s">
        <v>88</v>
      </c>
      <c r="B230" s="89">
        <v>19.594999999999999</v>
      </c>
      <c r="C230" s="89">
        <v>8.8580000000000005</v>
      </c>
      <c r="D230" s="69">
        <v>-10.736999999999998</v>
      </c>
      <c r="F230" s="95" t="s">
        <v>101</v>
      </c>
      <c r="G230" s="89">
        <v>99.234999999999999</v>
      </c>
      <c r="H230" s="89">
        <v>74.209999999999994</v>
      </c>
      <c r="I230" s="69">
        <v>-25.025000000000006</v>
      </c>
      <c r="K230" s="59" t="s">
        <v>86</v>
      </c>
      <c r="L230" s="89">
        <v>2</v>
      </c>
      <c r="M230" s="89">
        <v>0</v>
      </c>
      <c r="N230" s="69">
        <v>-2</v>
      </c>
      <c r="P230" s="95" t="s">
        <v>104</v>
      </c>
      <c r="Q230" s="89">
        <v>65.313999999999993</v>
      </c>
      <c r="R230" s="89">
        <v>65.212999999999994</v>
      </c>
      <c r="S230" s="69">
        <v>-0.10099999999999909</v>
      </c>
    </row>
    <row r="231" spans="1:19">
      <c r="A231" s="95" t="s">
        <v>101</v>
      </c>
      <c r="B231" s="89">
        <v>28.204999999999998</v>
      </c>
      <c r="C231" s="89">
        <v>7.46</v>
      </c>
      <c r="D231" s="69">
        <v>-20.744999999999997</v>
      </c>
      <c r="F231" s="95" t="s">
        <v>88</v>
      </c>
      <c r="G231" s="89">
        <v>89.518000000000001</v>
      </c>
      <c r="H231" s="89">
        <v>60.792000000000009</v>
      </c>
      <c r="I231" s="69">
        <v>-28.725999999999992</v>
      </c>
      <c r="P231" s="95" t="s">
        <v>101</v>
      </c>
      <c r="Q231" s="89">
        <v>20.175000000000001</v>
      </c>
      <c r="R231" s="89">
        <v>5.8449999999999998</v>
      </c>
      <c r="S231" s="69">
        <v>-14.330000000000002</v>
      </c>
    </row>
    <row r="232" spans="1:19">
      <c r="F232" s="95" t="s">
        <v>92</v>
      </c>
      <c r="G232" s="89">
        <v>50.31</v>
      </c>
      <c r="H232" s="89">
        <v>14.223000000000001</v>
      </c>
      <c r="I232" s="69">
        <v>-36.087000000000003</v>
      </c>
    </row>
    <row r="233" spans="1:19">
      <c r="F233" s="95" t="s">
        <v>97</v>
      </c>
      <c r="G233" s="89">
        <v>170.46799999999999</v>
      </c>
      <c r="H233" s="89">
        <v>130.65799999999999</v>
      </c>
      <c r="I233" s="69">
        <v>-39.81</v>
      </c>
    </row>
  </sheetData>
  <autoFilter ref="A178:N212" xr:uid="{261BE6A3-C316-432C-8E2C-A54C4F5F5059}">
    <sortState xmlns:xlrd2="http://schemas.microsoft.com/office/spreadsheetml/2017/richdata2" ref="A179:N212">
      <sortCondition sortBy="cellColor" ref="B178:B212" dxfId="114"/>
    </sortState>
  </autoFilter>
  <mergeCells count="20">
    <mergeCell ref="C9:E9"/>
    <mergeCell ref="F9:H9"/>
    <mergeCell ref="I9:K9"/>
    <mergeCell ref="L9:N9"/>
    <mergeCell ref="C51:E51"/>
    <mergeCell ref="F51:H51"/>
    <mergeCell ref="I51:K51"/>
    <mergeCell ref="L51:N51"/>
    <mergeCell ref="L93:N93"/>
    <mergeCell ref="B216:D216"/>
    <mergeCell ref="G216:I216"/>
    <mergeCell ref="L216:N216"/>
    <mergeCell ref="Q216:S216"/>
    <mergeCell ref="C177:E177"/>
    <mergeCell ref="F177:H177"/>
    <mergeCell ref="I177:K177"/>
    <mergeCell ref="L177:N177"/>
    <mergeCell ref="C93:E93"/>
    <mergeCell ref="F93:H93"/>
    <mergeCell ref="I93:K93"/>
  </mergeCells>
  <conditionalFormatting sqref="A216:B216">
    <cfRule type="duplicateValues" dxfId="109" priority="13"/>
    <cfRule type="duplicateValues" dxfId="108" priority="14"/>
  </conditionalFormatting>
  <conditionalFormatting sqref="B7:L7">
    <cfRule type="duplicateValues" dxfId="107" priority="46"/>
    <cfRule type="duplicateValues" dxfId="106" priority="45"/>
  </conditionalFormatting>
  <conditionalFormatting sqref="B49:L49">
    <cfRule type="duplicateValues" dxfId="105" priority="38"/>
    <cfRule type="duplicateValues" dxfId="104" priority="37"/>
  </conditionalFormatting>
  <conditionalFormatting sqref="B91:L91">
    <cfRule type="duplicateValues" dxfId="103" priority="34"/>
    <cfRule type="duplicateValues" dxfId="102" priority="33"/>
  </conditionalFormatting>
  <conditionalFormatting sqref="B133:L133">
    <cfRule type="duplicateValues" dxfId="101" priority="26"/>
    <cfRule type="duplicateValues" dxfId="100" priority="25"/>
  </conditionalFormatting>
  <conditionalFormatting sqref="B175:L175">
    <cfRule type="duplicateValues" dxfId="99" priority="21"/>
    <cfRule type="duplicateValues" dxfId="98" priority="22"/>
  </conditionalFormatting>
  <conditionalFormatting sqref="F216">
    <cfRule type="duplicateValues" dxfId="97" priority="10"/>
    <cfRule type="duplicateValues" dxfId="96" priority="9"/>
  </conditionalFormatting>
  <conditionalFormatting sqref="G216">
    <cfRule type="duplicateValues" dxfId="95" priority="12"/>
    <cfRule type="duplicateValues" dxfId="94" priority="11"/>
  </conditionalFormatting>
  <conditionalFormatting sqref="I9 F9 B9:C9 L9">
    <cfRule type="duplicateValues" dxfId="93" priority="43"/>
    <cfRule type="duplicateValues" dxfId="92" priority="44"/>
  </conditionalFormatting>
  <conditionalFormatting sqref="I51 F51 B51:C51 L51">
    <cfRule type="duplicateValues" dxfId="91" priority="35"/>
    <cfRule type="duplicateValues" dxfId="90" priority="36"/>
  </conditionalFormatting>
  <conditionalFormatting sqref="I93 F93 B93:C93 L93">
    <cfRule type="duplicateValues" dxfId="89" priority="31"/>
    <cfRule type="duplicateValues" dxfId="88" priority="32"/>
  </conditionalFormatting>
  <conditionalFormatting sqref="I135 F135 B135:C135 L135">
    <cfRule type="duplicateValues" dxfId="87" priority="23"/>
    <cfRule type="duplicateValues" dxfId="86" priority="24"/>
  </conditionalFormatting>
  <conditionalFormatting sqref="I177 F177 B177:C177 L177">
    <cfRule type="duplicateValues" dxfId="85" priority="20"/>
    <cfRule type="duplicateValues" dxfId="84" priority="19"/>
  </conditionalFormatting>
  <conditionalFormatting sqref="K216">
    <cfRule type="duplicateValues" dxfId="83" priority="5"/>
    <cfRule type="duplicateValues" dxfId="82" priority="6"/>
  </conditionalFormatting>
  <conditionalFormatting sqref="L216">
    <cfRule type="duplicateValues" dxfId="81" priority="7"/>
    <cfRule type="duplicateValues" dxfId="80" priority="8"/>
  </conditionalFormatting>
  <conditionalFormatting sqref="P216">
    <cfRule type="duplicateValues" dxfId="79" priority="2"/>
    <cfRule type="duplicateValues" dxfId="78" priority="1"/>
  </conditionalFormatting>
  <conditionalFormatting sqref="Q216">
    <cfRule type="duplicateValues" dxfId="77" priority="3"/>
    <cfRule type="duplicateValues" dxfId="76" priority="4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4C496-89E4-4732-B80D-77469D9F6720}">
  <dimension ref="B2:R423"/>
  <sheetViews>
    <sheetView topLeftCell="B399" workbookViewId="0">
      <selection activeCell="B387" sqref="A387:XFD387"/>
    </sheetView>
  </sheetViews>
  <sheetFormatPr defaultRowHeight="14.4"/>
  <cols>
    <col min="3" max="3" width="14.44140625" bestFit="1" customWidth="1"/>
    <col min="4" max="6" width="14.21875" style="50" customWidth="1"/>
    <col min="7" max="7" width="17.88671875" style="50" bestFit="1" customWidth="1"/>
    <col min="8" max="8" width="10.5546875" customWidth="1"/>
    <col min="10" max="10" width="10.6640625" customWidth="1"/>
    <col min="11" max="11" width="9.77734375" customWidth="1"/>
    <col min="12" max="12" width="10.6640625" customWidth="1"/>
    <col min="13" max="13" width="13.77734375" customWidth="1"/>
    <col min="14" max="14" width="10.88671875" customWidth="1"/>
    <col min="16" max="16" width="10" customWidth="1"/>
    <col min="18" max="18" width="11.21875" customWidth="1"/>
  </cols>
  <sheetData>
    <row r="2" spans="2:15">
      <c r="C2" s="58">
        <v>46155</v>
      </c>
    </row>
    <row r="3" spans="2:15">
      <c r="C3" s="32" t="s">
        <v>68</v>
      </c>
      <c r="D3" s="33">
        <v>161</v>
      </c>
      <c r="E3" s="33"/>
      <c r="F3" s="33"/>
      <c r="G3" s="33">
        <v>2054</v>
      </c>
      <c r="H3" s="34"/>
      <c r="I3" s="34"/>
      <c r="J3" s="34">
        <v>5550</v>
      </c>
      <c r="K3" s="34"/>
      <c r="L3" s="34"/>
      <c r="M3" s="34">
        <v>8899</v>
      </c>
      <c r="N3" s="1"/>
      <c r="O3" s="1"/>
    </row>
    <row r="4" spans="2:15" s="36" customFormat="1">
      <c r="C4" s="32" t="s">
        <v>69</v>
      </c>
      <c r="D4" s="35">
        <v>100001</v>
      </c>
      <c r="E4" s="35"/>
      <c r="F4" s="35"/>
      <c r="G4" s="33">
        <v>100004</v>
      </c>
      <c r="H4" s="34"/>
      <c r="I4" s="34"/>
      <c r="J4" s="34">
        <v>100030</v>
      </c>
      <c r="K4" s="34"/>
      <c r="L4" s="34"/>
      <c r="M4" s="34">
        <v>100153</v>
      </c>
      <c r="N4" s="34"/>
      <c r="O4" s="34"/>
    </row>
    <row r="5" spans="2:15">
      <c r="C5" s="37" t="s">
        <v>70</v>
      </c>
      <c r="D5" s="33" t="s">
        <v>71</v>
      </c>
      <c r="E5" s="33"/>
      <c r="F5" s="33"/>
      <c r="G5" s="33" t="s">
        <v>71</v>
      </c>
      <c r="H5" s="38"/>
      <c r="I5" s="38"/>
      <c r="J5" s="38" t="s">
        <v>71</v>
      </c>
      <c r="K5" s="38"/>
      <c r="L5" s="38"/>
      <c r="M5" s="38" t="s">
        <v>71</v>
      </c>
      <c r="N5" s="1"/>
      <c r="O5" s="1"/>
    </row>
    <row r="6" spans="2:15">
      <c r="C6" s="39" t="s">
        <v>72</v>
      </c>
      <c r="D6" s="126" t="s">
        <v>73</v>
      </c>
      <c r="E6" s="126"/>
      <c r="F6" s="126"/>
      <c r="G6" s="122" t="s">
        <v>74</v>
      </c>
      <c r="H6" s="122"/>
      <c r="I6" s="122"/>
      <c r="J6" s="127" t="s">
        <v>75</v>
      </c>
      <c r="K6" s="127"/>
      <c r="L6" s="127"/>
      <c r="M6" s="120" t="s">
        <v>76</v>
      </c>
      <c r="N6" s="120"/>
      <c r="O6" s="120"/>
    </row>
    <row r="7" spans="2:15" ht="46.8" customHeight="1">
      <c r="B7">
        <v>13</v>
      </c>
      <c r="C7" s="40" t="s">
        <v>61</v>
      </c>
      <c r="D7" s="41" t="s">
        <v>116</v>
      </c>
      <c r="E7" s="41" t="s">
        <v>77</v>
      </c>
      <c r="F7" s="41" t="s">
        <v>78</v>
      </c>
      <c r="G7" s="42" t="s">
        <v>116</v>
      </c>
      <c r="H7" s="42" t="s">
        <v>77</v>
      </c>
      <c r="I7" s="42" t="s">
        <v>78</v>
      </c>
      <c r="J7" s="43" t="s">
        <v>116</v>
      </c>
      <c r="K7" s="43" t="s">
        <v>77</v>
      </c>
      <c r="L7" s="43" t="s">
        <v>78</v>
      </c>
      <c r="M7" s="44" t="s">
        <v>116</v>
      </c>
      <c r="N7" s="44" t="s">
        <v>77</v>
      </c>
      <c r="O7" s="44" t="s">
        <v>78</v>
      </c>
    </row>
    <row r="8" spans="2:15">
      <c r="B8">
        <v>3</v>
      </c>
      <c r="C8" s="53" t="s">
        <v>81</v>
      </c>
      <c r="D8" s="54">
        <v>23.175999999999998</v>
      </c>
      <c r="E8" s="54">
        <v>23.175999999999998</v>
      </c>
      <c r="F8" s="54">
        <f t="shared" ref="F8:F41" si="0">E8-D8</f>
        <v>0</v>
      </c>
      <c r="G8" s="54">
        <v>82.683000000000007</v>
      </c>
      <c r="H8" s="55">
        <v>82.683000000000007</v>
      </c>
      <c r="I8" s="54">
        <f t="shared" ref="I8:I41" si="1">H8-G8</f>
        <v>0</v>
      </c>
      <c r="J8" s="55">
        <v>6.2859999999999996</v>
      </c>
      <c r="K8" s="55">
        <v>6.2859999999999996</v>
      </c>
      <c r="L8" s="54">
        <f t="shared" ref="L8:L41" si="2">K8-J8</f>
        <v>0</v>
      </c>
      <c r="M8" s="55">
        <v>1.357</v>
      </c>
      <c r="N8" s="56">
        <v>1.357</v>
      </c>
      <c r="O8" s="54">
        <f t="shared" ref="O8:O41" si="3">N8-M8</f>
        <v>0</v>
      </c>
    </row>
    <row r="9" spans="2:15">
      <c r="B9">
        <v>12</v>
      </c>
      <c r="C9" s="53" t="s">
        <v>90</v>
      </c>
      <c r="D9" s="54">
        <v>13.760999999999999</v>
      </c>
      <c r="E9" s="54">
        <v>13.760999999999996</v>
      </c>
      <c r="F9" s="54">
        <f t="shared" si="0"/>
        <v>0</v>
      </c>
      <c r="G9" s="54">
        <v>67.75</v>
      </c>
      <c r="H9" s="55">
        <v>67.75</v>
      </c>
      <c r="I9" s="54">
        <f t="shared" si="1"/>
        <v>0</v>
      </c>
      <c r="J9" s="55">
        <v>17.846</v>
      </c>
      <c r="K9" s="55">
        <v>17.846</v>
      </c>
      <c r="L9" s="54">
        <f t="shared" si="2"/>
        <v>0</v>
      </c>
      <c r="M9" s="55">
        <v>45.433</v>
      </c>
      <c r="N9" s="56">
        <v>45.433</v>
      </c>
      <c r="O9" s="54">
        <f t="shared" si="3"/>
        <v>0</v>
      </c>
    </row>
    <row r="10" spans="2:15">
      <c r="B10">
        <v>13</v>
      </c>
      <c r="C10" s="53" t="s">
        <v>91</v>
      </c>
      <c r="D10" s="54">
        <v>24.155999999999999</v>
      </c>
      <c r="E10" s="54">
        <v>24.155999999999999</v>
      </c>
      <c r="F10" s="54">
        <f t="shared" si="0"/>
        <v>0</v>
      </c>
      <c r="G10" s="54">
        <v>10.975</v>
      </c>
      <c r="H10" s="55">
        <v>10.975000000000003</v>
      </c>
      <c r="I10" s="54">
        <f t="shared" si="1"/>
        <v>0</v>
      </c>
      <c r="J10" s="55">
        <v>31.898</v>
      </c>
      <c r="K10" s="55">
        <v>31.897999999999996</v>
      </c>
      <c r="L10" s="54">
        <f t="shared" si="2"/>
        <v>0</v>
      </c>
      <c r="M10" s="55">
        <v>54.066000000000003</v>
      </c>
      <c r="N10" s="56">
        <v>54.065999999999995</v>
      </c>
      <c r="O10" s="54">
        <f t="shared" si="3"/>
        <v>0</v>
      </c>
    </row>
    <row r="11" spans="2:15">
      <c r="B11">
        <v>15</v>
      </c>
      <c r="C11" s="53" t="s">
        <v>93</v>
      </c>
      <c r="D11" s="54">
        <v>14.154</v>
      </c>
      <c r="E11" s="54">
        <v>14.154</v>
      </c>
      <c r="F11" s="54">
        <f t="shared" si="0"/>
        <v>0</v>
      </c>
      <c r="G11" s="54">
        <v>11.476000000000001</v>
      </c>
      <c r="H11" s="55">
        <v>11.476000000000004</v>
      </c>
      <c r="I11" s="54">
        <f t="shared" si="1"/>
        <v>0</v>
      </c>
      <c r="J11" s="55">
        <v>0</v>
      </c>
      <c r="K11" s="55">
        <v>0</v>
      </c>
      <c r="L11" s="54">
        <f t="shared" si="2"/>
        <v>0</v>
      </c>
      <c r="M11" s="55">
        <v>22.963999999999999</v>
      </c>
      <c r="N11" s="56">
        <v>22.963999999999999</v>
      </c>
      <c r="O11" s="54">
        <f t="shared" si="3"/>
        <v>0</v>
      </c>
    </row>
    <row r="12" spans="2:15">
      <c r="B12">
        <v>21</v>
      </c>
      <c r="C12" s="53" t="s">
        <v>99</v>
      </c>
      <c r="D12" s="54">
        <v>13.265000000000001</v>
      </c>
      <c r="E12" s="54">
        <v>13.264999999999999</v>
      </c>
      <c r="F12" s="54">
        <f t="shared" si="0"/>
        <v>0</v>
      </c>
      <c r="G12" s="54">
        <v>2.87</v>
      </c>
      <c r="H12" s="55">
        <v>2.8699999999999974</v>
      </c>
      <c r="I12" s="54">
        <f t="shared" si="1"/>
        <v>0</v>
      </c>
      <c r="J12" s="55">
        <v>31.8</v>
      </c>
      <c r="K12" s="55">
        <v>31.799999999999997</v>
      </c>
      <c r="L12" s="54">
        <f t="shared" si="2"/>
        <v>0</v>
      </c>
      <c r="M12" s="55">
        <v>4</v>
      </c>
      <c r="N12" s="56">
        <v>4.0000000000000009</v>
      </c>
      <c r="O12" s="54">
        <f t="shared" si="3"/>
        <v>0</v>
      </c>
    </row>
    <row r="13" spans="2:15">
      <c r="B13">
        <v>22</v>
      </c>
      <c r="C13" s="53" t="s">
        <v>100</v>
      </c>
      <c r="D13" s="54">
        <v>25.515000000000001</v>
      </c>
      <c r="E13" s="54">
        <v>25.515000000000011</v>
      </c>
      <c r="F13" s="54">
        <f t="shared" si="0"/>
        <v>0</v>
      </c>
      <c r="G13" s="54">
        <v>31.06</v>
      </c>
      <c r="H13" s="55">
        <v>31.060000000000006</v>
      </c>
      <c r="I13" s="54">
        <f t="shared" si="1"/>
        <v>0</v>
      </c>
      <c r="J13" s="55">
        <v>21.84</v>
      </c>
      <c r="K13" s="55">
        <v>21.84</v>
      </c>
      <c r="L13" s="54">
        <f t="shared" si="2"/>
        <v>0</v>
      </c>
      <c r="M13" s="55">
        <v>26.045000000000002</v>
      </c>
      <c r="N13" s="56">
        <v>26.044999999999995</v>
      </c>
      <c r="O13" s="54">
        <f t="shared" si="3"/>
        <v>0</v>
      </c>
    </row>
    <row r="14" spans="2:15">
      <c r="B14">
        <v>32</v>
      </c>
      <c r="C14" s="53" t="s">
        <v>110</v>
      </c>
      <c r="D14" s="54">
        <v>9.4320000000000004</v>
      </c>
      <c r="E14" s="54">
        <v>9.4320000000000022</v>
      </c>
      <c r="F14" s="54">
        <f t="shared" si="0"/>
        <v>0</v>
      </c>
      <c r="G14" s="54">
        <v>89.125</v>
      </c>
      <c r="H14" s="55">
        <v>89.125</v>
      </c>
      <c r="I14" s="54">
        <f t="shared" si="1"/>
        <v>0</v>
      </c>
      <c r="J14" s="55">
        <v>32.164999999999999</v>
      </c>
      <c r="K14" s="55">
        <v>32.164999999999999</v>
      </c>
      <c r="L14" s="54">
        <f t="shared" si="2"/>
        <v>0</v>
      </c>
      <c r="M14" s="55">
        <v>15.49</v>
      </c>
      <c r="N14" s="56">
        <v>15.489999999999998</v>
      </c>
      <c r="O14" s="54">
        <f t="shared" si="3"/>
        <v>0</v>
      </c>
    </row>
    <row r="15" spans="2:15">
      <c r="B15">
        <v>11</v>
      </c>
      <c r="C15" s="45" t="s">
        <v>89</v>
      </c>
      <c r="D15" s="46">
        <v>63.15</v>
      </c>
      <c r="E15" s="46">
        <v>63.149000000000001</v>
      </c>
      <c r="F15" s="46">
        <f t="shared" si="0"/>
        <v>-9.9999999999766942E-4</v>
      </c>
      <c r="G15" s="46">
        <v>90.98</v>
      </c>
      <c r="H15" s="2">
        <v>90.978999999999999</v>
      </c>
      <c r="I15" s="46">
        <f t="shared" si="1"/>
        <v>-1.0000000000047748E-3</v>
      </c>
      <c r="J15" s="2">
        <v>0</v>
      </c>
      <c r="K15" s="2">
        <v>0</v>
      </c>
      <c r="L15" s="46">
        <f t="shared" si="2"/>
        <v>0</v>
      </c>
      <c r="M15" s="2">
        <v>24.033999999999999</v>
      </c>
      <c r="N15" s="1">
        <v>13.898</v>
      </c>
      <c r="O15" s="57">
        <f t="shared" si="3"/>
        <v>-10.135999999999999</v>
      </c>
    </row>
    <row r="16" spans="2:15">
      <c r="B16">
        <v>6</v>
      </c>
      <c r="C16" s="45" t="s">
        <v>84</v>
      </c>
      <c r="D16" s="46">
        <v>38.241999999999997</v>
      </c>
      <c r="E16" s="46">
        <v>38.24</v>
      </c>
      <c r="F16" s="46">
        <f t="shared" si="0"/>
        <v>-1.9999999999953388E-3</v>
      </c>
      <c r="G16" s="46">
        <v>49.753999999999998</v>
      </c>
      <c r="H16" s="2">
        <v>55.180999999999997</v>
      </c>
      <c r="I16" s="52">
        <f t="shared" si="1"/>
        <v>5.4269999999999996</v>
      </c>
      <c r="J16" s="2">
        <v>27.861000000000001</v>
      </c>
      <c r="K16" s="2">
        <v>27.859999999999992</v>
      </c>
      <c r="L16" s="46">
        <f t="shared" si="2"/>
        <v>-1.0000000000083276E-3</v>
      </c>
      <c r="M16" s="2">
        <v>21.202999999999999</v>
      </c>
      <c r="N16" s="1">
        <v>21.15</v>
      </c>
      <c r="O16" s="57">
        <f t="shared" si="3"/>
        <v>-5.3000000000000824E-2</v>
      </c>
    </row>
    <row r="17" spans="2:15">
      <c r="B17">
        <v>28</v>
      </c>
      <c r="C17" s="45" t="s">
        <v>106</v>
      </c>
      <c r="D17" s="46">
        <v>53.893000000000001</v>
      </c>
      <c r="E17" s="46">
        <v>53.89</v>
      </c>
      <c r="F17" s="46">
        <f t="shared" si="0"/>
        <v>-3.0000000000001137E-3</v>
      </c>
      <c r="G17" s="46">
        <v>34.433999999999997</v>
      </c>
      <c r="H17" s="2">
        <v>34.453000000000003</v>
      </c>
      <c r="I17" s="52">
        <f t="shared" si="1"/>
        <v>1.9000000000005457E-2</v>
      </c>
      <c r="J17" s="2">
        <v>26.33</v>
      </c>
      <c r="K17" s="2">
        <v>26.353000000000002</v>
      </c>
      <c r="L17" s="52">
        <f t="shared" si="2"/>
        <v>2.300000000000324E-2</v>
      </c>
      <c r="M17" s="2">
        <v>18.193000000000001</v>
      </c>
      <c r="N17" s="1">
        <v>18.18</v>
      </c>
      <c r="O17" s="57">
        <f t="shared" si="3"/>
        <v>-1.3000000000001677E-2</v>
      </c>
    </row>
    <row r="18" spans="2:15">
      <c r="B18">
        <v>26</v>
      </c>
      <c r="C18" s="45" t="s">
        <v>104</v>
      </c>
      <c r="D18" s="49">
        <v>11.86</v>
      </c>
      <c r="E18" s="51">
        <v>40.554999999999993</v>
      </c>
      <c r="F18" s="52">
        <f t="shared" si="0"/>
        <v>28.694999999999993</v>
      </c>
      <c r="G18" s="46">
        <v>209.13</v>
      </c>
      <c r="H18" s="46">
        <v>154.80099999999999</v>
      </c>
      <c r="I18" s="57">
        <f t="shared" si="1"/>
        <v>-54.329000000000008</v>
      </c>
      <c r="J18" s="2">
        <v>31.658000000000001</v>
      </c>
      <c r="K18" s="2">
        <v>31.657999999999998</v>
      </c>
      <c r="L18" s="46">
        <f t="shared" si="2"/>
        <v>0</v>
      </c>
      <c r="M18" s="46">
        <v>47.68</v>
      </c>
      <c r="N18" s="46">
        <v>43.39</v>
      </c>
      <c r="O18" s="57">
        <f t="shared" si="3"/>
        <v>-4.2899999999999991</v>
      </c>
    </row>
    <row r="19" spans="2:15">
      <c r="B19">
        <v>27</v>
      </c>
      <c r="C19" s="45" t="s">
        <v>105</v>
      </c>
      <c r="D19" s="46">
        <v>39.692</v>
      </c>
      <c r="E19" s="46">
        <v>39.189</v>
      </c>
      <c r="F19" s="57">
        <f t="shared" si="0"/>
        <v>-0.50300000000000011</v>
      </c>
      <c r="G19" s="46">
        <v>209.13</v>
      </c>
      <c r="H19" s="2">
        <v>39.749999999999993</v>
      </c>
      <c r="I19" s="57">
        <f t="shared" si="1"/>
        <v>-169.38</v>
      </c>
      <c r="J19" s="2">
        <v>31.146000000000001</v>
      </c>
      <c r="K19" s="2">
        <v>30.222999999999999</v>
      </c>
      <c r="L19" s="52">
        <f t="shared" si="2"/>
        <v>-0.92300000000000182</v>
      </c>
      <c r="M19" s="2">
        <v>7.83</v>
      </c>
      <c r="N19" s="1">
        <v>7.6400000000000006</v>
      </c>
      <c r="O19" s="57">
        <f t="shared" si="3"/>
        <v>-0.1899999999999995</v>
      </c>
    </row>
    <row r="20" spans="2:15">
      <c r="B20">
        <v>31</v>
      </c>
      <c r="C20" s="45" t="s">
        <v>109</v>
      </c>
      <c r="D20" s="46">
        <v>40.14</v>
      </c>
      <c r="E20" s="46">
        <v>49.265000000000001</v>
      </c>
      <c r="F20" s="52">
        <f t="shared" si="0"/>
        <v>9.125</v>
      </c>
      <c r="G20" s="46">
        <v>196.2</v>
      </c>
      <c r="H20" s="2">
        <v>21.197999999999993</v>
      </c>
      <c r="I20" s="57">
        <f t="shared" si="1"/>
        <v>-175.00200000000001</v>
      </c>
      <c r="J20" s="2">
        <v>-37.49</v>
      </c>
      <c r="K20" s="2">
        <v>0</v>
      </c>
      <c r="L20" s="52">
        <f t="shared" si="2"/>
        <v>37.49</v>
      </c>
      <c r="M20" s="2">
        <v>103.61799999999999</v>
      </c>
      <c r="N20" s="1">
        <v>82.025000000000006</v>
      </c>
      <c r="O20" s="57">
        <f t="shared" si="3"/>
        <v>-21.592999999999989</v>
      </c>
    </row>
    <row r="21" spans="2:15">
      <c r="B21">
        <v>8</v>
      </c>
      <c r="C21" s="45" t="s">
        <v>86</v>
      </c>
      <c r="D21" s="46">
        <v>29.385999999999999</v>
      </c>
      <c r="E21" s="46">
        <v>21.918390000000002</v>
      </c>
      <c r="F21" s="57">
        <f t="shared" si="0"/>
        <v>-7.467609999999997</v>
      </c>
      <c r="G21" s="46">
        <v>39.258000000000003</v>
      </c>
      <c r="H21" s="2">
        <v>25.208979999999993</v>
      </c>
      <c r="I21" s="57">
        <f t="shared" si="1"/>
        <v>-14.049020000000009</v>
      </c>
      <c r="J21" s="2">
        <v>0</v>
      </c>
      <c r="K21" s="2">
        <v>0</v>
      </c>
      <c r="L21" s="46">
        <f t="shared" si="2"/>
        <v>0</v>
      </c>
      <c r="M21" s="2">
        <v>48.795000000000002</v>
      </c>
      <c r="N21" s="1">
        <v>42.394029999999958</v>
      </c>
      <c r="O21" s="57">
        <f t="shared" si="3"/>
        <v>-6.4009700000000436</v>
      </c>
    </row>
    <row r="22" spans="2:15">
      <c r="B22">
        <v>25</v>
      </c>
      <c r="C22" s="45" t="s">
        <v>103</v>
      </c>
      <c r="D22" s="46">
        <v>-8.1999999999999993</v>
      </c>
      <c r="E22" s="46">
        <v>41.331999999999994</v>
      </c>
      <c r="F22" s="52">
        <f t="shared" si="0"/>
        <v>49.531999999999996</v>
      </c>
      <c r="G22" s="46">
        <v>174.53299999999999</v>
      </c>
      <c r="H22" s="2">
        <v>140.37299999999999</v>
      </c>
      <c r="I22" s="57">
        <f t="shared" si="1"/>
        <v>-34.159999999999997</v>
      </c>
      <c r="J22" s="2">
        <v>-37.314</v>
      </c>
      <c r="K22" s="2">
        <v>13.010000000000002</v>
      </c>
      <c r="L22" s="52">
        <f t="shared" si="2"/>
        <v>50.323999999999998</v>
      </c>
      <c r="M22" s="2">
        <v>24.236000000000001</v>
      </c>
      <c r="N22" s="1">
        <v>21.366</v>
      </c>
      <c r="O22" s="57">
        <f t="shared" si="3"/>
        <v>-2.870000000000001</v>
      </c>
    </row>
    <row r="23" spans="2:15">
      <c r="B23">
        <v>30</v>
      </c>
      <c r="C23" s="45" t="s">
        <v>108</v>
      </c>
      <c r="D23" s="46">
        <v>32.835999999999999</v>
      </c>
      <c r="E23" s="46">
        <v>35.817000000000007</v>
      </c>
      <c r="F23" s="52">
        <f t="shared" si="0"/>
        <v>2.9810000000000088</v>
      </c>
      <c r="G23" s="46">
        <v>46.578000000000003</v>
      </c>
      <c r="H23" s="2">
        <v>50.190000000000005</v>
      </c>
      <c r="I23" s="52">
        <f t="shared" si="1"/>
        <v>3.6120000000000019</v>
      </c>
      <c r="J23" s="2">
        <v>0</v>
      </c>
      <c r="K23" s="2">
        <v>0</v>
      </c>
      <c r="L23" s="46">
        <f t="shared" si="2"/>
        <v>0</v>
      </c>
      <c r="M23" s="2">
        <v>2.5499999999999998</v>
      </c>
      <c r="N23" s="1">
        <v>0.67099999999999937</v>
      </c>
      <c r="O23" s="57">
        <f t="shared" si="3"/>
        <v>-1.8790000000000004</v>
      </c>
    </row>
    <row r="24" spans="2:15">
      <c r="B24">
        <v>1</v>
      </c>
      <c r="C24" s="45" t="s">
        <v>79</v>
      </c>
      <c r="D24" s="46">
        <v>48.868000000000002</v>
      </c>
      <c r="E24" s="46">
        <v>48.904000000000003</v>
      </c>
      <c r="F24" s="52">
        <f t="shared" si="0"/>
        <v>3.6000000000001364E-2</v>
      </c>
      <c r="G24" s="46">
        <v>100.379</v>
      </c>
      <c r="H24" s="2">
        <v>101.80400000000003</v>
      </c>
      <c r="I24" s="52">
        <f t="shared" si="1"/>
        <v>1.4250000000000256</v>
      </c>
      <c r="J24" s="2">
        <v>1.0249999999999999</v>
      </c>
      <c r="K24" s="2">
        <v>1.0300000000000011</v>
      </c>
      <c r="L24" s="52">
        <f t="shared" si="2"/>
        <v>5.0000000000012257E-3</v>
      </c>
      <c r="M24" s="2">
        <v>42.540999999999997</v>
      </c>
      <c r="N24" s="1">
        <v>41.202999999999975</v>
      </c>
      <c r="O24" s="57">
        <f t="shared" si="3"/>
        <v>-1.3380000000000223</v>
      </c>
    </row>
    <row r="25" spans="2:15">
      <c r="B25">
        <v>17</v>
      </c>
      <c r="C25" s="45" t="s">
        <v>95</v>
      </c>
      <c r="D25" s="33">
        <v>15.824999999999999</v>
      </c>
      <c r="E25" s="33">
        <v>15.403000000000002</v>
      </c>
      <c r="F25" s="57">
        <f t="shared" si="0"/>
        <v>-0.42199999999999704</v>
      </c>
      <c r="G25" s="33">
        <v>41.924999999999997</v>
      </c>
      <c r="H25" s="47">
        <v>53.146000000000001</v>
      </c>
      <c r="I25" s="52">
        <f t="shared" si="1"/>
        <v>11.221000000000004</v>
      </c>
      <c r="J25" s="47">
        <v>35.950000000000003</v>
      </c>
      <c r="K25" s="47">
        <v>30.344999999999999</v>
      </c>
      <c r="L25" s="52">
        <f t="shared" si="2"/>
        <v>-5.605000000000004</v>
      </c>
      <c r="M25" s="47">
        <v>9.4849999999999994</v>
      </c>
      <c r="N25" s="1">
        <v>8.3320000000000007</v>
      </c>
      <c r="O25" s="57">
        <f t="shared" si="3"/>
        <v>-1.1529999999999987</v>
      </c>
    </row>
    <row r="26" spans="2:15">
      <c r="B26">
        <v>14</v>
      </c>
      <c r="C26" s="45" t="s">
        <v>92</v>
      </c>
      <c r="D26" s="46">
        <v>6.9450000000000003</v>
      </c>
      <c r="E26" s="46">
        <v>6.266</v>
      </c>
      <c r="F26" s="57">
        <f t="shared" si="0"/>
        <v>-0.67900000000000027</v>
      </c>
      <c r="G26" s="46">
        <v>132.04499999999999</v>
      </c>
      <c r="H26" s="2">
        <v>147.38300000000001</v>
      </c>
      <c r="I26" s="52">
        <f t="shared" si="1"/>
        <v>15.338000000000022</v>
      </c>
      <c r="J26" s="2">
        <v>0</v>
      </c>
      <c r="K26" s="2">
        <v>0</v>
      </c>
      <c r="L26" s="46">
        <f t="shared" si="2"/>
        <v>0</v>
      </c>
      <c r="M26" s="2">
        <v>65.664000000000001</v>
      </c>
      <c r="N26" s="1">
        <v>64.540999999999997</v>
      </c>
      <c r="O26" s="57">
        <f t="shared" si="3"/>
        <v>-1.1230000000000047</v>
      </c>
    </row>
    <row r="27" spans="2:15">
      <c r="B27">
        <v>34</v>
      </c>
      <c r="C27" s="45" t="s">
        <v>112</v>
      </c>
      <c r="D27" s="46">
        <v>29.568999999999999</v>
      </c>
      <c r="E27" s="46">
        <v>29.693999999999999</v>
      </c>
      <c r="F27" s="52">
        <f t="shared" si="0"/>
        <v>0.125</v>
      </c>
      <c r="G27" s="46">
        <v>25.058</v>
      </c>
      <c r="H27" s="2">
        <v>26.222999999999999</v>
      </c>
      <c r="I27" s="52">
        <f t="shared" si="1"/>
        <v>1.1649999999999991</v>
      </c>
      <c r="J27" s="2">
        <v>17.512</v>
      </c>
      <c r="K27" s="2">
        <v>16.994</v>
      </c>
      <c r="L27" s="52">
        <f t="shared" si="2"/>
        <v>-0.51800000000000068</v>
      </c>
      <c r="M27" s="2">
        <v>3.2080000000000002</v>
      </c>
      <c r="N27" s="1">
        <v>2.1589999999999998</v>
      </c>
      <c r="O27" s="57">
        <f t="shared" si="3"/>
        <v>-1.0490000000000004</v>
      </c>
    </row>
    <row r="28" spans="2:15">
      <c r="B28">
        <v>33</v>
      </c>
      <c r="C28" s="45" t="s">
        <v>111</v>
      </c>
      <c r="D28" s="46">
        <v>4.8600000000000003</v>
      </c>
      <c r="E28" s="46">
        <v>4.4500000000000037</v>
      </c>
      <c r="F28" s="57">
        <f t="shared" si="0"/>
        <v>-0.40999999999999659</v>
      </c>
      <c r="G28" s="46">
        <v>10.635</v>
      </c>
      <c r="H28" s="11">
        <v>10.239999999999981</v>
      </c>
      <c r="I28" s="57">
        <f t="shared" si="1"/>
        <v>-0.39500000000001911</v>
      </c>
      <c r="J28" s="2">
        <v>3.6749999999999998</v>
      </c>
      <c r="K28" s="2">
        <v>3.4310000000000009</v>
      </c>
      <c r="L28" s="52">
        <f t="shared" si="2"/>
        <v>-0.24399999999999888</v>
      </c>
      <c r="M28" s="2">
        <v>11.07</v>
      </c>
      <c r="N28" s="1">
        <v>10.462000000000003</v>
      </c>
      <c r="O28" s="57">
        <f t="shared" si="3"/>
        <v>-0.60799999999999699</v>
      </c>
    </row>
    <row r="29" spans="2:15">
      <c r="B29">
        <v>20</v>
      </c>
      <c r="C29" s="45" t="s">
        <v>98</v>
      </c>
      <c r="D29" s="46">
        <v>8.6880000000000006</v>
      </c>
      <c r="E29" s="46">
        <v>8.5380000000000003</v>
      </c>
      <c r="F29" s="57">
        <f t="shared" si="0"/>
        <v>-0.15000000000000036</v>
      </c>
      <c r="G29" s="46">
        <v>81.203000000000003</v>
      </c>
      <c r="H29" s="2">
        <v>80.802999999999997</v>
      </c>
      <c r="I29" s="57">
        <f t="shared" si="1"/>
        <v>-0.40000000000000568</v>
      </c>
      <c r="J29" s="2">
        <v>6.8019999999999996</v>
      </c>
      <c r="K29" s="2">
        <v>6.8019999999999996</v>
      </c>
      <c r="L29" s="46">
        <f t="shared" si="2"/>
        <v>0</v>
      </c>
      <c r="M29" s="2">
        <v>7.8140000000000001</v>
      </c>
      <c r="N29" s="1">
        <v>7.8139999999999983</v>
      </c>
      <c r="O29" s="46">
        <f t="shared" si="3"/>
        <v>0</v>
      </c>
    </row>
    <row r="30" spans="2:15">
      <c r="B30">
        <v>19</v>
      </c>
      <c r="C30" s="45" t="s">
        <v>97</v>
      </c>
      <c r="D30" s="46">
        <v>2.4990000000000001</v>
      </c>
      <c r="E30" s="46">
        <v>2.4409999999999989</v>
      </c>
      <c r="F30" s="57">
        <f t="shared" si="0"/>
        <v>-5.8000000000001162E-2</v>
      </c>
      <c r="G30" s="46">
        <v>113.208</v>
      </c>
      <c r="H30" s="2">
        <v>93.299000000000007</v>
      </c>
      <c r="I30" s="57">
        <f t="shared" si="1"/>
        <v>-19.908999999999992</v>
      </c>
      <c r="J30" s="2">
        <v>0</v>
      </c>
      <c r="K30" s="2">
        <v>7.4849999999999994</v>
      </c>
      <c r="L30" s="52">
        <f t="shared" si="2"/>
        <v>7.4849999999999994</v>
      </c>
      <c r="M30" s="2">
        <v>0</v>
      </c>
      <c r="N30" s="1">
        <v>0</v>
      </c>
      <c r="O30" s="46">
        <f t="shared" si="3"/>
        <v>0</v>
      </c>
    </row>
    <row r="31" spans="2:15">
      <c r="B31">
        <v>18</v>
      </c>
      <c r="C31" s="45" t="s">
        <v>96</v>
      </c>
      <c r="D31" s="46">
        <v>23.093</v>
      </c>
      <c r="E31" s="46">
        <v>22.644000000000002</v>
      </c>
      <c r="F31" s="57">
        <f t="shared" si="0"/>
        <v>-0.44899999999999807</v>
      </c>
      <c r="G31" s="46">
        <v>89.552000000000007</v>
      </c>
      <c r="H31" s="2">
        <v>87.496000000000024</v>
      </c>
      <c r="I31" s="57">
        <f t="shared" si="1"/>
        <v>-2.0559999999999832</v>
      </c>
      <c r="J31" s="2">
        <v>8.9999999999999993E-3</v>
      </c>
      <c r="K31" s="2">
        <v>0</v>
      </c>
      <c r="L31" s="52">
        <f t="shared" si="2"/>
        <v>-8.9999999999999993E-3</v>
      </c>
      <c r="M31" s="2">
        <v>10.523</v>
      </c>
      <c r="N31" s="1">
        <v>10.532200000000001</v>
      </c>
      <c r="O31" s="52">
        <f t="shared" si="3"/>
        <v>9.2000000000016513E-3</v>
      </c>
    </row>
    <row r="32" spans="2:15">
      <c r="B32">
        <v>10</v>
      </c>
      <c r="C32" s="45" t="s">
        <v>88</v>
      </c>
      <c r="D32" s="46">
        <v>22.053999999999998</v>
      </c>
      <c r="E32" s="46">
        <v>22.456999999999994</v>
      </c>
      <c r="F32" s="52">
        <f t="shared" si="0"/>
        <v>0.40299999999999514</v>
      </c>
      <c r="G32" s="46">
        <v>39.880000000000003</v>
      </c>
      <c r="H32" s="2">
        <v>54.314999999999991</v>
      </c>
      <c r="I32" s="52">
        <f t="shared" si="1"/>
        <v>14.434999999999988</v>
      </c>
      <c r="J32" s="2">
        <v>0</v>
      </c>
      <c r="K32" s="2">
        <v>0</v>
      </c>
      <c r="L32" s="46">
        <f t="shared" si="2"/>
        <v>0</v>
      </c>
      <c r="M32" s="2">
        <v>14.188000000000001</v>
      </c>
      <c r="N32" s="1">
        <v>14.2</v>
      </c>
      <c r="O32" s="52">
        <f t="shared" si="3"/>
        <v>1.1999999999998678E-2</v>
      </c>
    </row>
    <row r="33" spans="2:18">
      <c r="B33">
        <v>24</v>
      </c>
      <c r="C33" s="48" t="s">
        <v>102</v>
      </c>
      <c r="D33" s="46">
        <v>10.064</v>
      </c>
      <c r="E33" s="46">
        <v>10.424999999999997</v>
      </c>
      <c r="F33" s="52">
        <f t="shared" si="0"/>
        <v>0.3609999999999971</v>
      </c>
      <c r="G33" s="46">
        <v>23.745999999999999</v>
      </c>
      <c r="H33" s="2">
        <v>24.155999999999999</v>
      </c>
      <c r="I33" s="52">
        <f t="shared" si="1"/>
        <v>0.41000000000000014</v>
      </c>
      <c r="J33" s="2">
        <v>0</v>
      </c>
      <c r="K33" s="2">
        <v>0</v>
      </c>
      <c r="L33" s="46">
        <f t="shared" si="2"/>
        <v>0</v>
      </c>
      <c r="M33" s="2">
        <v>15.724</v>
      </c>
      <c r="N33" s="1">
        <v>15.744999999999997</v>
      </c>
      <c r="O33" s="52">
        <f t="shared" si="3"/>
        <v>2.0999999999997243E-2</v>
      </c>
    </row>
    <row r="34" spans="2:18">
      <c r="B34">
        <v>16</v>
      </c>
      <c r="C34" s="45" t="s">
        <v>94</v>
      </c>
      <c r="D34" s="46">
        <v>5.1879999999999997</v>
      </c>
      <c r="E34" s="46">
        <v>5.8220000000000169</v>
      </c>
      <c r="F34" s="52">
        <f t="shared" si="0"/>
        <v>0.63400000000001722</v>
      </c>
      <c r="G34" s="46">
        <v>93.287999999999997</v>
      </c>
      <c r="H34" s="2">
        <v>94.766000000000034</v>
      </c>
      <c r="I34" s="52">
        <f t="shared" si="1"/>
        <v>1.4780000000000371</v>
      </c>
      <c r="J34" s="2">
        <v>0</v>
      </c>
      <c r="K34" s="2">
        <v>0.12800000000000722</v>
      </c>
      <c r="L34" s="52">
        <f t="shared" si="2"/>
        <v>0.12800000000000722</v>
      </c>
      <c r="M34" s="2">
        <v>152.68299999999999</v>
      </c>
      <c r="N34" s="1">
        <v>152.79699999999994</v>
      </c>
      <c r="O34" s="52">
        <f t="shared" si="3"/>
        <v>0.11399999999994748</v>
      </c>
    </row>
    <row r="35" spans="2:18">
      <c r="B35">
        <v>9</v>
      </c>
      <c r="C35" s="45" t="s">
        <v>87</v>
      </c>
      <c r="D35" s="46">
        <v>16.48</v>
      </c>
      <c r="E35" s="46">
        <v>15.059999999999988</v>
      </c>
      <c r="F35" s="57">
        <f t="shared" si="0"/>
        <v>-1.4200000000000124</v>
      </c>
      <c r="G35" s="46">
        <v>63.765000000000001</v>
      </c>
      <c r="H35" s="2">
        <v>63.586000000000006</v>
      </c>
      <c r="I35" s="57">
        <f t="shared" si="1"/>
        <v>-0.17899999999999494</v>
      </c>
      <c r="J35" s="2">
        <v>22.835999999999999</v>
      </c>
      <c r="K35" s="2">
        <v>17.634</v>
      </c>
      <c r="L35" s="52">
        <f t="shared" si="2"/>
        <v>-5.2019999999999982</v>
      </c>
      <c r="M35" s="2">
        <v>18.381</v>
      </c>
      <c r="N35" s="1">
        <v>18.523</v>
      </c>
      <c r="O35" s="52">
        <f t="shared" si="3"/>
        <v>0.14199999999999946</v>
      </c>
    </row>
    <row r="36" spans="2:18">
      <c r="B36">
        <v>7</v>
      </c>
      <c r="C36" s="45" t="s">
        <v>85</v>
      </c>
      <c r="D36" s="46">
        <v>100.937</v>
      </c>
      <c r="E36" s="46">
        <v>25.206999999999994</v>
      </c>
      <c r="F36" s="57">
        <f t="shared" si="0"/>
        <v>-75.73</v>
      </c>
      <c r="G36" s="46">
        <v>126.98099999999999</v>
      </c>
      <c r="H36" s="2">
        <v>44.609999999999985</v>
      </c>
      <c r="I36" s="57">
        <f t="shared" si="1"/>
        <v>-82.371000000000009</v>
      </c>
      <c r="J36" s="2">
        <v>18.071000000000002</v>
      </c>
      <c r="K36" s="2">
        <v>17.844000000000001</v>
      </c>
      <c r="L36" s="52">
        <f t="shared" si="2"/>
        <v>-0.22700000000000031</v>
      </c>
      <c r="M36" s="2">
        <v>18.556999999999999</v>
      </c>
      <c r="N36" s="1">
        <v>19.060000000000002</v>
      </c>
      <c r="O36" s="52">
        <f t="shared" si="3"/>
        <v>0.50300000000000367</v>
      </c>
    </row>
    <row r="37" spans="2:18">
      <c r="B37">
        <v>2</v>
      </c>
      <c r="C37" s="45" t="s">
        <v>80</v>
      </c>
      <c r="D37" s="46">
        <v>1.2649999999999999</v>
      </c>
      <c r="E37" s="46">
        <v>0.58400000000000318</v>
      </c>
      <c r="F37" s="57">
        <f t="shared" si="0"/>
        <v>-0.68099999999999672</v>
      </c>
      <c r="G37" s="46">
        <v>56.021000000000001</v>
      </c>
      <c r="H37" s="2">
        <v>57.669999999999973</v>
      </c>
      <c r="I37" s="52">
        <f t="shared" si="1"/>
        <v>1.6489999999999725</v>
      </c>
      <c r="J37" s="2">
        <v>-2.9590000000000001</v>
      </c>
      <c r="K37" s="2">
        <v>0.50400000000000134</v>
      </c>
      <c r="L37" s="52">
        <f t="shared" si="2"/>
        <v>3.4630000000000014</v>
      </c>
      <c r="M37" s="2">
        <v>40.317</v>
      </c>
      <c r="N37" s="1">
        <v>42.583999999999996</v>
      </c>
      <c r="O37" s="52">
        <f t="shared" si="3"/>
        <v>2.2669999999999959</v>
      </c>
    </row>
    <row r="38" spans="2:18">
      <c r="B38">
        <v>5</v>
      </c>
      <c r="C38" s="45" t="s">
        <v>83</v>
      </c>
      <c r="D38" s="46">
        <v>11.840999999999999</v>
      </c>
      <c r="E38" s="46">
        <v>12.230999999999995</v>
      </c>
      <c r="F38" s="52">
        <f t="shared" si="0"/>
        <v>0.38999999999999524</v>
      </c>
      <c r="G38" s="46">
        <v>42.72</v>
      </c>
      <c r="H38" s="2">
        <v>39.47399999999999</v>
      </c>
      <c r="I38" s="57">
        <f t="shared" si="1"/>
        <v>-3.2460000000000093</v>
      </c>
      <c r="J38" s="2">
        <v>54.252000000000002</v>
      </c>
      <c r="K38" s="2">
        <v>54.308999999999997</v>
      </c>
      <c r="L38" s="52">
        <f t="shared" si="2"/>
        <v>5.6999999999995055E-2</v>
      </c>
      <c r="M38" s="2">
        <v>-3.8</v>
      </c>
      <c r="N38" s="1">
        <v>2.6640000000000015</v>
      </c>
      <c r="O38" s="52">
        <f t="shared" si="3"/>
        <v>6.4640000000000013</v>
      </c>
    </row>
    <row r="39" spans="2:18">
      <c r="B39">
        <v>29</v>
      </c>
      <c r="C39" s="45" t="s">
        <v>107</v>
      </c>
      <c r="D39" s="46">
        <v>8.1449999999999996</v>
      </c>
      <c r="E39" s="46">
        <v>2.3050000000000002</v>
      </c>
      <c r="F39" s="57">
        <f t="shared" si="0"/>
        <v>-5.84</v>
      </c>
      <c r="G39" s="46">
        <v>-1.048</v>
      </c>
      <c r="H39" s="2">
        <v>1.62</v>
      </c>
      <c r="I39" s="52">
        <f t="shared" si="1"/>
        <v>2.6680000000000001</v>
      </c>
      <c r="J39" s="2">
        <v>4.4649999999999999</v>
      </c>
      <c r="K39" s="2">
        <v>3.6950000000000003</v>
      </c>
      <c r="L39" s="52">
        <f t="shared" si="2"/>
        <v>-0.76999999999999957</v>
      </c>
      <c r="M39" s="2">
        <v>-4.07</v>
      </c>
      <c r="N39" s="1">
        <v>4.3149999999999995</v>
      </c>
      <c r="O39" s="52">
        <f t="shared" si="3"/>
        <v>8.3849999999999998</v>
      </c>
    </row>
    <row r="40" spans="2:18">
      <c r="B40">
        <v>23</v>
      </c>
      <c r="C40" s="45" t="s">
        <v>101</v>
      </c>
      <c r="D40" s="46">
        <v>2.69</v>
      </c>
      <c r="E40" s="46">
        <v>6.3249999999999993</v>
      </c>
      <c r="F40" s="52">
        <f t="shared" si="0"/>
        <v>3.6349999999999993</v>
      </c>
      <c r="G40" s="46">
        <v>82.185000000000002</v>
      </c>
      <c r="H40" s="2">
        <v>79.795000000000016</v>
      </c>
      <c r="I40" s="57">
        <f t="shared" si="1"/>
        <v>-2.3899999999999864</v>
      </c>
      <c r="J40" s="2">
        <v>49.67</v>
      </c>
      <c r="K40" s="2">
        <v>49.175000000000004</v>
      </c>
      <c r="L40" s="52">
        <f t="shared" si="2"/>
        <v>-0.49499999999999744</v>
      </c>
      <c r="M40" s="2">
        <v>3.15</v>
      </c>
      <c r="N40" s="1">
        <v>22.38</v>
      </c>
      <c r="O40" s="52">
        <f t="shared" si="3"/>
        <v>19.23</v>
      </c>
    </row>
    <row r="41" spans="2:18">
      <c r="B41">
        <v>4</v>
      </c>
      <c r="C41" s="45" t="s">
        <v>82</v>
      </c>
      <c r="D41" s="46">
        <v>49.850999999999999</v>
      </c>
      <c r="E41" s="46">
        <v>49.601000000000006</v>
      </c>
      <c r="F41" s="57">
        <f t="shared" si="0"/>
        <v>-0.24999999999999289</v>
      </c>
      <c r="G41" s="46">
        <v>114.892</v>
      </c>
      <c r="H41" s="2">
        <v>65.789999999999992</v>
      </c>
      <c r="I41" s="57">
        <f t="shared" si="1"/>
        <v>-49.102000000000004</v>
      </c>
      <c r="J41" s="2">
        <v>0</v>
      </c>
      <c r="K41" s="2">
        <v>0</v>
      </c>
      <c r="L41" s="46">
        <f t="shared" si="2"/>
        <v>0</v>
      </c>
      <c r="M41" s="2">
        <v>-6.8810000000000002</v>
      </c>
      <c r="N41" s="1">
        <v>16.7</v>
      </c>
      <c r="O41" s="52">
        <f t="shared" si="3"/>
        <v>23.581</v>
      </c>
    </row>
    <row r="44" spans="2:18">
      <c r="C44" s="58">
        <v>46156</v>
      </c>
    </row>
    <row r="45" spans="2:18">
      <c r="C45" s="32" t="s">
        <v>68</v>
      </c>
      <c r="D45" s="33">
        <v>161</v>
      </c>
      <c r="E45" s="33"/>
      <c r="F45" s="33"/>
      <c r="G45" s="33">
        <v>2054</v>
      </c>
      <c r="H45" s="34"/>
      <c r="I45" s="34"/>
      <c r="J45" s="34">
        <v>5550</v>
      </c>
      <c r="K45" s="34"/>
      <c r="L45" s="34"/>
      <c r="M45" s="34">
        <v>8899</v>
      </c>
      <c r="N45" s="1"/>
      <c r="O45" s="1"/>
      <c r="P45" s="34">
        <v>5550</v>
      </c>
      <c r="Q45" s="1"/>
      <c r="R45" s="1"/>
    </row>
    <row r="46" spans="2:18" s="36" customFormat="1">
      <c r="C46" s="32" t="s">
        <v>69</v>
      </c>
      <c r="D46" s="35">
        <v>100001</v>
      </c>
      <c r="E46" s="35"/>
      <c r="F46" s="35"/>
      <c r="G46" s="33">
        <v>100004</v>
      </c>
      <c r="H46" s="34"/>
      <c r="I46" s="34"/>
      <c r="J46" s="34">
        <v>100030</v>
      </c>
      <c r="K46" s="34"/>
      <c r="L46" s="34"/>
      <c r="M46" s="34">
        <v>100153</v>
      </c>
      <c r="N46" s="34"/>
      <c r="O46" s="34"/>
      <c r="P46" s="34">
        <v>100030</v>
      </c>
      <c r="Q46" s="34"/>
      <c r="R46" s="34"/>
    </row>
    <row r="47" spans="2:18">
      <c r="C47" s="37" t="s">
        <v>70</v>
      </c>
      <c r="D47" s="33" t="s">
        <v>71</v>
      </c>
      <c r="E47" s="33"/>
      <c r="F47" s="33"/>
      <c r="G47" s="33" t="s">
        <v>71</v>
      </c>
      <c r="H47" s="38"/>
      <c r="I47" s="38"/>
      <c r="J47" s="38" t="s">
        <v>71</v>
      </c>
      <c r="K47" s="38"/>
      <c r="L47" s="38"/>
      <c r="M47" s="38" t="s">
        <v>71</v>
      </c>
      <c r="N47" s="1"/>
      <c r="O47" s="1"/>
      <c r="P47" s="38" t="s">
        <v>71</v>
      </c>
      <c r="Q47" s="1"/>
      <c r="R47" s="1"/>
    </row>
    <row r="48" spans="2:18">
      <c r="C48" s="39" t="s">
        <v>72</v>
      </c>
      <c r="D48" s="126" t="s">
        <v>73</v>
      </c>
      <c r="E48" s="126"/>
      <c r="F48" s="126"/>
      <c r="G48" s="122" t="s">
        <v>74</v>
      </c>
      <c r="H48" s="122"/>
      <c r="I48" s="122"/>
      <c r="J48" s="127" t="s">
        <v>75</v>
      </c>
      <c r="K48" s="127"/>
      <c r="L48" s="127"/>
      <c r="M48" s="120" t="s">
        <v>76</v>
      </c>
      <c r="N48" s="120"/>
      <c r="O48" s="120"/>
      <c r="P48" s="128" t="s">
        <v>115</v>
      </c>
      <c r="Q48" s="128"/>
      <c r="R48" s="128"/>
    </row>
    <row r="49" spans="2:18" ht="46.8" customHeight="1">
      <c r="B49">
        <v>13</v>
      </c>
      <c r="C49" s="40" t="s">
        <v>61</v>
      </c>
      <c r="D49" s="41" t="s">
        <v>116</v>
      </c>
      <c r="E49" s="41" t="s">
        <v>77</v>
      </c>
      <c r="F49" s="41" t="s">
        <v>78</v>
      </c>
      <c r="G49" s="42" t="s">
        <v>116</v>
      </c>
      <c r="H49" s="42" t="s">
        <v>77</v>
      </c>
      <c r="I49" s="42" t="s">
        <v>78</v>
      </c>
      <c r="J49" s="43" t="s">
        <v>116</v>
      </c>
      <c r="K49" s="43" t="s">
        <v>77</v>
      </c>
      <c r="L49" s="43" t="s">
        <v>78</v>
      </c>
      <c r="M49" s="44" t="s">
        <v>116</v>
      </c>
      <c r="N49" s="44" t="s">
        <v>77</v>
      </c>
      <c r="O49" s="44" t="s">
        <v>78</v>
      </c>
      <c r="P49" s="66" t="s">
        <v>116</v>
      </c>
      <c r="Q49" s="66" t="s">
        <v>77</v>
      </c>
      <c r="R49" s="66" t="s">
        <v>78</v>
      </c>
    </row>
    <row r="50" spans="2:18">
      <c r="B50">
        <v>1</v>
      </c>
      <c r="C50" s="59" t="s">
        <v>79</v>
      </c>
      <c r="D50" s="60">
        <v>24.548999999999999</v>
      </c>
      <c r="E50" s="60">
        <v>24.549999999999997</v>
      </c>
      <c r="F50" s="60">
        <f t="shared" ref="F50:F83" si="4">E50-D50</f>
        <v>9.9999999999766942E-4</v>
      </c>
      <c r="G50" s="60">
        <v>79.688999999999993</v>
      </c>
      <c r="H50" s="61">
        <v>79.69</v>
      </c>
      <c r="I50" s="60">
        <f t="shared" ref="I50:I83" si="5">H50-G50</f>
        <v>1.0000000000047748E-3</v>
      </c>
      <c r="J50" s="61">
        <v>0</v>
      </c>
      <c r="K50" s="61">
        <v>0</v>
      </c>
      <c r="L50" s="60">
        <f t="shared" ref="L50:L83" si="6">K50-J50</f>
        <v>0</v>
      </c>
      <c r="M50" s="61">
        <v>31.966999999999999</v>
      </c>
      <c r="N50" s="67">
        <v>31.97</v>
      </c>
      <c r="O50" s="60">
        <f t="shared" ref="O50:O83" si="7">N50-M50</f>
        <v>3.0000000000001137E-3</v>
      </c>
      <c r="P50" s="1">
        <v>0</v>
      </c>
      <c r="Q50" s="1"/>
      <c r="R50" s="1"/>
    </row>
    <row r="51" spans="2:18">
      <c r="B51">
        <v>2</v>
      </c>
      <c r="C51" s="59" t="s">
        <v>80</v>
      </c>
      <c r="D51" s="60">
        <v>20.416</v>
      </c>
      <c r="E51" s="60">
        <v>19.734999999999999</v>
      </c>
      <c r="F51" s="60">
        <f t="shared" si="4"/>
        <v>-0.68100000000000094</v>
      </c>
      <c r="G51" s="60">
        <v>38.475999999999999</v>
      </c>
      <c r="H51" s="61">
        <v>40.125000000000057</v>
      </c>
      <c r="I51" s="60">
        <f t="shared" si="5"/>
        <v>1.6490000000000578</v>
      </c>
      <c r="J51" s="61">
        <v>13.462999999999999</v>
      </c>
      <c r="K51" s="61">
        <v>16.925999999999998</v>
      </c>
      <c r="L51" s="60">
        <f t="shared" si="6"/>
        <v>3.4629999999999992</v>
      </c>
      <c r="M51" s="61">
        <v>18.219000000000001</v>
      </c>
      <c r="N51" s="67">
        <v>20.486000000000001</v>
      </c>
      <c r="O51" s="60">
        <f t="shared" si="7"/>
        <v>2.2669999999999995</v>
      </c>
      <c r="P51" s="1">
        <v>0</v>
      </c>
      <c r="Q51" s="1"/>
      <c r="R51" s="1"/>
    </row>
    <row r="52" spans="2:18">
      <c r="B52">
        <v>3</v>
      </c>
      <c r="C52" s="59" t="s">
        <v>81</v>
      </c>
      <c r="D52" s="60">
        <v>18.216000000000001</v>
      </c>
      <c r="E52" s="60">
        <v>18.21599999999998</v>
      </c>
      <c r="F52" s="60">
        <f t="shared" si="4"/>
        <v>0</v>
      </c>
      <c r="G52" s="60">
        <v>39.863999999999997</v>
      </c>
      <c r="H52" s="61">
        <v>39.864000000000026</v>
      </c>
      <c r="I52" s="60">
        <f t="shared" si="5"/>
        <v>0</v>
      </c>
      <c r="J52" s="61">
        <v>5.415</v>
      </c>
      <c r="K52" s="61">
        <v>5.4149999999999991</v>
      </c>
      <c r="L52" s="60">
        <f t="shared" si="6"/>
        <v>0</v>
      </c>
      <c r="M52" s="61">
        <v>11.646000000000001</v>
      </c>
      <c r="N52" s="67">
        <v>11.646000000000001</v>
      </c>
      <c r="O52" s="60">
        <f t="shared" si="7"/>
        <v>0</v>
      </c>
      <c r="P52" s="1">
        <v>0</v>
      </c>
      <c r="Q52" s="1"/>
      <c r="R52" s="1"/>
    </row>
    <row r="53" spans="2:18">
      <c r="B53">
        <v>4</v>
      </c>
      <c r="C53" s="59" t="s">
        <v>82</v>
      </c>
      <c r="D53" s="60">
        <v>16.396000000000001</v>
      </c>
      <c r="E53" s="60">
        <v>16.143999999999991</v>
      </c>
      <c r="F53" s="60">
        <f t="shared" si="4"/>
        <v>-0.25200000000000955</v>
      </c>
      <c r="G53" s="60">
        <v>144.12</v>
      </c>
      <c r="H53" s="61">
        <v>75.013000000000005</v>
      </c>
      <c r="I53" s="60">
        <f t="shared" si="5"/>
        <v>-69.106999999999999</v>
      </c>
      <c r="J53" s="61">
        <v>0</v>
      </c>
      <c r="K53" s="61">
        <v>0</v>
      </c>
      <c r="L53" s="60">
        <f t="shared" si="6"/>
        <v>0</v>
      </c>
      <c r="M53" s="61">
        <v>-18.542999999999999</v>
      </c>
      <c r="N53" s="67">
        <v>24.83</v>
      </c>
      <c r="O53" s="60">
        <f t="shared" si="7"/>
        <v>43.372999999999998</v>
      </c>
      <c r="P53" s="1">
        <v>0</v>
      </c>
      <c r="Q53" s="1"/>
      <c r="R53" s="1"/>
    </row>
    <row r="54" spans="2:18">
      <c r="B54">
        <v>5</v>
      </c>
      <c r="C54" s="59" t="s">
        <v>83</v>
      </c>
      <c r="D54" s="60">
        <v>18.568000000000001</v>
      </c>
      <c r="E54" s="60">
        <v>19.013999999999989</v>
      </c>
      <c r="F54" s="60">
        <f t="shared" si="4"/>
        <v>0.4459999999999873</v>
      </c>
      <c r="G54" s="60">
        <v>36.692999999999998</v>
      </c>
      <c r="H54" s="61">
        <v>38.322999999999979</v>
      </c>
      <c r="I54" s="60">
        <f t="shared" si="5"/>
        <v>1.6299999999999812</v>
      </c>
      <c r="J54" s="61">
        <v>51.851999999999997</v>
      </c>
      <c r="K54" s="61">
        <v>52.282000000000004</v>
      </c>
      <c r="L54" s="60">
        <f t="shared" si="6"/>
        <v>0.43000000000000682</v>
      </c>
      <c r="M54" s="61">
        <v>0</v>
      </c>
      <c r="N54" s="67">
        <v>3.7999999999999972</v>
      </c>
      <c r="O54" s="60">
        <f t="shared" si="7"/>
        <v>3.7999999999999972</v>
      </c>
      <c r="P54" s="1">
        <v>0</v>
      </c>
      <c r="Q54" s="1"/>
      <c r="R54" s="1"/>
    </row>
    <row r="55" spans="2:18">
      <c r="B55">
        <v>6</v>
      </c>
      <c r="C55" s="59" t="s">
        <v>84</v>
      </c>
      <c r="D55" s="60">
        <v>45.28</v>
      </c>
      <c r="E55" s="60">
        <v>45.279999999999987</v>
      </c>
      <c r="F55" s="60">
        <f t="shared" si="4"/>
        <v>0</v>
      </c>
      <c r="G55" s="60">
        <v>84.671999999999997</v>
      </c>
      <c r="H55" s="61">
        <v>84.658999999999992</v>
      </c>
      <c r="I55" s="60">
        <f t="shared" si="5"/>
        <v>-1.300000000000523E-2</v>
      </c>
      <c r="J55" s="61">
        <v>12.775</v>
      </c>
      <c r="K55" s="61">
        <v>12.769999999999996</v>
      </c>
      <c r="L55" s="60">
        <f t="shared" si="6"/>
        <v>-5.0000000000043343E-3</v>
      </c>
      <c r="M55" s="61">
        <v>15.984999999999999</v>
      </c>
      <c r="N55" s="67">
        <v>15.93</v>
      </c>
      <c r="O55" s="60">
        <f t="shared" si="7"/>
        <v>-5.4999999999999716E-2</v>
      </c>
      <c r="P55" s="1">
        <v>0</v>
      </c>
      <c r="Q55" s="1"/>
      <c r="R55" s="1"/>
    </row>
    <row r="56" spans="2:18">
      <c r="B56">
        <v>7</v>
      </c>
      <c r="C56" s="59" t="s">
        <v>85</v>
      </c>
      <c r="D56" s="60">
        <v>87.197999999999993</v>
      </c>
      <c r="E56" s="60">
        <v>12.218000000000004</v>
      </c>
      <c r="F56" s="60">
        <f t="shared" si="4"/>
        <v>-74.97999999999999</v>
      </c>
      <c r="G56" s="60">
        <v>175.00700000000001</v>
      </c>
      <c r="H56" s="61">
        <v>114.97999999999999</v>
      </c>
      <c r="I56" s="60">
        <f t="shared" si="5"/>
        <v>-60.027000000000015</v>
      </c>
      <c r="J56" s="61">
        <v>9.2110000000000003</v>
      </c>
      <c r="K56" s="61">
        <v>8.9840000000000018</v>
      </c>
      <c r="L56" s="60">
        <f t="shared" si="6"/>
        <v>-0.22699999999999854</v>
      </c>
      <c r="M56" s="61">
        <v>35.027000000000001</v>
      </c>
      <c r="N56" s="67">
        <v>35.049999999999997</v>
      </c>
      <c r="O56" s="60">
        <f t="shared" si="7"/>
        <v>2.2999999999996135E-2</v>
      </c>
      <c r="P56" s="1">
        <v>0</v>
      </c>
      <c r="Q56" s="1"/>
      <c r="R56" s="1"/>
    </row>
    <row r="57" spans="2:18">
      <c r="B57">
        <v>8</v>
      </c>
      <c r="C57" s="59" t="s">
        <v>86</v>
      </c>
      <c r="D57" s="60">
        <v>18.492000000000001</v>
      </c>
      <c r="E57" s="60">
        <v>10.934060000000001</v>
      </c>
      <c r="F57" s="60">
        <f t="shared" si="4"/>
        <v>-7.5579400000000003</v>
      </c>
      <c r="G57" s="60">
        <v>22.335999999999999</v>
      </c>
      <c r="H57" s="61">
        <v>22.338000000000001</v>
      </c>
      <c r="I57" s="60">
        <f t="shared" si="5"/>
        <v>2.0000000000024443E-3</v>
      </c>
      <c r="J57" s="61">
        <v>0</v>
      </c>
      <c r="K57" s="61">
        <v>0</v>
      </c>
      <c r="L57" s="60">
        <f t="shared" si="6"/>
        <v>0</v>
      </c>
      <c r="M57" s="61">
        <v>37.597000000000001</v>
      </c>
      <c r="N57" s="67">
        <v>31.102730000000001</v>
      </c>
      <c r="O57" s="60">
        <f t="shared" si="7"/>
        <v>-6.4942700000000002</v>
      </c>
      <c r="P57" s="1">
        <v>0</v>
      </c>
      <c r="Q57" s="1"/>
      <c r="R57" s="1"/>
    </row>
    <row r="58" spans="2:18">
      <c r="B58">
        <v>9</v>
      </c>
      <c r="C58" s="59" t="s">
        <v>87</v>
      </c>
      <c r="D58" s="60">
        <v>16.699000000000002</v>
      </c>
      <c r="E58" s="60">
        <v>15.278999999999989</v>
      </c>
      <c r="F58" s="60">
        <f t="shared" si="4"/>
        <v>-1.4200000000000124</v>
      </c>
      <c r="G58" s="60">
        <v>30.28</v>
      </c>
      <c r="H58" s="61">
        <v>30.10100000000002</v>
      </c>
      <c r="I58" s="60">
        <f t="shared" si="5"/>
        <v>-0.17899999999998073</v>
      </c>
      <c r="J58" s="61">
        <v>12.708</v>
      </c>
      <c r="K58" s="61">
        <v>7.506000000000002</v>
      </c>
      <c r="L58" s="60">
        <f t="shared" si="6"/>
        <v>-5.2019999999999982</v>
      </c>
      <c r="M58" s="61">
        <v>10.973000000000001</v>
      </c>
      <c r="N58" s="67">
        <v>11.115000000000002</v>
      </c>
      <c r="O58" s="60">
        <f t="shared" si="7"/>
        <v>0.14200000000000124</v>
      </c>
      <c r="P58" s="1">
        <v>0</v>
      </c>
      <c r="Q58" s="1"/>
      <c r="R58" s="1"/>
    </row>
    <row r="59" spans="2:18">
      <c r="B59">
        <v>10</v>
      </c>
      <c r="C59" s="59" t="s">
        <v>88</v>
      </c>
      <c r="D59" s="60">
        <v>36.103000000000002</v>
      </c>
      <c r="E59" s="60">
        <v>36.506</v>
      </c>
      <c r="F59" s="60">
        <f t="shared" si="4"/>
        <v>0.40299999999999869</v>
      </c>
      <c r="G59" s="60">
        <v>40.51</v>
      </c>
      <c r="H59" s="61">
        <v>73.61699999999999</v>
      </c>
      <c r="I59" s="60">
        <f t="shared" si="5"/>
        <v>33.106999999999992</v>
      </c>
      <c r="J59" s="61">
        <v>0</v>
      </c>
      <c r="K59" s="61">
        <v>0</v>
      </c>
      <c r="L59" s="60">
        <f t="shared" si="6"/>
        <v>0</v>
      </c>
      <c r="M59" s="61">
        <v>12.984</v>
      </c>
      <c r="N59" s="67">
        <v>12.995999999999999</v>
      </c>
      <c r="O59" s="60">
        <f t="shared" si="7"/>
        <v>1.1999999999998678E-2</v>
      </c>
      <c r="P59" s="1">
        <v>0</v>
      </c>
      <c r="Q59" s="1"/>
      <c r="R59" s="1"/>
    </row>
    <row r="60" spans="2:18">
      <c r="B60">
        <v>11</v>
      </c>
      <c r="C60" s="59" t="s">
        <v>89</v>
      </c>
      <c r="D60" s="60">
        <v>54.322000000000003</v>
      </c>
      <c r="E60" s="60">
        <v>54.322000000000003</v>
      </c>
      <c r="F60" s="60">
        <f t="shared" si="4"/>
        <v>0</v>
      </c>
      <c r="G60" s="60">
        <v>122.289</v>
      </c>
      <c r="H60" s="61">
        <v>122.28899999999999</v>
      </c>
      <c r="I60" s="60">
        <f t="shared" si="5"/>
        <v>0</v>
      </c>
      <c r="J60" s="61">
        <v>0</v>
      </c>
      <c r="K60" s="61">
        <v>0</v>
      </c>
      <c r="L60" s="60">
        <f t="shared" si="6"/>
        <v>0</v>
      </c>
      <c r="M60" s="61">
        <v>24.187999999999999</v>
      </c>
      <c r="N60" s="67">
        <v>24.187999999999999</v>
      </c>
      <c r="O60" s="60">
        <f t="shared" si="7"/>
        <v>0</v>
      </c>
      <c r="P60" s="1">
        <v>0</v>
      </c>
      <c r="Q60" s="1"/>
      <c r="R60" s="1"/>
    </row>
    <row r="61" spans="2:18">
      <c r="B61">
        <v>12</v>
      </c>
      <c r="C61" s="59" t="s">
        <v>90</v>
      </c>
      <c r="D61" s="60">
        <v>26.902000000000001</v>
      </c>
      <c r="E61" s="60">
        <v>26.901999999999987</v>
      </c>
      <c r="F61" s="60">
        <f t="shared" si="4"/>
        <v>0</v>
      </c>
      <c r="G61" s="60">
        <v>75.174999999999997</v>
      </c>
      <c r="H61" s="61">
        <v>75.174999999999997</v>
      </c>
      <c r="I61" s="60">
        <f t="shared" si="5"/>
        <v>0</v>
      </c>
      <c r="J61" s="61">
        <v>19.271999999999998</v>
      </c>
      <c r="K61" s="61">
        <v>19.272000000000006</v>
      </c>
      <c r="L61" s="60">
        <f t="shared" si="6"/>
        <v>0</v>
      </c>
      <c r="M61" s="61">
        <v>27.44</v>
      </c>
      <c r="N61" s="67">
        <v>27.262</v>
      </c>
      <c r="O61" s="60">
        <f t="shared" si="7"/>
        <v>-0.17800000000000082</v>
      </c>
      <c r="P61" s="1">
        <v>0</v>
      </c>
      <c r="Q61" s="1"/>
      <c r="R61" s="1"/>
    </row>
    <row r="62" spans="2:18">
      <c r="B62">
        <v>13</v>
      </c>
      <c r="C62" s="59" t="s">
        <v>91</v>
      </c>
      <c r="D62" s="60">
        <v>-21.34</v>
      </c>
      <c r="E62" s="60">
        <v>28.459999999999994</v>
      </c>
      <c r="F62" s="60">
        <f t="shared" si="4"/>
        <v>49.8</v>
      </c>
      <c r="G62" s="60">
        <v>4.9240000000000004</v>
      </c>
      <c r="H62" s="61">
        <v>1.8330000000000011</v>
      </c>
      <c r="I62" s="60">
        <f t="shared" si="5"/>
        <v>-3.0909999999999993</v>
      </c>
      <c r="J62" s="61">
        <v>20.738</v>
      </c>
      <c r="K62" s="61">
        <v>20.738</v>
      </c>
      <c r="L62" s="60">
        <f t="shared" si="6"/>
        <v>0</v>
      </c>
      <c r="M62" s="61">
        <v>43.345999999999997</v>
      </c>
      <c r="N62" s="67">
        <v>43.345999999999997</v>
      </c>
      <c r="O62" s="60">
        <f t="shared" si="7"/>
        <v>0</v>
      </c>
      <c r="P62" s="1">
        <v>-22.951000000000001</v>
      </c>
      <c r="Q62" s="1"/>
      <c r="R62" s="1"/>
    </row>
    <row r="63" spans="2:18">
      <c r="B63">
        <v>14</v>
      </c>
      <c r="C63" s="59" t="s">
        <v>92</v>
      </c>
      <c r="D63" s="60">
        <v>15.183</v>
      </c>
      <c r="E63" s="60">
        <v>14.491900000000001</v>
      </c>
      <c r="F63" s="60">
        <f t="shared" si="4"/>
        <v>-0.69109999999999872</v>
      </c>
      <c r="G63" s="60">
        <v>136.947</v>
      </c>
      <c r="H63" s="61">
        <v>136.952</v>
      </c>
      <c r="I63" s="60">
        <f t="shared" si="5"/>
        <v>4.9999999999954525E-3</v>
      </c>
      <c r="J63" s="61">
        <v>0</v>
      </c>
      <c r="K63" s="61">
        <v>0</v>
      </c>
      <c r="L63" s="60">
        <f t="shared" si="6"/>
        <v>0</v>
      </c>
      <c r="M63" s="61">
        <v>74.52</v>
      </c>
      <c r="N63" s="67">
        <v>74.516000000000005</v>
      </c>
      <c r="O63" s="60">
        <f t="shared" si="7"/>
        <v>-3.9999999999906777E-3</v>
      </c>
      <c r="P63" s="1">
        <v>0</v>
      </c>
      <c r="Q63" s="1"/>
      <c r="R63" s="1"/>
    </row>
    <row r="64" spans="2:18">
      <c r="B64">
        <v>15</v>
      </c>
      <c r="C64" s="59" t="s">
        <v>93</v>
      </c>
      <c r="D64" s="60">
        <v>24.404</v>
      </c>
      <c r="E64" s="60">
        <v>24.404</v>
      </c>
      <c r="F64" s="60">
        <f t="shared" si="4"/>
        <v>0</v>
      </c>
      <c r="G64" s="60">
        <v>15.826000000000001</v>
      </c>
      <c r="H64" s="61">
        <v>15.826000000000001</v>
      </c>
      <c r="I64" s="60">
        <f t="shared" si="5"/>
        <v>0</v>
      </c>
      <c r="J64" s="61">
        <v>0</v>
      </c>
      <c r="K64" s="61">
        <v>0</v>
      </c>
      <c r="L64" s="60">
        <f t="shared" si="6"/>
        <v>0</v>
      </c>
      <c r="M64" s="61">
        <v>35.994</v>
      </c>
      <c r="N64" s="67">
        <v>35.994</v>
      </c>
      <c r="O64" s="60">
        <f t="shared" si="7"/>
        <v>0</v>
      </c>
      <c r="P64" s="1">
        <v>0</v>
      </c>
      <c r="Q64" s="1"/>
      <c r="R64" s="1"/>
    </row>
    <row r="65" spans="2:18">
      <c r="B65">
        <v>16</v>
      </c>
      <c r="C65" s="59" t="s">
        <v>94</v>
      </c>
      <c r="D65" s="60">
        <v>-3.294</v>
      </c>
      <c r="E65" s="60">
        <v>20.955999999999989</v>
      </c>
      <c r="F65" s="60">
        <f t="shared" si="4"/>
        <v>24.249999999999989</v>
      </c>
      <c r="G65" s="60">
        <v>150.28800000000001</v>
      </c>
      <c r="H65" s="61">
        <v>48.501000000000019</v>
      </c>
      <c r="I65" s="60">
        <f t="shared" si="5"/>
        <v>-101.78699999999999</v>
      </c>
      <c r="J65" s="61">
        <v>-21.562000000000001</v>
      </c>
      <c r="K65" s="61">
        <v>11.328000000000003</v>
      </c>
      <c r="L65" s="60">
        <f t="shared" si="6"/>
        <v>32.89</v>
      </c>
      <c r="M65" s="61">
        <v>144.27099999999999</v>
      </c>
      <c r="N65" s="67">
        <v>144.27099999999999</v>
      </c>
      <c r="O65" s="60">
        <f t="shared" si="7"/>
        <v>0</v>
      </c>
      <c r="P65" s="1">
        <v>-82.027000000000001</v>
      </c>
      <c r="Q65" s="1"/>
      <c r="R65" s="1"/>
    </row>
    <row r="66" spans="2:18">
      <c r="B66">
        <v>17</v>
      </c>
      <c r="C66" s="59" t="s">
        <v>95</v>
      </c>
      <c r="D66" s="60">
        <v>26.085000000000001</v>
      </c>
      <c r="E66" s="60">
        <v>26.085000000000001</v>
      </c>
      <c r="F66" s="60">
        <f t="shared" si="4"/>
        <v>0</v>
      </c>
      <c r="G66" s="60">
        <v>50.97</v>
      </c>
      <c r="H66" s="61">
        <v>50.97</v>
      </c>
      <c r="I66" s="60">
        <f t="shared" si="5"/>
        <v>0</v>
      </c>
      <c r="J66" s="61">
        <v>57.74</v>
      </c>
      <c r="K66" s="61">
        <v>57.800000000000004</v>
      </c>
      <c r="L66" s="60">
        <f t="shared" si="6"/>
        <v>6.0000000000002274E-2</v>
      </c>
      <c r="M66" s="61">
        <v>24.585000000000001</v>
      </c>
      <c r="N66" s="67">
        <v>24.585000000000001</v>
      </c>
      <c r="O66" s="60">
        <f t="shared" si="7"/>
        <v>0</v>
      </c>
      <c r="P66" s="1">
        <v>0</v>
      </c>
      <c r="Q66" s="1"/>
      <c r="R66" s="1"/>
    </row>
    <row r="67" spans="2:18">
      <c r="B67">
        <v>18</v>
      </c>
      <c r="C67" s="59" t="s">
        <v>96</v>
      </c>
      <c r="D67" s="60">
        <v>41.320999999999998</v>
      </c>
      <c r="E67" s="60">
        <v>40.872199999999999</v>
      </c>
      <c r="F67" s="60">
        <f t="shared" si="4"/>
        <v>-0.44879999999999853</v>
      </c>
      <c r="G67" s="60">
        <v>23.353000000000002</v>
      </c>
      <c r="H67" s="61">
        <v>21.297200000000004</v>
      </c>
      <c r="I67" s="60">
        <f t="shared" si="5"/>
        <v>-2.0557999999999979</v>
      </c>
      <c r="J67" s="61">
        <v>-9.9410000000000007</v>
      </c>
      <c r="K67" s="61">
        <v>12.810000000000002</v>
      </c>
      <c r="L67" s="60">
        <f t="shared" si="6"/>
        <v>22.751000000000005</v>
      </c>
      <c r="M67" s="61">
        <v>4.7539999999999996</v>
      </c>
      <c r="N67" s="67">
        <v>4.7629999999999999</v>
      </c>
      <c r="O67" s="60">
        <f t="shared" si="7"/>
        <v>9.0000000000003411E-3</v>
      </c>
      <c r="P67" s="1">
        <v>0</v>
      </c>
      <c r="Q67" s="1"/>
      <c r="R67" s="1"/>
    </row>
    <row r="68" spans="2:18">
      <c r="B68">
        <v>19</v>
      </c>
      <c r="C68" s="59" t="s">
        <v>97</v>
      </c>
      <c r="D68" s="60">
        <v>26.593</v>
      </c>
      <c r="E68" s="60">
        <v>26.535</v>
      </c>
      <c r="F68" s="60">
        <f t="shared" si="4"/>
        <v>-5.7999999999999829E-2</v>
      </c>
      <c r="G68" s="60">
        <v>133.964</v>
      </c>
      <c r="H68" s="61">
        <v>118.435</v>
      </c>
      <c r="I68" s="60">
        <f t="shared" si="5"/>
        <v>-15.528999999999996</v>
      </c>
      <c r="J68" s="61">
        <v>0</v>
      </c>
      <c r="K68" s="61">
        <v>0</v>
      </c>
      <c r="L68" s="60">
        <f t="shared" si="6"/>
        <v>0</v>
      </c>
      <c r="M68" s="61">
        <v>2.165</v>
      </c>
      <c r="N68" s="67">
        <v>2.1649999999999991</v>
      </c>
      <c r="O68" s="60">
        <f t="shared" si="7"/>
        <v>0</v>
      </c>
      <c r="P68" s="1">
        <v>0</v>
      </c>
      <c r="Q68" s="1"/>
      <c r="R68" s="1"/>
    </row>
    <row r="69" spans="2:18">
      <c r="B69">
        <v>20</v>
      </c>
      <c r="C69" s="59" t="s">
        <v>98</v>
      </c>
      <c r="D69" s="60">
        <v>23.640999999999998</v>
      </c>
      <c r="E69" s="60">
        <v>23.491000000000003</v>
      </c>
      <c r="F69" s="60">
        <f t="shared" si="4"/>
        <v>-0.14999999999999503</v>
      </c>
      <c r="G69" s="60">
        <v>80.628</v>
      </c>
      <c r="H69" s="61">
        <v>80.228000000000009</v>
      </c>
      <c r="I69" s="60">
        <f t="shared" si="5"/>
        <v>-0.39999999999999147</v>
      </c>
      <c r="J69" s="61">
        <v>0</v>
      </c>
      <c r="K69" s="61">
        <v>0</v>
      </c>
      <c r="L69" s="60">
        <f t="shared" si="6"/>
        <v>0</v>
      </c>
      <c r="M69" s="61">
        <v>19.353999999999999</v>
      </c>
      <c r="N69" s="67">
        <v>19.274000000000001</v>
      </c>
      <c r="O69" s="60">
        <f t="shared" si="7"/>
        <v>-7.9999999999998295E-2</v>
      </c>
      <c r="P69" s="1">
        <v>0</v>
      </c>
      <c r="Q69" s="1"/>
      <c r="R69" s="1"/>
    </row>
    <row r="70" spans="2:18">
      <c r="B70">
        <v>21</v>
      </c>
      <c r="C70" s="59" t="s">
        <v>99</v>
      </c>
      <c r="D70" s="60">
        <v>29.414999999999999</v>
      </c>
      <c r="E70" s="60">
        <v>29.414999999999996</v>
      </c>
      <c r="F70" s="60">
        <f t="shared" si="4"/>
        <v>0</v>
      </c>
      <c r="G70" s="60">
        <v>19.175000000000001</v>
      </c>
      <c r="H70" s="61">
        <v>19.175000000000001</v>
      </c>
      <c r="I70" s="60">
        <f t="shared" si="5"/>
        <v>0</v>
      </c>
      <c r="J70" s="61">
        <v>22.34</v>
      </c>
      <c r="K70" s="61">
        <v>22.339999999999996</v>
      </c>
      <c r="L70" s="60">
        <f t="shared" si="6"/>
        <v>0</v>
      </c>
      <c r="M70" s="61">
        <v>0.88500000000000001</v>
      </c>
      <c r="N70" s="67">
        <v>0.7849999999999997</v>
      </c>
      <c r="O70" s="60">
        <f t="shared" si="7"/>
        <v>-0.10000000000000031</v>
      </c>
      <c r="P70" s="1">
        <v>0</v>
      </c>
      <c r="Q70" s="1"/>
      <c r="R70" s="1"/>
    </row>
    <row r="71" spans="2:18">
      <c r="B71">
        <v>22</v>
      </c>
      <c r="C71" s="59" t="s">
        <v>100</v>
      </c>
      <c r="D71" s="60">
        <v>5.08</v>
      </c>
      <c r="E71" s="60">
        <v>5.0800000000000125</v>
      </c>
      <c r="F71" s="60">
        <f t="shared" si="4"/>
        <v>1.2434497875801753E-14</v>
      </c>
      <c r="G71" s="60">
        <v>37.880000000000003</v>
      </c>
      <c r="H71" s="61">
        <v>37.880000000000003</v>
      </c>
      <c r="I71" s="60">
        <f t="shared" si="5"/>
        <v>0</v>
      </c>
      <c r="J71" s="61">
        <v>16.940000000000001</v>
      </c>
      <c r="K71" s="61">
        <v>16.939999999999998</v>
      </c>
      <c r="L71" s="60">
        <f t="shared" si="6"/>
        <v>0</v>
      </c>
      <c r="M71" s="61">
        <v>21.234999999999999</v>
      </c>
      <c r="N71" s="67">
        <v>21.234999999999996</v>
      </c>
      <c r="O71" s="60">
        <f t="shared" si="7"/>
        <v>0</v>
      </c>
      <c r="P71" s="1">
        <v>0</v>
      </c>
      <c r="Q71" s="1"/>
      <c r="R71" s="1"/>
    </row>
    <row r="72" spans="2:18">
      <c r="B72">
        <v>23</v>
      </c>
      <c r="C72" s="59" t="s">
        <v>101</v>
      </c>
      <c r="D72" s="60">
        <v>27.52</v>
      </c>
      <c r="E72" s="60">
        <v>27.519999999999996</v>
      </c>
      <c r="F72" s="60">
        <f t="shared" si="4"/>
        <v>0</v>
      </c>
      <c r="G72" s="60">
        <v>96.06</v>
      </c>
      <c r="H72" s="61">
        <v>96.059999999999988</v>
      </c>
      <c r="I72" s="60">
        <f t="shared" si="5"/>
        <v>0</v>
      </c>
      <c r="J72" s="61">
        <v>47.64</v>
      </c>
      <c r="K72" s="61">
        <v>47.64</v>
      </c>
      <c r="L72" s="60">
        <f t="shared" si="6"/>
        <v>0</v>
      </c>
      <c r="M72" s="61">
        <v>-4.1449999999999996</v>
      </c>
      <c r="N72" s="67">
        <v>0.5299999999999998</v>
      </c>
      <c r="O72" s="60">
        <f t="shared" si="7"/>
        <v>4.6749999999999989</v>
      </c>
      <c r="P72" s="1">
        <v>0</v>
      </c>
      <c r="Q72" s="1"/>
      <c r="R72" s="1"/>
    </row>
    <row r="73" spans="2:18">
      <c r="B73">
        <v>24</v>
      </c>
      <c r="C73" s="65" t="s">
        <v>102</v>
      </c>
      <c r="D73" s="60">
        <v>12.59</v>
      </c>
      <c r="E73" s="60">
        <v>12.799999999999997</v>
      </c>
      <c r="F73" s="60">
        <f t="shared" si="4"/>
        <v>0.2099999999999973</v>
      </c>
      <c r="G73" s="60">
        <v>11.32</v>
      </c>
      <c r="H73" s="61">
        <v>11.514000000000003</v>
      </c>
      <c r="I73" s="60">
        <f t="shared" si="5"/>
        <v>0.19400000000000261</v>
      </c>
      <c r="J73" s="61">
        <v>0</v>
      </c>
      <c r="K73" s="61">
        <v>0</v>
      </c>
      <c r="L73" s="60">
        <f t="shared" si="6"/>
        <v>0</v>
      </c>
      <c r="M73" s="61">
        <v>0.34</v>
      </c>
      <c r="N73" s="67">
        <v>0.35399999999999743</v>
      </c>
      <c r="O73" s="60">
        <f t="shared" si="7"/>
        <v>1.3999999999997403E-2</v>
      </c>
      <c r="P73" s="1">
        <v>0</v>
      </c>
      <c r="Q73" s="1"/>
      <c r="R73" s="1"/>
    </row>
    <row r="74" spans="2:18">
      <c r="B74">
        <v>25</v>
      </c>
      <c r="C74" s="59" t="s">
        <v>103</v>
      </c>
      <c r="D74" s="60">
        <v>-30.617999999999999</v>
      </c>
      <c r="E74" s="60">
        <v>18.64</v>
      </c>
      <c r="F74" s="60">
        <f t="shared" si="4"/>
        <v>49.257999999999996</v>
      </c>
      <c r="G74" s="60">
        <v>163.80699999999999</v>
      </c>
      <c r="H74" s="61">
        <v>129.47800000000001</v>
      </c>
      <c r="I74" s="60">
        <f t="shared" si="5"/>
        <v>-34.328999999999979</v>
      </c>
      <c r="J74" s="61">
        <v>-37.314</v>
      </c>
      <c r="K74" s="61">
        <v>12.875999999999999</v>
      </c>
      <c r="L74" s="60">
        <f t="shared" si="6"/>
        <v>50.19</v>
      </c>
      <c r="M74" s="61">
        <v>23.027999999999999</v>
      </c>
      <c r="N74" s="67">
        <v>19.966000000000001</v>
      </c>
      <c r="O74" s="60">
        <f t="shared" si="7"/>
        <v>-3.0619999999999976</v>
      </c>
      <c r="P74" s="1">
        <v>0</v>
      </c>
      <c r="Q74" s="1"/>
      <c r="R74" s="1"/>
    </row>
    <row r="75" spans="2:18">
      <c r="B75">
        <v>26</v>
      </c>
      <c r="C75" s="59" t="s">
        <v>104</v>
      </c>
      <c r="D75" s="62">
        <v>17.300999999999998</v>
      </c>
      <c r="E75" s="63">
        <v>17.050999999999998</v>
      </c>
      <c r="F75" s="60">
        <f t="shared" si="4"/>
        <v>-0.25</v>
      </c>
      <c r="G75" s="60">
        <v>197.846</v>
      </c>
      <c r="H75" s="60">
        <v>197.846</v>
      </c>
      <c r="I75" s="60">
        <f t="shared" si="5"/>
        <v>0</v>
      </c>
      <c r="J75" s="61">
        <v>29.965</v>
      </c>
      <c r="K75" s="61">
        <v>29.965</v>
      </c>
      <c r="L75" s="60">
        <f t="shared" si="6"/>
        <v>0</v>
      </c>
      <c r="M75" s="60">
        <v>43.908000000000001</v>
      </c>
      <c r="N75" s="68">
        <v>43.089999999999996</v>
      </c>
      <c r="O75" s="60">
        <f t="shared" si="7"/>
        <v>-0.81800000000000495</v>
      </c>
      <c r="P75" s="1">
        <v>0</v>
      </c>
      <c r="Q75" s="1"/>
      <c r="R75" s="1"/>
    </row>
    <row r="76" spans="2:18">
      <c r="B76">
        <v>27</v>
      </c>
      <c r="C76" s="59" t="s">
        <v>105</v>
      </c>
      <c r="D76" s="60">
        <v>20.888999999999999</v>
      </c>
      <c r="E76" s="60">
        <v>20.532000000000004</v>
      </c>
      <c r="F76" s="60">
        <f t="shared" si="4"/>
        <v>-0.35699999999999577</v>
      </c>
      <c r="G76" s="60">
        <v>67.686000000000007</v>
      </c>
      <c r="H76" s="61">
        <v>47.869</v>
      </c>
      <c r="I76" s="60">
        <f t="shared" si="5"/>
        <v>-19.817000000000007</v>
      </c>
      <c r="J76" s="61">
        <v>40.738</v>
      </c>
      <c r="K76" s="61">
        <v>39.804000000000002</v>
      </c>
      <c r="L76" s="60">
        <f t="shared" si="6"/>
        <v>-0.9339999999999975</v>
      </c>
      <c r="M76" s="61">
        <v>11.648</v>
      </c>
      <c r="N76" s="67">
        <v>11.488000000000003</v>
      </c>
      <c r="O76" s="60">
        <f t="shared" si="7"/>
        <v>-0.15999999999999659</v>
      </c>
      <c r="P76" s="1">
        <v>0</v>
      </c>
      <c r="Q76" s="1"/>
      <c r="R76" s="1"/>
    </row>
    <row r="77" spans="2:18">
      <c r="B77">
        <v>28</v>
      </c>
      <c r="C77" s="59" t="s">
        <v>106</v>
      </c>
      <c r="D77" s="60">
        <v>39.353999999999999</v>
      </c>
      <c r="E77" s="60">
        <v>49.050999999999995</v>
      </c>
      <c r="F77" s="60">
        <f t="shared" si="4"/>
        <v>9.6969999999999956</v>
      </c>
      <c r="G77" s="60">
        <v>6.2640000000000002</v>
      </c>
      <c r="H77" s="61">
        <v>25.982999999999997</v>
      </c>
      <c r="I77" s="60">
        <f t="shared" si="5"/>
        <v>19.718999999999998</v>
      </c>
      <c r="J77" s="61">
        <v>15.981999999999999</v>
      </c>
      <c r="K77" s="61">
        <v>16.004999999999999</v>
      </c>
      <c r="L77" s="60">
        <f t="shared" si="6"/>
        <v>2.2999999999999687E-2</v>
      </c>
      <c r="M77" s="61">
        <v>12.744999999999999</v>
      </c>
      <c r="N77" s="67">
        <v>12.731999999999999</v>
      </c>
      <c r="O77" s="60">
        <f t="shared" si="7"/>
        <v>-1.2999999999999901E-2</v>
      </c>
      <c r="P77" s="1">
        <v>-0.499</v>
      </c>
      <c r="Q77" s="1"/>
      <c r="R77" s="1"/>
    </row>
    <row r="78" spans="2:18">
      <c r="B78">
        <v>29</v>
      </c>
      <c r="C78" s="59" t="s">
        <v>107</v>
      </c>
      <c r="D78" s="60">
        <v>2.72</v>
      </c>
      <c r="E78" s="60">
        <v>24.97</v>
      </c>
      <c r="F78" s="60">
        <f t="shared" si="4"/>
        <v>22.25</v>
      </c>
      <c r="G78" s="60">
        <v>-2.2829999999999999</v>
      </c>
      <c r="H78" s="61">
        <v>2.0649999999999995</v>
      </c>
      <c r="I78" s="60">
        <f t="shared" si="5"/>
        <v>4.347999999999999</v>
      </c>
      <c r="J78" s="61">
        <v>2.09</v>
      </c>
      <c r="K78" s="61">
        <v>1.85</v>
      </c>
      <c r="L78" s="60">
        <f t="shared" si="6"/>
        <v>-0.23999999999999977</v>
      </c>
      <c r="M78" s="61">
        <v>-0.11</v>
      </c>
      <c r="N78" s="67">
        <v>1.3199999999999998</v>
      </c>
      <c r="O78" s="60">
        <f t="shared" si="7"/>
        <v>1.43</v>
      </c>
      <c r="P78" s="1">
        <v>0</v>
      </c>
      <c r="Q78" s="1"/>
      <c r="R78" s="1"/>
    </row>
    <row r="79" spans="2:18">
      <c r="B79">
        <v>30</v>
      </c>
      <c r="C79" s="59" t="s">
        <v>108</v>
      </c>
      <c r="D79" s="60">
        <v>9.52</v>
      </c>
      <c r="E79" s="60">
        <v>12.500999999999991</v>
      </c>
      <c r="F79" s="60">
        <f t="shared" si="4"/>
        <v>2.980999999999991</v>
      </c>
      <c r="G79" s="60">
        <v>20.683</v>
      </c>
      <c r="H79" s="61">
        <v>24.264999999999986</v>
      </c>
      <c r="I79" s="60">
        <f t="shared" si="5"/>
        <v>3.5819999999999865</v>
      </c>
      <c r="J79" s="61">
        <v>0</v>
      </c>
      <c r="K79" s="61">
        <v>0</v>
      </c>
      <c r="L79" s="60">
        <f t="shared" si="6"/>
        <v>0</v>
      </c>
      <c r="M79" s="61">
        <v>3.0059999999999998</v>
      </c>
      <c r="N79" s="67">
        <v>1.0569999999999986</v>
      </c>
      <c r="O79" s="60">
        <f t="shared" si="7"/>
        <v>-1.9490000000000012</v>
      </c>
      <c r="P79" s="1">
        <v>0</v>
      </c>
      <c r="Q79" s="1"/>
      <c r="R79" s="1"/>
    </row>
    <row r="80" spans="2:18">
      <c r="B80">
        <v>31</v>
      </c>
      <c r="C80" s="59" t="s">
        <v>109</v>
      </c>
      <c r="D80" s="60">
        <v>27.7</v>
      </c>
      <c r="E80" s="60">
        <v>36.692</v>
      </c>
      <c r="F80" s="60">
        <f t="shared" si="4"/>
        <v>8.9920000000000009</v>
      </c>
      <c r="G80" s="60">
        <v>184.9</v>
      </c>
      <c r="H80" s="61">
        <v>24.745999999999999</v>
      </c>
      <c r="I80" s="60">
        <f t="shared" si="5"/>
        <v>-160.154</v>
      </c>
      <c r="J80" s="61">
        <v>-42.13</v>
      </c>
      <c r="K80" s="61">
        <v>0</v>
      </c>
      <c r="L80" s="60">
        <f t="shared" si="6"/>
        <v>42.13</v>
      </c>
      <c r="M80" s="61">
        <v>95.257999999999996</v>
      </c>
      <c r="N80" s="67">
        <v>73.617000000000004</v>
      </c>
      <c r="O80" s="60">
        <f t="shared" si="7"/>
        <v>-21.640999999999991</v>
      </c>
      <c r="P80" s="1">
        <v>0</v>
      </c>
      <c r="Q80" s="1"/>
      <c r="R80" s="1"/>
    </row>
    <row r="81" spans="2:18">
      <c r="B81">
        <v>32</v>
      </c>
      <c r="C81" s="59" t="s">
        <v>110</v>
      </c>
      <c r="D81" s="60">
        <v>9.1969999999999992</v>
      </c>
      <c r="E81" s="60">
        <v>9.1969999999999992</v>
      </c>
      <c r="F81" s="60">
        <f t="shared" si="4"/>
        <v>0</v>
      </c>
      <c r="G81" s="60">
        <v>106</v>
      </c>
      <c r="H81" s="61">
        <v>106</v>
      </c>
      <c r="I81" s="60">
        <f t="shared" si="5"/>
        <v>0</v>
      </c>
      <c r="J81" s="61">
        <v>55.74</v>
      </c>
      <c r="K81" s="61">
        <v>55.68</v>
      </c>
      <c r="L81" s="60">
        <f t="shared" si="6"/>
        <v>-6.0000000000002274E-2</v>
      </c>
      <c r="M81" s="61">
        <v>5.4409999999999998</v>
      </c>
      <c r="N81" s="67">
        <v>5.4410000000000007</v>
      </c>
      <c r="O81" s="60">
        <f t="shared" si="7"/>
        <v>0</v>
      </c>
      <c r="P81" s="1">
        <v>0</v>
      </c>
      <c r="Q81" s="1"/>
      <c r="R81" s="1"/>
    </row>
    <row r="82" spans="2:18">
      <c r="B82">
        <v>33</v>
      </c>
      <c r="C82" s="59" t="s">
        <v>111</v>
      </c>
      <c r="D82" s="60">
        <v>20.085000000000001</v>
      </c>
      <c r="E82" s="60">
        <v>20.644999999999975</v>
      </c>
      <c r="F82" s="60">
        <f t="shared" si="4"/>
        <v>0.55999999999997385</v>
      </c>
      <c r="G82" s="60">
        <v>33.295999999999999</v>
      </c>
      <c r="H82" s="64">
        <v>34.814999999999991</v>
      </c>
      <c r="I82" s="60">
        <f t="shared" si="5"/>
        <v>1.5189999999999912</v>
      </c>
      <c r="J82" s="61">
        <v>8.9999999999999993E-3</v>
      </c>
      <c r="K82" s="61">
        <v>0</v>
      </c>
      <c r="L82" s="60">
        <f t="shared" si="6"/>
        <v>-8.9999999999999993E-3</v>
      </c>
      <c r="M82" s="61">
        <v>18.442</v>
      </c>
      <c r="N82" s="67">
        <v>18.715</v>
      </c>
      <c r="O82" s="60">
        <f t="shared" si="7"/>
        <v>0.27299999999999969</v>
      </c>
      <c r="P82" s="1">
        <v>0</v>
      </c>
      <c r="Q82" s="1"/>
      <c r="R82" s="1"/>
    </row>
    <row r="83" spans="2:18">
      <c r="B83">
        <v>34</v>
      </c>
      <c r="C83" s="59" t="s">
        <v>112</v>
      </c>
      <c r="D83" s="60">
        <v>35.124000000000002</v>
      </c>
      <c r="E83" s="60">
        <v>35.248999999999995</v>
      </c>
      <c r="F83" s="60">
        <f t="shared" si="4"/>
        <v>0.12499999999999289</v>
      </c>
      <c r="G83" s="60">
        <v>41.131</v>
      </c>
      <c r="H83" s="61">
        <v>42.296000000000006</v>
      </c>
      <c r="I83" s="60">
        <f t="shared" si="5"/>
        <v>1.1650000000000063</v>
      </c>
      <c r="J83" s="61">
        <v>12.512</v>
      </c>
      <c r="K83" s="61">
        <v>11.994000000000002</v>
      </c>
      <c r="L83" s="60">
        <f t="shared" si="6"/>
        <v>-0.51799999999999891</v>
      </c>
      <c r="M83" s="61">
        <v>17.87</v>
      </c>
      <c r="N83" s="67">
        <v>17.076000000000001</v>
      </c>
      <c r="O83" s="60">
        <f t="shared" si="7"/>
        <v>-0.79400000000000048</v>
      </c>
      <c r="P83" s="1">
        <v>0</v>
      </c>
      <c r="Q83" s="1"/>
      <c r="R83" s="1"/>
    </row>
    <row r="87" spans="2:18">
      <c r="C87" s="58">
        <v>46157</v>
      </c>
    </row>
    <row r="88" spans="2:18">
      <c r="C88" s="32" t="s">
        <v>68</v>
      </c>
      <c r="D88" s="33">
        <v>161</v>
      </c>
      <c r="E88" s="33"/>
      <c r="F88" s="33"/>
      <c r="G88" s="33">
        <v>2054</v>
      </c>
      <c r="H88" s="34"/>
      <c r="I88" s="34"/>
      <c r="J88" s="34">
        <v>5550</v>
      </c>
      <c r="K88" s="34"/>
      <c r="L88" s="34"/>
      <c r="M88" s="34">
        <v>8899</v>
      </c>
      <c r="N88" s="1"/>
      <c r="O88" s="1"/>
      <c r="P88" s="34">
        <v>5550</v>
      </c>
      <c r="Q88" s="1"/>
      <c r="R88" s="1"/>
    </row>
    <row r="89" spans="2:18" s="36" customFormat="1">
      <c r="C89" s="32" t="s">
        <v>69</v>
      </c>
      <c r="D89" s="35">
        <v>100001</v>
      </c>
      <c r="E89" s="35"/>
      <c r="F89" s="35"/>
      <c r="G89" s="33">
        <v>100004</v>
      </c>
      <c r="H89" s="34"/>
      <c r="I89" s="34"/>
      <c r="J89" s="34">
        <v>100030</v>
      </c>
      <c r="K89" s="34"/>
      <c r="L89" s="34"/>
      <c r="M89" s="34">
        <v>100153</v>
      </c>
      <c r="N89" s="34"/>
      <c r="O89" s="34"/>
      <c r="P89" s="34">
        <v>100030</v>
      </c>
      <c r="Q89" s="34"/>
      <c r="R89" s="34"/>
    </row>
    <row r="90" spans="2:18">
      <c r="C90" s="37" t="s">
        <v>70</v>
      </c>
      <c r="D90" s="33" t="s">
        <v>71</v>
      </c>
      <c r="E90" s="33"/>
      <c r="F90" s="33"/>
      <c r="G90" s="33" t="s">
        <v>71</v>
      </c>
      <c r="H90" s="38"/>
      <c r="I90" s="38"/>
      <c r="J90" s="38" t="s">
        <v>71</v>
      </c>
      <c r="K90" s="38"/>
      <c r="L90" s="38"/>
      <c r="M90" s="38" t="s">
        <v>71</v>
      </c>
      <c r="N90" s="1"/>
      <c r="O90" s="1"/>
      <c r="P90" s="38" t="s">
        <v>71</v>
      </c>
      <c r="Q90" s="1"/>
      <c r="R90" s="1"/>
    </row>
    <row r="91" spans="2:18">
      <c r="C91" s="39" t="s">
        <v>72</v>
      </c>
      <c r="D91" s="126" t="s">
        <v>73</v>
      </c>
      <c r="E91" s="126"/>
      <c r="F91" s="126"/>
      <c r="G91" s="122" t="s">
        <v>74</v>
      </c>
      <c r="H91" s="122"/>
      <c r="I91" s="122"/>
      <c r="J91" s="127" t="s">
        <v>75</v>
      </c>
      <c r="K91" s="127"/>
      <c r="L91" s="127"/>
      <c r="M91" s="120" t="s">
        <v>76</v>
      </c>
      <c r="N91" s="120"/>
      <c r="O91" s="120"/>
      <c r="P91" s="128" t="s">
        <v>115</v>
      </c>
      <c r="Q91" s="128"/>
      <c r="R91" s="128"/>
    </row>
    <row r="92" spans="2:18" ht="46.8" customHeight="1">
      <c r="B92">
        <v>13</v>
      </c>
      <c r="C92" s="40" t="s">
        <v>61</v>
      </c>
      <c r="D92" s="41" t="s">
        <v>116</v>
      </c>
      <c r="E92" s="41" t="s">
        <v>77</v>
      </c>
      <c r="F92" s="41" t="s">
        <v>78</v>
      </c>
      <c r="G92" s="42" t="s">
        <v>116</v>
      </c>
      <c r="H92" s="42" t="s">
        <v>77</v>
      </c>
      <c r="I92" s="42" t="s">
        <v>78</v>
      </c>
      <c r="J92" s="43" t="s">
        <v>116</v>
      </c>
      <c r="K92" s="43" t="s">
        <v>77</v>
      </c>
      <c r="L92" s="43" t="s">
        <v>78</v>
      </c>
      <c r="M92" s="44" t="s">
        <v>116</v>
      </c>
      <c r="N92" s="44" t="s">
        <v>77</v>
      </c>
      <c r="O92" s="44" t="s">
        <v>78</v>
      </c>
      <c r="P92" s="66" t="s">
        <v>116</v>
      </c>
      <c r="Q92" s="66" t="s">
        <v>77</v>
      </c>
      <c r="R92" s="66" t="s">
        <v>78</v>
      </c>
    </row>
    <row r="93" spans="2:18">
      <c r="B93">
        <v>1</v>
      </c>
      <c r="C93" s="59" t="s">
        <v>79</v>
      </c>
      <c r="D93" s="60">
        <v>18.695</v>
      </c>
      <c r="E93" s="60">
        <v>18.633999999999958</v>
      </c>
      <c r="F93" s="60">
        <f t="shared" ref="F93:F126" si="8">E93-D93</f>
        <v>-6.1000000000042576E-2</v>
      </c>
      <c r="G93" s="60">
        <v>75.784000000000006</v>
      </c>
      <c r="H93" s="61">
        <v>75.77800000000002</v>
      </c>
      <c r="I93" s="60">
        <f t="shared" ref="I93:I126" si="9">H93-G93</f>
        <v>-5.9999999999860165E-3</v>
      </c>
      <c r="J93" s="61">
        <v>0</v>
      </c>
      <c r="K93" s="61">
        <v>0</v>
      </c>
      <c r="L93" s="60">
        <f t="shared" ref="L93:L126" si="10">K93-J93</f>
        <v>0</v>
      </c>
      <c r="M93" s="61">
        <v>18.782</v>
      </c>
      <c r="N93" s="67">
        <v>18.780000000000015</v>
      </c>
      <c r="O93" s="60">
        <f t="shared" ref="O93:O126" si="11">N93-M93</f>
        <v>-1.9999999999846807E-3</v>
      </c>
      <c r="P93" s="1">
        <v>0</v>
      </c>
      <c r="Q93" s="1"/>
      <c r="R93" s="1"/>
    </row>
    <row r="94" spans="2:18">
      <c r="B94">
        <v>2</v>
      </c>
      <c r="C94" s="59" t="s">
        <v>80</v>
      </c>
      <c r="D94" s="60">
        <v>25.207000000000001</v>
      </c>
      <c r="E94" s="60">
        <v>-5.700000000000216E-2</v>
      </c>
      <c r="F94" s="60">
        <f t="shared" si="8"/>
        <v>-25.264000000000003</v>
      </c>
      <c r="G94" s="60">
        <v>318.29199999999997</v>
      </c>
      <c r="H94" s="61">
        <v>317.73700000000002</v>
      </c>
      <c r="I94" s="60">
        <f t="shared" si="9"/>
        <v>-0.55499999999994998</v>
      </c>
      <c r="J94" s="61">
        <v>46.89</v>
      </c>
      <c r="K94" s="61">
        <v>40.352999999999994</v>
      </c>
      <c r="L94" s="60">
        <f t="shared" si="10"/>
        <v>-6.5370000000000061</v>
      </c>
      <c r="M94" s="61">
        <v>23.559000000000001</v>
      </c>
      <c r="N94" s="67">
        <v>25.541000000000004</v>
      </c>
      <c r="O94" s="60">
        <f t="shared" si="11"/>
        <v>1.9820000000000029</v>
      </c>
      <c r="P94" s="1">
        <v>-282.31599999999997</v>
      </c>
      <c r="Q94" s="1"/>
      <c r="R94" s="1"/>
    </row>
    <row r="95" spans="2:18">
      <c r="B95">
        <v>3</v>
      </c>
      <c r="C95" s="59" t="s">
        <v>81</v>
      </c>
      <c r="D95" s="60">
        <v>0.60899999999999999</v>
      </c>
      <c r="E95" s="60">
        <v>0.60899999999998045</v>
      </c>
      <c r="F95" s="60">
        <f t="shared" si="8"/>
        <v>-1.9539925233402755E-14</v>
      </c>
      <c r="G95" s="60">
        <v>60.688000000000002</v>
      </c>
      <c r="H95" s="61">
        <v>60.687999999999988</v>
      </c>
      <c r="I95" s="60">
        <f t="shared" si="9"/>
        <v>0</v>
      </c>
      <c r="J95" s="61">
        <v>0</v>
      </c>
      <c r="K95" s="61">
        <v>0</v>
      </c>
      <c r="L95" s="60">
        <f t="shared" si="10"/>
        <v>0</v>
      </c>
      <c r="M95" s="61">
        <v>9.4960000000000004</v>
      </c>
      <c r="N95" s="67">
        <v>9.4960000000000004</v>
      </c>
      <c r="O95" s="60">
        <f t="shared" si="11"/>
        <v>0</v>
      </c>
      <c r="P95" s="1">
        <v>0</v>
      </c>
      <c r="Q95" s="1"/>
      <c r="R95" s="1"/>
    </row>
    <row r="96" spans="2:18">
      <c r="B96">
        <v>4</v>
      </c>
      <c r="C96" s="59" t="s">
        <v>82</v>
      </c>
      <c r="D96" s="60">
        <v>43.854999999999997</v>
      </c>
      <c r="E96" s="60">
        <v>43.844999999999999</v>
      </c>
      <c r="F96" s="60">
        <f t="shared" si="8"/>
        <v>-9.9999999999980105E-3</v>
      </c>
      <c r="G96" s="60">
        <v>80.632000000000005</v>
      </c>
      <c r="H96" s="61">
        <v>80.632000000000033</v>
      </c>
      <c r="I96" s="60">
        <f t="shared" si="9"/>
        <v>0</v>
      </c>
      <c r="J96" s="61">
        <v>0</v>
      </c>
      <c r="K96" s="61">
        <v>0</v>
      </c>
      <c r="L96" s="60">
        <f t="shared" si="10"/>
        <v>0</v>
      </c>
      <c r="M96" s="61">
        <v>81.864999999999995</v>
      </c>
      <c r="N96" s="67">
        <v>81.864999999999995</v>
      </c>
      <c r="O96" s="60">
        <f t="shared" si="11"/>
        <v>0</v>
      </c>
      <c r="P96" s="1">
        <v>0</v>
      </c>
      <c r="Q96" s="1"/>
      <c r="R96" s="1"/>
    </row>
    <row r="97" spans="2:18">
      <c r="B97">
        <v>5</v>
      </c>
      <c r="C97" s="59" t="s">
        <v>83</v>
      </c>
      <c r="D97" s="60">
        <v>17.093</v>
      </c>
      <c r="E97" s="60">
        <v>17.529000000000003</v>
      </c>
      <c r="F97" s="60">
        <f t="shared" si="8"/>
        <v>0.4360000000000035</v>
      </c>
      <c r="G97" s="60">
        <v>35.826000000000001</v>
      </c>
      <c r="H97" s="61">
        <v>37.797999999999995</v>
      </c>
      <c r="I97" s="60">
        <f t="shared" si="9"/>
        <v>1.9719999999999942</v>
      </c>
      <c r="J97" s="61">
        <v>53.959000000000003</v>
      </c>
      <c r="K97" s="61">
        <v>54.484999999999999</v>
      </c>
      <c r="L97" s="60">
        <f t="shared" si="10"/>
        <v>0.52599999999999625</v>
      </c>
      <c r="M97" s="61">
        <v>40.316000000000003</v>
      </c>
      <c r="N97" s="67">
        <v>40.345999999999997</v>
      </c>
      <c r="O97" s="60">
        <f t="shared" si="11"/>
        <v>2.9999999999994031E-2</v>
      </c>
      <c r="P97" s="1">
        <v>0</v>
      </c>
      <c r="Q97" s="1"/>
      <c r="R97" s="1"/>
    </row>
    <row r="98" spans="2:18">
      <c r="B98">
        <v>6</v>
      </c>
      <c r="C98" s="59" t="s">
        <v>84</v>
      </c>
      <c r="D98" s="60">
        <v>60.686999999999998</v>
      </c>
      <c r="E98" s="60">
        <v>60.69</v>
      </c>
      <c r="F98" s="60">
        <f t="shared" si="8"/>
        <v>3.0000000000001137E-3</v>
      </c>
      <c r="G98" s="60">
        <v>61.023000000000003</v>
      </c>
      <c r="H98" s="61">
        <v>61.009999999999991</v>
      </c>
      <c r="I98" s="60">
        <f t="shared" si="9"/>
        <v>-1.3000000000012335E-2</v>
      </c>
      <c r="J98" s="61">
        <v>18.131</v>
      </c>
      <c r="K98" s="61">
        <v>18.230000000000004</v>
      </c>
      <c r="L98" s="60">
        <f t="shared" si="10"/>
        <v>9.9000000000003752E-2</v>
      </c>
      <c r="M98" s="61">
        <v>28.719000000000001</v>
      </c>
      <c r="N98" s="67">
        <v>28.664000000000001</v>
      </c>
      <c r="O98" s="60">
        <f t="shared" si="11"/>
        <v>-5.4999999999999716E-2</v>
      </c>
      <c r="P98" s="1">
        <v>0</v>
      </c>
      <c r="Q98" s="1"/>
      <c r="R98" s="1"/>
    </row>
    <row r="99" spans="2:18">
      <c r="B99">
        <v>7</v>
      </c>
      <c r="C99" s="59" t="s">
        <v>85</v>
      </c>
      <c r="D99" s="60">
        <v>9.8390000000000004</v>
      </c>
      <c r="E99" s="60">
        <v>9.6590000000000025</v>
      </c>
      <c r="F99" s="60">
        <f t="shared" si="8"/>
        <v>-0.17999999999999794</v>
      </c>
      <c r="G99" s="60">
        <v>87.953999999999994</v>
      </c>
      <c r="H99" s="61">
        <v>86.047000000000011</v>
      </c>
      <c r="I99" s="60">
        <f t="shared" si="9"/>
        <v>-1.9069999999999823</v>
      </c>
      <c r="J99" s="61">
        <v>57.220999999999997</v>
      </c>
      <c r="K99" s="61">
        <v>53.604000000000006</v>
      </c>
      <c r="L99" s="60">
        <f t="shared" si="10"/>
        <v>-3.6169999999999902</v>
      </c>
      <c r="M99" s="61">
        <v>8.17</v>
      </c>
      <c r="N99" s="67">
        <v>8.1730000000000018</v>
      </c>
      <c r="O99" s="60">
        <f t="shared" si="11"/>
        <v>3.00000000000189E-3</v>
      </c>
      <c r="P99" s="1">
        <v>0</v>
      </c>
      <c r="Q99" s="1"/>
      <c r="R99" s="1"/>
    </row>
    <row r="100" spans="2:18">
      <c r="B100">
        <v>8</v>
      </c>
      <c r="C100" s="59" t="s">
        <v>86</v>
      </c>
      <c r="D100" s="60">
        <v>11.539</v>
      </c>
      <c r="E100" s="60">
        <v>4.0706499999999997</v>
      </c>
      <c r="F100" s="60">
        <f t="shared" si="8"/>
        <v>-7.46835</v>
      </c>
      <c r="G100" s="60">
        <v>7.375</v>
      </c>
      <c r="H100" s="61">
        <v>7.6221700000000041</v>
      </c>
      <c r="I100" s="60">
        <f t="shared" si="9"/>
        <v>0.24717000000000411</v>
      </c>
      <c r="J100" s="61">
        <v>0</v>
      </c>
      <c r="K100" s="61">
        <v>0</v>
      </c>
      <c r="L100" s="60">
        <f t="shared" si="10"/>
        <v>0</v>
      </c>
      <c r="M100" s="61">
        <v>49.692</v>
      </c>
      <c r="N100" s="67">
        <v>43.290759999999999</v>
      </c>
      <c r="O100" s="60">
        <f t="shared" si="11"/>
        <v>-6.4012400000000014</v>
      </c>
      <c r="P100" s="1">
        <v>0</v>
      </c>
      <c r="Q100" s="1"/>
      <c r="R100" s="1"/>
    </row>
    <row r="101" spans="2:18">
      <c r="B101">
        <v>9</v>
      </c>
      <c r="C101" s="59" t="s">
        <v>87</v>
      </c>
      <c r="D101" s="60">
        <v>3.7229999999999999</v>
      </c>
      <c r="E101" s="60">
        <v>3.7929999999999922</v>
      </c>
      <c r="F101" s="60">
        <f t="shared" si="8"/>
        <v>6.9999999999992291E-2</v>
      </c>
      <c r="G101" s="60">
        <v>25.756</v>
      </c>
      <c r="H101" s="61">
        <v>25.757000000000012</v>
      </c>
      <c r="I101" s="60">
        <f t="shared" si="9"/>
        <v>1.0000000000118803E-3</v>
      </c>
      <c r="J101" s="61">
        <v>30.933</v>
      </c>
      <c r="K101" s="61">
        <v>30.95</v>
      </c>
      <c r="L101" s="60">
        <f t="shared" si="10"/>
        <v>1.699999999999946E-2</v>
      </c>
      <c r="M101" s="61">
        <v>18.753</v>
      </c>
      <c r="N101" s="67">
        <v>19.002000000000002</v>
      </c>
      <c r="O101" s="60">
        <f t="shared" si="11"/>
        <v>0.24900000000000233</v>
      </c>
      <c r="P101" s="1">
        <v>0</v>
      </c>
      <c r="Q101" s="1"/>
      <c r="R101" s="1"/>
    </row>
    <row r="102" spans="2:18">
      <c r="B102">
        <v>10</v>
      </c>
      <c r="C102" s="59" t="s">
        <v>88</v>
      </c>
      <c r="D102" s="60">
        <v>34.418999999999997</v>
      </c>
      <c r="E102" s="60">
        <v>34.822000000000003</v>
      </c>
      <c r="F102" s="60">
        <f t="shared" si="8"/>
        <v>0.4030000000000058</v>
      </c>
      <c r="G102" s="60">
        <v>56.058999999999997</v>
      </c>
      <c r="H102" s="61">
        <v>114.73000000000002</v>
      </c>
      <c r="I102" s="60">
        <f t="shared" si="9"/>
        <v>58.671000000000021</v>
      </c>
      <c r="J102" s="61">
        <v>0</v>
      </c>
      <c r="K102" s="61">
        <v>0</v>
      </c>
      <c r="L102" s="60">
        <f t="shared" si="10"/>
        <v>0</v>
      </c>
      <c r="M102" s="61">
        <v>7.06</v>
      </c>
      <c r="N102" s="67">
        <v>7.0719999999999956</v>
      </c>
      <c r="O102" s="60">
        <f t="shared" si="11"/>
        <v>1.1999999999996014E-2</v>
      </c>
      <c r="P102" s="1">
        <v>0</v>
      </c>
      <c r="Q102" s="1"/>
      <c r="R102" s="1"/>
    </row>
    <row r="103" spans="2:18">
      <c r="B103">
        <v>11</v>
      </c>
      <c r="C103" s="59" t="s">
        <v>89</v>
      </c>
      <c r="D103" s="60">
        <v>35.442</v>
      </c>
      <c r="E103" s="60">
        <v>35.441999999999993</v>
      </c>
      <c r="F103" s="60">
        <f t="shared" si="8"/>
        <v>0</v>
      </c>
      <c r="G103" s="60">
        <v>64.027000000000001</v>
      </c>
      <c r="H103" s="61">
        <v>64.027000000000015</v>
      </c>
      <c r="I103" s="60">
        <f t="shared" si="9"/>
        <v>0</v>
      </c>
      <c r="J103" s="61">
        <v>0</v>
      </c>
      <c r="K103" s="61">
        <v>0</v>
      </c>
      <c r="L103" s="60">
        <f t="shared" si="10"/>
        <v>0</v>
      </c>
      <c r="M103" s="61">
        <v>31.544</v>
      </c>
      <c r="N103" s="67">
        <v>31.544000000000004</v>
      </c>
      <c r="O103" s="60">
        <f t="shared" si="11"/>
        <v>0</v>
      </c>
      <c r="P103" s="1">
        <v>0</v>
      </c>
      <c r="Q103" s="1"/>
      <c r="R103" s="1"/>
    </row>
    <row r="104" spans="2:18">
      <c r="B104">
        <v>12</v>
      </c>
      <c r="C104" s="59" t="s">
        <v>90</v>
      </c>
      <c r="D104" s="60">
        <v>22.66</v>
      </c>
      <c r="E104" s="60">
        <v>22.660000000000011</v>
      </c>
      <c r="F104" s="60">
        <f t="shared" si="8"/>
        <v>0</v>
      </c>
      <c r="G104" s="60">
        <v>79.316000000000003</v>
      </c>
      <c r="H104" s="61">
        <v>79.315999999999988</v>
      </c>
      <c r="I104" s="60">
        <f t="shared" si="9"/>
        <v>0</v>
      </c>
      <c r="J104" s="61">
        <v>24.33</v>
      </c>
      <c r="K104" s="61">
        <v>24.330000000000002</v>
      </c>
      <c r="L104" s="60">
        <f t="shared" si="10"/>
        <v>0</v>
      </c>
      <c r="M104" s="61">
        <v>14.084</v>
      </c>
      <c r="N104" s="67">
        <v>13.906000000000001</v>
      </c>
      <c r="O104" s="60">
        <f t="shared" si="11"/>
        <v>-0.17799999999999905</v>
      </c>
      <c r="P104" s="1">
        <v>0</v>
      </c>
      <c r="Q104" s="1"/>
      <c r="R104" s="1"/>
    </row>
    <row r="105" spans="2:18">
      <c r="B105">
        <v>13</v>
      </c>
      <c r="C105" s="59" t="s">
        <v>91</v>
      </c>
      <c r="D105" s="60">
        <v>27.661000000000001</v>
      </c>
      <c r="E105" s="60">
        <v>27.660999999999998</v>
      </c>
      <c r="F105" s="60">
        <f t="shared" si="8"/>
        <v>0</v>
      </c>
      <c r="G105" s="60">
        <v>28.024000000000001</v>
      </c>
      <c r="H105" s="61">
        <v>28.024000000000004</v>
      </c>
      <c r="I105" s="60">
        <f t="shared" si="9"/>
        <v>0</v>
      </c>
      <c r="J105" s="61">
        <v>32.116</v>
      </c>
      <c r="K105" s="61">
        <v>32.116</v>
      </c>
      <c r="L105" s="60">
        <f t="shared" si="10"/>
        <v>0</v>
      </c>
      <c r="M105" s="61">
        <v>58.463999999999999</v>
      </c>
      <c r="N105" s="67">
        <v>58.464000000000006</v>
      </c>
      <c r="O105" s="60">
        <f t="shared" si="11"/>
        <v>0</v>
      </c>
      <c r="P105" s="1">
        <v>0</v>
      </c>
      <c r="Q105" s="1"/>
      <c r="R105" s="1"/>
    </row>
    <row r="106" spans="2:18">
      <c r="B106">
        <v>14</v>
      </c>
      <c r="C106" s="59" t="s">
        <v>92</v>
      </c>
      <c r="D106" s="60">
        <v>16.274999999999999</v>
      </c>
      <c r="E106" s="60">
        <v>17.764000000000003</v>
      </c>
      <c r="F106" s="60">
        <f t="shared" si="8"/>
        <v>1.4890000000000043</v>
      </c>
      <c r="G106" s="60">
        <v>85.981999999999999</v>
      </c>
      <c r="H106" s="61">
        <v>86.674999999999997</v>
      </c>
      <c r="I106" s="60">
        <f t="shared" si="9"/>
        <v>0.69299999999999784</v>
      </c>
      <c r="J106" s="61">
        <v>0</v>
      </c>
      <c r="K106" s="61">
        <v>0</v>
      </c>
      <c r="L106" s="60">
        <f t="shared" si="10"/>
        <v>0</v>
      </c>
      <c r="M106" s="61">
        <v>92.334000000000003</v>
      </c>
      <c r="N106" s="67">
        <v>93.430999999999997</v>
      </c>
      <c r="O106" s="60">
        <f t="shared" si="11"/>
        <v>1.0969999999999942</v>
      </c>
      <c r="P106" s="1">
        <v>0</v>
      </c>
      <c r="Q106" s="1"/>
      <c r="R106" s="1"/>
    </row>
    <row r="107" spans="2:18">
      <c r="B107">
        <v>15</v>
      </c>
      <c r="C107" s="59" t="s">
        <v>93</v>
      </c>
      <c r="D107" s="60">
        <v>21.65</v>
      </c>
      <c r="E107" s="60">
        <v>21.650000000000002</v>
      </c>
      <c r="F107" s="60">
        <f t="shared" si="8"/>
        <v>0</v>
      </c>
      <c r="G107" s="60">
        <v>25.72</v>
      </c>
      <c r="H107" s="61">
        <v>25.719999999999988</v>
      </c>
      <c r="I107" s="60">
        <f t="shared" si="9"/>
        <v>0</v>
      </c>
      <c r="J107" s="61">
        <v>0</v>
      </c>
      <c r="K107" s="61">
        <v>0</v>
      </c>
      <c r="L107" s="60">
        <f t="shared" si="10"/>
        <v>0</v>
      </c>
      <c r="M107" s="61">
        <v>33.712000000000003</v>
      </c>
      <c r="N107" s="67">
        <v>33.711999999999996</v>
      </c>
      <c r="O107" s="60">
        <f t="shared" si="11"/>
        <v>0</v>
      </c>
      <c r="P107" s="1">
        <v>0</v>
      </c>
      <c r="Q107" s="1"/>
      <c r="R107" s="1"/>
    </row>
    <row r="108" spans="2:18">
      <c r="B108">
        <v>16</v>
      </c>
      <c r="C108" s="59" t="s">
        <v>94</v>
      </c>
      <c r="D108" s="60">
        <v>28.46</v>
      </c>
      <c r="E108" s="60">
        <v>28.650000000000006</v>
      </c>
      <c r="F108" s="60">
        <f t="shared" si="8"/>
        <v>0.19000000000000483</v>
      </c>
      <c r="G108" s="60">
        <v>40.354999999999997</v>
      </c>
      <c r="H108" s="61">
        <v>40.664999999999999</v>
      </c>
      <c r="I108" s="60">
        <f t="shared" si="9"/>
        <v>0.31000000000000227</v>
      </c>
      <c r="J108" s="61">
        <v>32.54</v>
      </c>
      <c r="K108" s="61">
        <v>32.666000000000004</v>
      </c>
      <c r="L108" s="60">
        <f t="shared" si="10"/>
        <v>0.12600000000000477</v>
      </c>
      <c r="M108" s="61">
        <v>140.999</v>
      </c>
      <c r="N108" s="67">
        <v>141.08700000000002</v>
      </c>
      <c r="O108" s="60">
        <f t="shared" si="11"/>
        <v>8.8000000000022283E-2</v>
      </c>
      <c r="P108" s="1">
        <v>0</v>
      </c>
      <c r="Q108" s="1"/>
      <c r="R108" s="1"/>
    </row>
    <row r="109" spans="2:18">
      <c r="B109">
        <v>17</v>
      </c>
      <c r="C109" s="59" t="s">
        <v>95</v>
      </c>
      <c r="D109" s="60">
        <v>24.76</v>
      </c>
      <c r="E109" s="60">
        <v>24.760000000000005</v>
      </c>
      <c r="F109" s="60">
        <f t="shared" si="8"/>
        <v>0</v>
      </c>
      <c r="G109" s="60">
        <v>29.908000000000001</v>
      </c>
      <c r="H109" s="61">
        <v>29.907999999999994</v>
      </c>
      <c r="I109" s="60">
        <f t="shared" si="9"/>
        <v>0</v>
      </c>
      <c r="J109" s="61">
        <v>44.21</v>
      </c>
      <c r="K109" s="61">
        <v>44.21</v>
      </c>
      <c r="L109" s="60">
        <f t="shared" si="10"/>
        <v>0</v>
      </c>
      <c r="M109" s="61">
        <v>16.864000000000001</v>
      </c>
      <c r="N109" s="67">
        <v>16.864000000000001</v>
      </c>
      <c r="O109" s="60">
        <f t="shared" si="11"/>
        <v>0</v>
      </c>
      <c r="P109" s="1">
        <v>0</v>
      </c>
      <c r="Q109" s="1"/>
      <c r="R109" s="1"/>
    </row>
    <row r="110" spans="2:18">
      <c r="B110">
        <v>18</v>
      </c>
      <c r="C110" s="59" t="s">
        <v>96</v>
      </c>
      <c r="D110" s="60">
        <v>37.844999999999999</v>
      </c>
      <c r="E110" s="60">
        <v>37.896000000000001</v>
      </c>
      <c r="F110" s="60">
        <f t="shared" si="8"/>
        <v>5.1000000000001933E-2</v>
      </c>
      <c r="G110" s="60">
        <v>91.927000000000007</v>
      </c>
      <c r="H110" s="61">
        <v>91.985000000000014</v>
      </c>
      <c r="I110" s="60">
        <f t="shared" si="9"/>
        <v>5.8000000000006935E-2</v>
      </c>
      <c r="J110" s="61">
        <v>0</v>
      </c>
      <c r="K110" s="61">
        <v>0</v>
      </c>
      <c r="L110" s="60">
        <f t="shared" si="10"/>
        <v>0</v>
      </c>
      <c r="M110" s="61">
        <v>0.69499999999999995</v>
      </c>
      <c r="N110" s="67">
        <v>0.70439999999999969</v>
      </c>
      <c r="O110" s="60">
        <f t="shared" si="11"/>
        <v>9.3999999999997419E-3</v>
      </c>
      <c r="P110" s="1">
        <v>0</v>
      </c>
      <c r="Q110" s="1"/>
      <c r="R110" s="1"/>
    </row>
    <row r="111" spans="2:18">
      <c r="B111">
        <v>19</v>
      </c>
      <c r="C111" s="59" t="s">
        <v>97</v>
      </c>
      <c r="D111" s="60">
        <v>7.218</v>
      </c>
      <c r="E111" s="60">
        <v>6.9329999999999998</v>
      </c>
      <c r="F111" s="60">
        <f t="shared" si="8"/>
        <v>-0.28500000000000014</v>
      </c>
      <c r="G111" s="60">
        <v>113.73399999999999</v>
      </c>
      <c r="H111" s="61">
        <v>113.614</v>
      </c>
      <c r="I111" s="60">
        <f t="shared" si="9"/>
        <v>-0.11999999999999034</v>
      </c>
      <c r="J111" s="61">
        <v>20.324999999999999</v>
      </c>
      <c r="K111" s="61">
        <v>20.325000000000003</v>
      </c>
      <c r="L111" s="60">
        <f t="shared" si="10"/>
        <v>0</v>
      </c>
      <c r="M111" s="61">
        <v>0</v>
      </c>
      <c r="N111" s="67">
        <v>0</v>
      </c>
      <c r="O111" s="60">
        <f t="shared" si="11"/>
        <v>0</v>
      </c>
      <c r="P111" s="1">
        <v>0</v>
      </c>
      <c r="Q111" s="1"/>
      <c r="R111" s="1"/>
    </row>
    <row r="112" spans="2:18">
      <c r="B112">
        <v>20</v>
      </c>
      <c r="C112" s="59" t="s">
        <v>98</v>
      </c>
      <c r="D112" s="60">
        <v>22.492000000000001</v>
      </c>
      <c r="E112" s="60">
        <v>22.492000000000001</v>
      </c>
      <c r="F112" s="60">
        <f t="shared" si="8"/>
        <v>0</v>
      </c>
      <c r="G112" s="60">
        <v>64.887</v>
      </c>
      <c r="H112" s="61">
        <v>61.618000000000002</v>
      </c>
      <c r="I112" s="60">
        <f t="shared" si="9"/>
        <v>-3.2689999999999984</v>
      </c>
      <c r="J112" s="61">
        <v>2.5640000000000001</v>
      </c>
      <c r="K112" s="61">
        <v>5.8330000000000002</v>
      </c>
      <c r="L112" s="60">
        <f t="shared" si="10"/>
        <v>3.2690000000000001</v>
      </c>
      <c r="M112" s="61">
        <v>8.5220000000000002</v>
      </c>
      <c r="N112" s="67">
        <v>8.5220000000000002</v>
      </c>
      <c r="O112" s="60">
        <f t="shared" si="11"/>
        <v>0</v>
      </c>
      <c r="P112" s="1">
        <v>0</v>
      </c>
      <c r="Q112" s="1"/>
      <c r="R112" s="1"/>
    </row>
    <row r="113" spans="2:18">
      <c r="B113">
        <v>21</v>
      </c>
      <c r="C113" s="59" t="s">
        <v>99</v>
      </c>
      <c r="D113" s="60">
        <v>12.16</v>
      </c>
      <c r="E113" s="60">
        <v>12.160000000000004</v>
      </c>
      <c r="F113" s="60">
        <f t="shared" si="8"/>
        <v>0</v>
      </c>
      <c r="G113" s="60">
        <v>19.89</v>
      </c>
      <c r="H113" s="61">
        <v>19.89</v>
      </c>
      <c r="I113" s="60">
        <f t="shared" si="9"/>
        <v>0</v>
      </c>
      <c r="J113" s="61">
        <v>12</v>
      </c>
      <c r="K113" s="61">
        <v>12.000000000000002</v>
      </c>
      <c r="L113" s="60">
        <f t="shared" si="10"/>
        <v>0</v>
      </c>
      <c r="M113" s="61">
        <v>2.77</v>
      </c>
      <c r="N113" s="67">
        <v>2.7699999999999996</v>
      </c>
      <c r="O113" s="60">
        <f t="shared" si="11"/>
        <v>0</v>
      </c>
      <c r="P113" s="1">
        <v>0</v>
      </c>
      <c r="Q113" s="1"/>
      <c r="R113" s="1"/>
    </row>
    <row r="114" spans="2:18">
      <c r="B114">
        <v>22</v>
      </c>
      <c r="C114" s="59" t="s">
        <v>100</v>
      </c>
      <c r="D114" s="60">
        <v>8.0399999999999991</v>
      </c>
      <c r="E114" s="60">
        <v>8.0399999999999956</v>
      </c>
      <c r="F114" s="60">
        <f t="shared" si="8"/>
        <v>0</v>
      </c>
      <c r="G114" s="60">
        <v>63.494999999999997</v>
      </c>
      <c r="H114" s="61">
        <v>63.49499999999999</v>
      </c>
      <c r="I114" s="60">
        <f t="shared" si="9"/>
        <v>0</v>
      </c>
      <c r="J114" s="61">
        <v>40.414999999999999</v>
      </c>
      <c r="K114" s="61">
        <v>40.414999999999992</v>
      </c>
      <c r="L114" s="60">
        <f t="shared" si="10"/>
        <v>0</v>
      </c>
      <c r="M114" s="61">
        <v>19.12</v>
      </c>
      <c r="N114" s="67">
        <v>19.12</v>
      </c>
      <c r="O114" s="60">
        <f t="shared" si="11"/>
        <v>0</v>
      </c>
      <c r="P114" s="1">
        <v>0</v>
      </c>
      <c r="Q114" s="1"/>
      <c r="R114" s="1"/>
    </row>
    <row r="115" spans="2:18">
      <c r="B115">
        <v>23</v>
      </c>
      <c r="C115" s="59" t="s">
        <v>101</v>
      </c>
      <c r="D115" s="60">
        <v>14.295</v>
      </c>
      <c r="E115" s="60">
        <v>14.295000000000002</v>
      </c>
      <c r="F115" s="60">
        <f t="shared" si="8"/>
        <v>0</v>
      </c>
      <c r="G115" s="60">
        <v>67.53</v>
      </c>
      <c r="H115" s="61">
        <v>67.53</v>
      </c>
      <c r="I115" s="60">
        <f t="shared" si="9"/>
        <v>0</v>
      </c>
      <c r="J115" s="61">
        <v>45.03</v>
      </c>
      <c r="K115" s="61">
        <v>45.03</v>
      </c>
      <c r="L115" s="60">
        <f t="shared" si="10"/>
        <v>0</v>
      </c>
      <c r="M115" s="61">
        <v>11.574999999999999</v>
      </c>
      <c r="N115" s="67">
        <v>15.719999999999999</v>
      </c>
      <c r="O115" s="60">
        <f t="shared" si="11"/>
        <v>4.1449999999999996</v>
      </c>
      <c r="P115" s="1">
        <v>0</v>
      </c>
      <c r="Q115" s="1"/>
      <c r="R115" s="1"/>
    </row>
    <row r="116" spans="2:18">
      <c r="B116">
        <v>24</v>
      </c>
      <c r="C116" s="65" t="s">
        <v>102</v>
      </c>
      <c r="D116" s="60">
        <v>28.013999999999999</v>
      </c>
      <c r="E116" s="60">
        <v>28.224999999999994</v>
      </c>
      <c r="F116" s="60">
        <f t="shared" si="8"/>
        <v>0.21099999999999497</v>
      </c>
      <c r="G116" s="60">
        <v>35.816000000000003</v>
      </c>
      <c r="H116" s="61">
        <v>36.043999999999997</v>
      </c>
      <c r="I116" s="60">
        <f t="shared" si="9"/>
        <v>0.22799999999999443</v>
      </c>
      <c r="J116" s="61">
        <v>15.363</v>
      </c>
      <c r="K116" s="61">
        <v>15.462</v>
      </c>
      <c r="L116" s="60">
        <f t="shared" si="10"/>
        <v>9.9000000000000199E-2</v>
      </c>
      <c r="M116" s="61">
        <v>8.2509999999999994</v>
      </c>
      <c r="N116" s="67">
        <v>8.3379999999999956</v>
      </c>
      <c r="O116" s="60">
        <f t="shared" si="11"/>
        <v>8.6999999999996191E-2</v>
      </c>
      <c r="P116" s="1">
        <v>0</v>
      </c>
      <c r="Q116" s="1"/>
      <c r="R116" s="1"/>
    </row>
    <row r="117" spans="2:18">
      <c r="B117">
        <v>25</v>
      </c>
      <c r="C117" s="59" t="s">
        <v>103</v>
      </c>
      <c r="D117" s="60">
        <v>-25.821999999999999</v>
      </c>
      <c r="E117" s="60">
        <v>23.138000000000002</v>
      </c>
      <c r="F117" s="60">
        <f t="shared" si="8"/>
        <v>48.96</v>
      </c>
      <c r="G117" s="60">
        <v>174.73699999999999</v>
      </c>
      <c r="H117" s="61">
        <v>140.07400000000001</v>
      </c>
      <c r="I117" s="60">
        <f t="shared" si="9"/>
        <v>-34.662999999999982</v>
      </c>
      <c r="J117" s="61">
        <v>-37.6</v>
      </c>
      <c r="K117" s="61">
        <v>12.432</v>
      </c>
      <c r="L117" s="60">
        <f t="shared" si="10"/>
        <v>50.032000000000004</v>
      </c>
      <c r="M117" s="61">
        <v>30.62</v>
      </c>
      <c r="N117" s="67">
        <v>27.346</v>
      </c>
      <c r="O117" s="60">
        <f t="shared" si="11"/>
        <v>-3.2740000000000009</v>
      </c>
      <c r="P117" s="1">
        <v>0</v>
      </c>
      <c r="Q117" s="1"/>
      <c r="R117" s="1"/>
    </row>
    <row r="118" spans="2:18">
      <c r="B118">
        <v>26</v>
      </c>
      <c r="C118" s="59" t="s">
        <v>104</v>
      </c>
      <c r="D118" s="62">
        <v>2.8370000000000002</v>
      </c>
      <c r="E118" s="63">
        <v>16.715</v>
      </c>
      <c r="F118" s="60">
        <f t="shared" si="8"/>
        <v>13.878</v>
      </c>
      <c r="G118" s="60">
        <v>150.18600000000001</v>
      </c>
      <c r="H118" s="60">
        <v>149.88800000000001</v>
      </c>
      <c r="I118" s="60">
        <f t="shared" si="9"/>
        <v>-0.29800000000000182</v>
      </c>
      <c r="J118" s="61">
        <v>26.21</v>
      </c>
      <c r="K118" s="61">
        <v>26.096</v>
      </c>
      <c r="L118" s="60">
        <f t="shared" si="10"/>
        <v>-0.11400000000000077</v>
      </c>
      <c r="M118" s="60">
        <v>41.143000000000001</v>
      </c>
      <c r="N118" s="68">
        <v>40.159999999999997</v>
      </c>
      <c r="O118" s="60">
        <f t="shared" si="11"/>
        <v>-0.98300000000000409</v>
      </c>
      <c r="P118" s="1">
        <v>0</v>
      </c>
      <c r="Q118" s="1"/>
      <c r="R118" s="1"/>
    </row>
    <row r="119" spans="2:18">
      <c r="B119">
        <v>27</v>
      </c>
      <c r="C119" s="59" t="s">
        <v>105</v>
      </c>
      <c r="D119" s="60">
        <v>53.944000000000003</v>
      </c>
      <c r="E119" s="60">
        <v>53.587000000000003</v>
      </c>
      <c r="F119" s="60">
        <f t="shared" si="8"/>
        <v>-0.35699999999999932</v>
      </c>
      <c r="G119" s="60">
        <v>50.18</v>
      </c>
      <c r="H119" s="61">
        <v>30.363</v>
      </c>
      <c r="I119" s="60">
        <f t="shared" si="9"/>
        <v>-19.817</v>
      </c>
      <c r="J119" s="61">
        <v>66.733999999999995</v>
      </c>
      <c r="K119" s="61">
        <v>65.8</v>
      </c>
      <c r="L119" s="60">
        <f t="shared" si="10"/>
        <v>-0.9339999999999975</v>
      </c>
      <c r="M119" s="61">
        <v>26.228000000000002</v>
      </c>
      <c r="N119" s="67">
        <v>26.068000000000001</v>
      </c>
      <c r="O119" s="60">
        <f t="shared" si="11"/>
        <v>-0.16000000000000014</v>
      </c>
      <c r="P119" s="1">
        <v>0</v>
      </c>
      <c r="Q119" s="1"/>
      <c r="R119" s="1"/>
    </row>
    <row r="120" spans="2:18">
      <c r="B120">
        <v>28</v>
      </c>
      <c r="C120" s="59" t="s">
        <v>106</v>
      </c>
      <c r="D120" s="60">
        <v>52.289000000000001</v>
      </c>
      <c r="E120" s="60">
        <v>52.286000000000001</v>
      </c>
      <c r="F120" s="60">
        <f t="shared" si="8"/>
        <v>-3.0000000000001137E-3</v>
      </c>
      <c r="G120" s="60">
        <v>13.39</v>
      </c>
      <c r="H120" s="61">
        <v>13.408999999999999</v>
      </c>
      <c r="I120" s="60">
        <f t="shared" si="9"/>
        <v>1.8999999999998352E-2</v>
      </c>
      <c r="J120" s="61">
        <v>8.282</v>
      </c>
      <c r="K120" s="61">
        <v>8.3049999999999997</v>
      </c>
      <c r="L120" s="60">
        <f t="shared" si="10"/>
        <v>2.2999999999999687E-2</v>
      </c>
      <c r="M120" s="61">
        <v>39.621000000000002</v>
      </c>
      <c r="N120" s="67">
        <v>39.607999999999997</v>
      </c>
      <c r="O120" s="60">
        <f t="shared" si="11"/>
        <v>-1.300000000000523E-2</v>
      </c>
      <c r="P120" s="1">
        <v>-0.499</v>
      </c>
      <c r="Q120" s="1"/>
      <c r="R120" s="1"/>
    </row>
    <row r="121" spans="2:18">
      <c r="B121">
        <v>29</v>
      </c>
      <c r="C121" s="59" t="s">
        <v>107</v>
      </c>
      <c r="D121" s="60">
        <v>22.245000000000001</v>
      </c>
      <c r="E121" s="60">
        <v>17.950000000000003</v>
      </c>
      <c r="F121" s="60">
        <f t="shared" si="8"/>
        <v>-4.2949999999999982</v>
      </c>
      <c r="G121" s="60">
        <v>2.6680000000000001</v>
      </c>
      <c r="H121" s="61">
        <v>8.5750000000000011</v>
      </c>
      <c r="I121" s="60">
        <f t="shared" si="9"/>
        <v>5.9070000000000009</v>
      </c>
      <c r="J121" s="61">
        <v>0.08</v>
      </c>
      <c r="K121" s="61">
        <v>8.09</v>
      </c>
      <c r="L121" s="60">
        <f t="shared" si="10"/>
        <v>8.01</v>
      </c>
      <c r="M121" s="61">
        <v>-41.234999999999999</v>
      </c>
      <c r="N121" s="67">
        <v>6.414999999999992</v>
      </c>
      <c r="O121" s="60">
        <f t="shared" si="11"/>
        <v>47.649999999999991</v>
      </c>
      <c r="P121" s="1">
        <v>0</v>
      </c>
      <c r="Q121" s="1"/>
      <c r="R121" s="1"/>
    </row>
    <row r="122" spans="2:18">
      <c r="B122">
        <v>30</v>
      </c>
      <c r="C122" s="59" t="s">
        <v>108</v>
      </c>
      <c r="D122" s="60">
        <v>1.224</v>
      </c>
      <c r="E122" s="60">
        <v>1.5250000000000057</v>
      </c>
      <c r="F122" s="60">
        <f t="shared" si="8"/>
        <v>0.30100000000000571</v>
      </c>
      <c r="G122" s="60">
        <v>30.466000000000001</v>
      </c>
      <c r="H122" s="61">
        <v>32.609000000000023</v>
      </c>
      <c r="I122" s="60">
        <f t="shared" si="9"/>
        <v>2.143000000000022</v>
      </c>
      <c r="J122" s="61">
        <v>0</v>
      </c>
      <c r="K122" s="61">
        <v>0</v>
      </c>
      <c r="L122" s="60">
        <f t="shared" si="10"/>
        <v>0</v>
      </c>
      <c r="M122" s="61">
        <v>16.391999999999999</v>
      </c>
      <c r="N122" s="67">
        <v>16.689999999999998</v>
      </c>
      <c r="O122" s="60">
        <f t="shared" si="11"/>
        <v>0.29799999999999827</v>
      </c>
      <c r="P122" s="1">
        <v>0</v>
      </c>
      <c r="Q122" s="1"/>
      <c r="R122" s="1"/>
    </row>
    <row r="123" spans="2:18">
      <c r="B123">
        <v>31</v>
      </c>
      <c r="C123" s="59" t="s">
        <v>109</v>
      </c>
      <c r="D123" s="60">
        <v>23.324999999999999</v>
      </c>
      <c r="E123" s="60">
        <v>32.201000000000001</v>
      </c>
      <c r="F123" s="60">
        <f t="shared" si="8"/>
        <v>8.8760000000000012</v>
      </c>
      <c r="G123" s="60">
        <v>174.61500000000001</v>
      </c>
      <c r="H123" s="61">
        <v>12.378</v>
      </c>
      <c r="I123" s="60">
        <f t="shared" si="9"/>
        <v>-162.23700000000002</v>
      </c>
      <c r="J123" s="61">
        <v>-44.155000000000001</v>
      </c>
      <c r="K123" s="61">
        <v>0</v>
      </c>
      <c r="L123" s="60">
        <f t="shared" si="10"/>
        <v>44.155000000000001</v>
      </c>
      <c r="M123" s="61">
        <v>88.918000000000006</v>
      </c>
      <c r="N123" s="67">
        <v>67.268999999999991</v>
      </c>
      <c r="O123" s="60">
        <f t="shared" si="11"/>
        <v>-21.649000000000015</v>
      </c>
      <c r="P123" s="1">
        <v>0</v>
      </c>
      <c r="Q123" s="1"/>
      <c r="R123" s="1"/>
    </row>
    <row r="124" spans="2:18">
      <c r="B124">
        <v>32</v>
      </c>
      <c r="C124" s="59" t="s">
        <v>110</v>
      </c>
      <c r="D124" s="60">
        <v>16.646999999999998</v>
      </c>
      <c r="E124" s="60">
        <v>16.646999999999998</v>
      </c>
      <c r="F124" s="60">
        <f t="shared" si="8"/>
        <v>0</v>
      </c>
      <c r="G124" s="60">
        <v>94.724999999999994</v>
      </c>
      <c r="H124" s="61">
        <v>94.724999999999994</v>
      </c>
      <c r="I124" s="60">
        <f t="shared" si="9"/>
        <v>0</v>
      </c>
      <c r="J124" s="61">
        <v>67.325000000000003</v>
      </c>
      <c r="K124" s="61">
        <v>67.264999999999986</v>
      </c>
      <c r="L124" s="60">
        <f t="shared" si="10"/>
        <v>-6.0000000000016485E-2</v>
      </c>
      <c r="M124" s="61">
        <v>0</v>
      </c>
      <c r="N124" s="67">
        <v>0</v>
      </c>
      <c r="O124" s="60">
        <f t="shared" si="11"/>
        <v>0</v>
      </c>
      <c r="P124" s="1">
        <v>0</v>
      </c>
      <c r="Q124" s="1"/>
      <c r="R124" s="1"/>
    </row>
    <row r="125" spans="2:18">
      <c r="B125">
        <v>33</v>
      </c>
      <c r="C125" s="59" t="s">
        <v>111</v>
      </c>
      <c r="D125" s="60">
        <v>19.855</v>
      </c>
      <c r="E125" s="60">
        <v>19.854999999999997</v>
      </c>
      <c r="F125" s="60">
        <f t="shared" si="8"/>
        <v>0</v>
      </c>
      <c r="G125" s="60">
        <v>16.131</v>
      </c>
      <c r="H125" s="64">
        <v>16.131000000000007</v>
      </c>
      <c r="I125" s="60">
        <f t="shared" si="9"/>
        <v>0</v>
      </c>
      <c r="J125" s="61">
        <v>0</v>
      </c>
      <c r="K125" s="61">
        <v>0</v>
      </c>
      <c r="L125" s="60">
        <f t="shared" si="10"/>
        <v>0</v>
      </c>
      <c r="M125" s="61">
        <v>13.092000000000001</v>
      </c>
      <c r="N125" s="67">
        <v>13.091999999999999</v>
      </c>
      <c r="O125" s="60">
        <f t="shared" si="11"/>
        <v>0</v>
      </c>
      <c r="P125" s="1">
        <v>0</v>
      </c>
      <c r="Q125" s="1"/>
      <c r="R125" s="1"/>
    </row>
    <row r="126" spans="2:18">
      <c r="B126">
        <v>34</v>
      </c>
      <c r="C126" s="59" t="s">
        <v>112</v>
      </c>
      <c r="D126" s="60">
        <v>16.477</v>
      </c>
      <c r="E126" s="60">
        <v>16.601999999999997</v>
      </c>
      <c r="F126" s="60">
        <f t="shared" si="8"/>
        <v>0.12499999999999645</v>
      </c>
      <c r="G126" s="60">
        <v>33.024999999999999</v>
      </c>
      <c r="H126" s="61">
        <v>34.190000000000005</v>
      </c>
      <c r="I126" s="60">
        <f t="shared" si="9"/>
        <v>1.1650000000000063</v>
      </c>
      <c r="J126" s="61">
        <v>10.037000000000001</v>
      </c>
      <c r="K126" s="61">
        <v>9.5640000000000001</v>
      </c>
      <c r="L126" s="60">
        <f t="shared" si="10"/>
        <v>-0.47300000000000075</v>
      </c>
      <c r="M126" s="61">
        <v>14.907</v>
      </c>
      <c r="N126" s="67">
        <v>14.113000000000001</v>
      </c>
      <c r="O126" s="60">
        <f t="shared" si="11"/>
        <v>-0.79399999999999871</v>
      </c>
      <c r="P126" s="1">
        <v>0</v>
      </c>
      <c r="Q126" s="1"/>
      <c r="R126" s="1"/>
    </row>
    <row r="130" spans="2:18">
      <c r="C130" s="58">
        <v>46159</v>
      </c>
    </row>
    <row r="131" spans="2:18">
      <c r="C131" s="32" t="s">
        <v>68</v>
      </c>
      <c r="D131" s="33">
        <v>161</v>
      </c>
      <c r="E131" s="33"/>
      <c r="F131" s="33"/>
      <c r="G131" s="33">
        <v>2054</v>
      </c>
      <c r="H131" s="34"/>
      <c r="I131" s="34"/>
      <c r="J131" s="34">
        <v>5550</v>
      </c>
      <c r="K131" s="34"/>
      <c r="L131" s="34"/>
      <c r="M131" s="34">
        <v>8899</v>
      </c>
      <c r="N131" s="1"/>
      <c r="O131" s="1"/>
      <c r="P131" s="34">
        <v>5550</v>
      </c>
      <c r="Q131" s="1"/>
      <c r="R131" s="1"/>
    </row>
    <row r="132" spans="2:18" s="36" customFormat="1">
      <c r="C132" s="32" t="s">
        <v>69</v>
      </c>
      <c r="D132" s="35">
        <v>100001</v>
      </c>
      <c r="E132" s="35"/>
      <c r="F132" s="35"/>
      <c r="G132" s="33">
        <v>100004</v>
      </c>
      <c r="H132" s="34"/>
      <c r="I132" s="34"/>
      <c r="J132" s="34">
        <v>100030</v>
      </c>
      <c r="K132" s="34"/>
      <c r="L132" s="34"/>
      <c r="M132" s="34">
        <v>100153</v>
      </c>
      <c r="N132" s="34"/>
      <c r="O132" s="34"/>
      <c r="P132" s="34">
        <v>100030</v>
      </c>
      <c r="Q132" s="34"/>
      <c r="R132" s="34"/>
    </row>
    <row r="133" spans="2:18">
      <c r="C133" s="37" t="s">
        <v>70</v>
      </c>
      <c r="D133" s="33" t="s">
        <v>71</v>
      </c>
      <c r="E133" s="33"/>
      <c r="F133" s="33"/>
      <c r="G133" s="33" t="s">
        <v>71</v>
      </c>
      <c r="H133" s="38"/>
      <c r="I133" s="38"/>
      <c r="J133" s="38" t="s">
        <v>71</v>
      </c>
      <c r="K133" s="38"/>
      <c r="L133" s="38"/>
      <c r="M133" s="38" t="s">
        <v>71</v>
      </c>
      <c r="N133" s="1"/>
      <c r="O133" s="1"/>
      <c r="P133" s="38" t="s">
        <v>71</v>
      </c>
      <c r="Q133" s="1"/>
      <c r="R133" s="1"/>
    </row>
    <row r="134" spans="2:18">
      <c r="C134" s="39" t="s">
        <v>72</v>
      </c>
      <c r="D134" s="126" t="s">
        <v>73</v>
      </c>
      <c r="E134" s="126"/>
      <c r="F134" s="126"/>
      <c r="G134" s="122" t="s">
        <v>74</v>
      </c>
      <c r="H134" s="122"/>
      <c r="I134" s="122"/>
      <c r="J134" s="127" t="s">
        <v>75</v>
      </c>
      <c r="K134" s="127"/>
      <c r="L134" s="127"/>
      <c r="M134" s="120" t="s">
        <v>76</v>
      </c>
      <c r="N134" s="120"/>
      <c r="O134" s="120"/>
      <c r="P134" s="128" t="s">
        <v>115</v>
      </c>
      <c r="Q134" s="128"/>
      <c r="R134" s="128"/>
    </row>
    <row r="135" spans="2:18" ht="46.8" customHeight="1">
      <c r="B135">
        <v>13</v>
      </c>
      <c r="C135" s="40" t="s">
        <v>61</v>
      </c>
      <c r="D135" s="41" t="s">
        <v>116</v>
      </c>
      <c r="E135" s="41" t="s">
        <v>77</v>
      </c>
      <c r="F135" s="41" t="s">
        <v>78</v>
      </c>
      <c r="G135" s="42" t="s">
        <v>116</v>
      </c>
      <c r="H135" s="42" t="s">
        <v>77</v>
      </c>
      <c r="I135" s="42" t="s">
        <v>78</v>
      </c>
      <c r="J135" s="43" t="s">
        <v>116</v>
      </c>
      <c r="K135" s="43" t="s">
        <v>77</v>
      </c>
      <c r="L135" s="43" t="s">
        <v>78</v>
      </c>
      <c r="M135" s="44" t="s">
        <v>116</v>
      </c>
      <c r="N135" s="44" t="s">
        <v>77</v>
      </c>
      <c r="O135" s="44" t="s">
        <v>78</v>
      </c>
      <c r="P135" s="66" t="s">
        <v>116</v>
      </c>
      <c r="Q135" s="66" t="s">
        <v>77</v>
      </c>
      <c r="R135" s="66" t="s">
        <v>78</v>
      </c>
    </row>
    <row r="136" spans="2:18">
      <c r="B136">
        <v>1</v>
      </c>
      <c r="C136" s="59" t="s">
        <v>79</v>
      </c>
      <c r="D136" s="61">
        <v>0.49099999999999999</v>
      </c>
      <c r="E136" s="61">
        <v>0.49200000000003286</v>
      </c>
      <c r="F136" s="60">
        <f t="shared" ref="F136:F169" si="12">E136-D136</f>
        <v>1.0000000000328635E-3</v>
      </c>
      <c r="G136" s="61">
        <v>32.691000000000003</v>
      </c>
      <c r="H136" s="61">
        <v>32.694999999999986</v>
      </c>
      <c r="I136" s="60">
        <f t="shared" ref="I136:I169" si="13">H136-G136</f>
        <v>3.9999999999835723E-3</v>
      </c>
      <c r="J136" s="61">
        <v>31.38</v>
      </c>
      <c r="K136" s="61">
        <v>31.380000000000003</v>
      </c>
      <c r="L136" s="60">
        <f t="shared" ref="L136:L169" si="14">K136-J136</f>
        <v>0</v>
      </c>
      <c r="M136" s="61">
        <v>10.289</v>
      </c>
      <c r="N136" s="67">
        <v>10.29</v>
      </c>
      <c r="O136" s="60">
        <f t="shared" ref="O136:O169" si="15">N136-M136</f>
        <v>9.9999999999944578E-4</v>
      </c>
      <c r="P136" s="1">
        <v>0</v>
      </c>
      <c r="Q136" s="1"/>
      <c r="R136" s="1"/>
    </row>
    <row r="137" spans="2:18">
      <c r="B137">
        <v>2</v>
      </c>
      <c r="C137" s="59" t="s">
        <v>80</v>
      </c>
      <c r="D137" s="61">
        <v>100.381</v>
      </c>
      <c r="E137" s="61">
        <v>49.623999999999995</v>
      </c>
      <c r="F137" s="60">
        <f t="shared" si="12"/>
        <v>-50.757000000000005</v>
      </c>
      <c r="G137" s="61">
        <v>177.93700000000001</v>
      </c>
      <c r="H137" s="61">
        <v>314.39999999999998</v>
      </c>
      <c r="I137" s="60">
        <f t="shared" si="13"/>
        <v>136.46299999999997</v>
      </c>
      <c r="J137" s="61">
        <v>75.034999999999997</v>
      </c>
      <c r="K137" s="61">
        <v>21.555</v>
      </c>
      <c r="L137" s="60">
        <f t="shared" si="14"/>
        <v>-53.48</v>
      </c>
      <c r="M137" s="61">
        <v>16.681000000000001</v>
      </c>
      <c r="N137" s="67">
        <v>15.969999999999999</v>
      </c>
      <c r="O137" s="60">
        <f t="shared" si="15"/>
        <v>-0.71100000000000207</v>
      </c>
      <c r="P137" s="1">
        <v>0</v>
      </c>
      <c r="Q137" s="1"/>
      <c r="R137" s="1"/>
    </row>
    <row r="138" spans="2:18">
      <c r="B138">
        <v>3</v>
      </c>
      <c r="C138" s="59" t="s">
        <v>81</v>
      </c>
      <c r="D138" s="61">
        <v>0</v>
      </c>
      <c r="E138" s="61">
        <v>0</v>
      </c>
      <c r="F138" s="60">
        <f t="shared" si="12"/>
        <v>0</v>
      </c>
      <c r="G138" s="61">
        <v>142.52000000000001</v>
      </c>
      <c r="H138" s="61">
        <v>142.52000000000004</v>
      </c>
      <c r="I138" s="60">
        <f t="shared" si="13"/>
        <v>0</v>
      </c>
      <c r="J138" s="61">
        <v>6.5979999999999999</v>
      </c>
      <c r="K138" s="61">
        <v>6.5980000000000025</v>
      </c>
      <c r="L138" s="60">
        <f t="shared" si="14"/>
        <v>0</v>
      </c>
      <c r="M138" s="61">
        <v>15.242000000000001</v>
      </c>
      <c r="N138" s="67">
        <v>15.242000000000001</v>
      </c>
      <c r="O138" s="60">
        <f t="shared" si="15"/>
        <v>0</v>
      </c>
      <c r="P138" s="1">
        <v>0</v>
      </c>
      <c r="Q138" s="1"/>
      <c r="R138" s="1"/>
    </row>
    <row r="139" spans="2:18">
      <c r="B139">
        <v>4</v>
      </c>
      <c r="C139" s="59" t="s">
        <v>82</v>
      </c>
      <c r="D139" s="61">
        <v>3.13</v>
      </c>
      <c r="E139" s="61">
        <v>3.1280000000000001</v>
      </c>
      <c r="F139" s="60">
        <f t="shared" si="12"/>
        <v>-1.9999999999997797E-3</v>
      </c>
      <c r="G139" s="61">
        <v>121.413</v>
      </c>
      <c r="H139" s="61">
        <v>113.11500000000007</v>
      </c>
      <c r="I139" s="60">
        <f t="shared" si="13"/>
        <v>-8.2979999999999308</v>
      </c>
      <c r="J139" s="61">
        <v>0</v>
      </c>
      <c r="K139" s="61">
        <v>0</v>
      </c>
      <c r="L139" s="60">
        <f t="shared" si="14"/>
        <v>0</v>
      </c>
      <c r="M139" s="61">
        <v>158.309</v>
      </c>
      <c r="N139" s="67">
        <v>158.68499999999997</v>
      </c>
      <c r="O139" s="60">
        <f t="shared" si="15"/>
        <v>0.37599999999997635</v>
      </c>
      <c r="P139" s="1">
        <v>0</v>
      </c>
      <c r="Q139" s="1"/>
      <c r="R139" s="1"/>
    </row>
    <row r="140" spans="2:18">
      <c r="B140">
        <v>5</v>
      </c>
      <c r="C140" s="59" t="s">
        <v>83</v>
      </c>
      <c r="D140" s="61">
        <v>10.037000000000001</v>
      </c>
      <c r="E140" s="61">
        <v>4.0309999999999917</v>
      </c>
      <c r="F140" s="60">
        <f t="shared" si="12"/>
        <v>-6.0060000000000091</v>
      </c>
      <c r="G140" s="61">
        <v>30.425999999999998</v>
      </c>
      <c r="H140" s="61">
        <v>79.959000000000003</v>
      </c>
      <c r="I140" s="60">
        <f t="shared" si="13"/>
        <v>49.533000000000001</v>
      </c>
      <c r="J140" s="61">
        <v>16.132999999999999</v>
      </c>
      <c r="K140" s="61">
        <v>20.674999999999997</v>
      </c>
      <c r="L140" s="60">
        <f t="shared" si="14"/>
        <v>4.541999999999998</v>
      </c>
      <c r="M140" s="61">
        <v>22.693000000000001</v>
      </c>
      <c r="N140" s="67">
        <v>27.521999999999998</v>
      </c>
      <c r="O140" s="60">
        <f t="shared" si="15"/>
        <v>4.8289999999999971</v>
      </c>
      <c r="P140" s="1">
        <v>0</v>
      </c>
      <c r="Q140" s="1"/>
      <c r="R140" s="1"/>
    </row>
    <row r="141" spans="2:18">
      <c r="B141">
        <v>6</v>
      </c>
      <c r="C141" s="59" t="s">
        <v>84</v>
      </c>
      <c r="D141" s="61">
        <v>19.736999999999998</v>
      </c>
      <c r="E141" s="61">
        <v>19.739999999999998</v>
      </c>
      <c r="F141" s="60">
        <f t="shared" si="12"/>
        <v>3.0000000000001137E-3</v>
      </c>
      <c r="G141" s="61">
        <v>60.695</v>
      </c>
      <c r="H141" s="61">
        <v>60.682000000000002</v>
      </c>
      <c r="I141" s="60">
        <f t="shared" si="13"/>
        <v>-1.2999999999998124E-2</v>
      </c>
      <c r="J141" s="61">
        <v>4.2690000000000001</v>
      </c>
      <c r="K141" s="61">
        <v>4.3600000000000003</v>
      </c>
      <c r="L141" s="60">
        <f t="shared" si="14"/>
        <v>9.1000000000000192E-2</v>
      </c>
      <c r="M141" s="61">
        <v>23.201000000000001</v>
      </c>
      <c r="N141" s="67">
        <v>23.15</v>
      </c>
      <c r="O141" s="60">
        <f t="shared" si="15"/>
        <v>-5.1000000000001933E-2</v>
      </c>
      <c r="P141" s="1">
        <v>0</v>
      </c>
      <c r="Q141" s="1"/>
      <c r="R141" s="1"/>
    </row>
    <row r="142" spans="2:18">
      <c r="B142">
        <v>7</v>
      </c>
      <c r="C142" s="59" t="s">
        <v>85</v>
      </c>
      <c r="D142" s="61">
        <v>26.776</v>
      </c>
      <c r="E142" s="61">
        <v>26.595999999999997</v>
      </c>
      <c r="F142" s="60">
        <f t="shared" si="12"/>
        <v>-0.18000000000000327</v>
      </c>
      <c r="G142" s="61">
        <v>132.86099999999999</v>
      </c>
      <c r="H142" s="61">
        <v>130.15400000000002</v>
      </c>
      <c r="I142" s="60">
        <f t="shared" si="13"/>
        <v>-2.7069999999999652</v>
      </c>
      <c r="J142" s="61">
        <v>28.382000000000001</v>
      </c>
      <c r="K142" s="61">
        <v>28.154999999999994</v>
      </c>
      <c r="L142" s="60">
        <f t="shared" si="14"/>
        <v>-0.22700000000000742</v>
      </c>
      <c r="M142" s="61">
        <v>4.8949999999999996</v>
      </c>
      <c r="N142" s="67">
        <v>4.7979999999999947</v>
      </c>
      <c r="O142" s="60">
        <f t="shared" si="15"/>
        <v>-9.700000000000486E-2</v>
      </c>
      <c r="P142" s="1">
        <v>0</v>
      </c>
      <c r="Q142" s="1"/>
      <c r="R142" s="1"/>
    </row>
    <row r="143" spans="2:18">
      <c r="B143">
        <v>8</v>
      </c>
      <c r="C143" s="59" t="s">
        <v>86</v>
      </c>
      <c r="D143" s="61">
        <v>15.881</v>
      </c>
      <c r="E143" s="61">
        <v>4.3689999999999998</v>
      </c>
      <c r="F143" s="60">
        <f t="shared" si="12"/>
        <v>-11.512</v>
      </c>
      <c r="G143" s="61">
        <v>18.365999999999985</v>
      </c>
      <c r="H143" s="61">
        <v>14.255000000000001</v>
      </c>
      <c r="I143" s="60">
        <f t="shared" si="13"/>
        <v>-4.1109999999999847</v>
      </c>
      <c r="J143" s="61">
        <v>-0.52200000000000002</v>
      </c>
      <c r="K143" s="61">
        <v>0</v>
      </c>
      <c r="L143" s="60">
        <f t="shared" si="14"/>
        <v>0.52200000000000002</v>
      </c>
      <c r="M143" s="61">
        <v>4.4630000000000001</v>
      </c>
      <c r="N143" s="67">
        <v>3.4740000000000002</v>
      </c>
      <c r="O143" s="60">
        <f t="shared" si="15"/>
        <v>-0.98899999999999988</v>
      </c>
      <c r="P143" s="1">
        <v>-115.12</v>
      </c>
      <c r="Q143" s="1"/>
      <c r="R143" s="1"/>
    </row>
    <row r="144" spans="2:18">
      <c r="B144">
        <v>9</v>
      </c>
      <c r="C144" s="59" t="s">
        <v>87</v>
      </c>
      <c r="D144" s="61">
        <v>31.082000000000001</v>
      </c>
      <c r="E144" s="61">
        <v>31.151999999999987</v>
      </c>
      <c r="F144" s="60">
        <f t="shared" si="12"/>
        <v>6.9999999999986073E-2</v>
      </c>
      <c r="G144" s="61">
        <v>0.60599999999999998</v>
      </c>
      <c r="H144" s="61">
        <v>0.60700000000001353</v>
      </c>
      <c r="I144" s="60">
        <f t="shared" si="13"/>
        <v>1.0000000000135456E-3</v>
      </c>
      <c r="J144" s="61">
        <v>16.986999999999998</v>
      </c>
      <c r="K144" s="61">
        <v>17.003999999999994</v>
      </c>
      <c r="L144" s="60">
        <f t="shared" si="14"/>
        <v>1.6999999999995907E-2</v>
      </c>
      <c r="M144" s="61">
        <v>8.0549999999999997</v>
      </c>
      <c r="N144" s="67">
        <v>8.3040000000000038</v>
      </c>
      <c r="O144" s="60">
        <f t="shared" si="15"/>
        <v>0.24900000000000411</v>
      </c>
      <c r="P144" s="1">
        <v>0</v>
      </c>
      <c r="Q144" s="1"/>
      <c r="R144" s="1"/>
    </row>
    <row r="145" spans="2:18">
      <c r="B145">
        <v>10</v>
      </c>
      <c r="C145" s="59" t="s">
        <v>88</v>
      </c>
      <c r="D145" s="61">
        <v>2.5070000000000001</v>
      </c>
      <c r="E145" s="61">
        <v>2.7839999999999847</v>
      </c>
      <c r="F145" s="60">
        <f t="shared" si="12"/>
        <v>0.27699999999998459</v>
      </c>
      <c r="G145" s="61">
        <v>78.734999999999999</v>
      </c>
      <c r="H145" s="61">
        <v>101.685</v>
      </c>
      <c r="I145" s="60">
        <f t="shared" si="13"/>
        <v>22.950000000000003</v>
      </c>
      <c r="J145" s="61">
        <v>0</v>
      </c>
      <c r="K145" s="61">
        <v>0</v>
      </c>
      <c r="L145" s="60">
        <f t="shared" si="14"/>
        <v>0</v>
      </c>
      <c r="M145" s="61">
        <v>10.496</v>
      </c>
      <c r="N145" s="67">
        <v>10.731999999999999</v>
      </c>
      <c r="O145" s="60">
        <f t="shared" si="15"/>
        <v>0.23599999999999888</v>
      </c>
      <c r="P145" s="1">
        <v>-0.96</v>
      </c>
      <c r="Q145" s="1"/>
      <c r="R145" s="1"/>
    </row>
    <row r="146" spans="2:18">
      <c r="B146">
        <v>11</v>
      </c>
      <c r="C146" s="59" t="s">
        <v>89</v>
      </c>
      <c r="D146" s="61">
        <v>92.138999999999996</v>
      </c>
      <c r="E146" s="61">
        <v>92.138999999999996</v>
      </c>
      <c r="F146" s="60">
        <f t="shared" si="12"/>
        <v>0</v>
      </c>
      <c r="G146" s="61">
        <v>199.01300000000001</v>
      </c>
      <c r="H146" s="61">
        <v>199.01300000000003</v>
      </c>
      <c r="I146" s="60">
        <f t="shared" si="13"/>
        <v>0</v>
      </c>
      <c r="J146" s="61">
        <v>0</v>
      </c>
      <c r="K146" s="61">
        <v>0</v>
      </c>
      <c r="L146" s="60">
        <f t="shared" si="14"/>
        <v>0</v>
      </c>
      <c r="M146" s="61">
        <v>14.34</v>
      </c>
      <c r="N146" s="67">
        <v>14.339999999999996</v>
      </c>
      <c r="O146" s="60">
        <f t="shared" si="15"/>
        <v>0</v>
      </c>
      <c r="P146" s="1">
        <v>0</v>
      </c>
      <c r="Q146" s="1"/>
      <c r="R146" s="1"/>
    </row>
    <row r="147" spans="2:18">
      <c r="B147">
        <v>12</v>
      </c>
      <c r="C147" s="59" t="s">
        <v>90</v>
      </c>
      <c r="D147" s="61">
        <v>22.827000000000002</v>
      </c>
      <c r="E147" s="61">
        <v>22.924999999999997</v>
      </c>
      <c r="F147" s="60">
        <f t="shared" si="12"/>
        <v>9.7999999999995424E-2</v>
      </c>
      <c r="G147" s="61">
        <v>84.471000000000004</v>
      </c>
      <c r="H147" s="61">
        <v>84.569000000000017</v>
      </c>
      <c r="I147" s="60">
        <f t="shared" si="13"/>
        <v>9.8000000000013188E-2</v>
      </c>
      <c r="J147" s="61">
        <v>4.7469999999999999</v>
      </c>
      <c r="K147" s="61">
        <v>4.8439999999999976</v>
      </c>
      <c r="L147" s="60">
        <f t="shared" si="14"/>
        <v>9.6999999999997755E-2</v>
      </c>
      <c r="M147" s="61">
        <v>28.265999999999998</v>
      </c>
      <c r="N147" s="67">
        <v>28.358000000000004</v>
      </c>
      <c r="O147" s="60">
        <f t="shared" si="15"/>
        <v>9.2000000000005855E-2</v>
      </c>
      <c r="P147" s="1">
        <v>0</v>
      </c>
      <c r="Q147" s="1"/>
      <c r="R147" s="1"/>
    </row>
    <row r="148" spans="2:18">
      <c r="B148">
        <v>13</v>
      </c>
      <c r="C148" s="59" t="s">
        <v>91</v>
      </c>
      <c r="D148" s="61">
        <v>26.488</v>
      </c>
      <c r="E148" s="61">
        <v>26.488</v>
      </c>
      <c r="F148" s="60">
        <f t="shared" si="12"/>
        <v>0</v>
      </c>
      <c r="G148" s="61">
        <v>32.468000000000004</v>
      </c>
      <c r="H148" s="61">
        <v>38.490000000000023</v>
      </c>
      <c r="I148" s="60">
        <f t="shared" si="13"/>
        <v>6.0220000000000198</v>
      </c>
      <c r="J148" s="61">
        <v>25.995999999999999</v>
      </c>
      <c r="K148" s="61">
        <v>25.995999999999999</v>
      </c>
      <c r="L148" s="60">
        <f t="shared" si="14"/>
        <v>0</v>
      </c>
      <c r="M148" s="61">
        <v>12</v>
      </c>
      <c r="N148" s="67">
        <v>12</v>
      </c>
      <c r="O148" s="60">
        <f t="shared" si="15"/>
        <v>0</v>
      </c>
      <c r="P148" s="1">
        <v>-6.0220000000000002</v>
      </c>
      <c r="Q148" s="1"/>
      <c r="R148" s="1"/>
    </row>
    <row r="149" spans="2:18">
      <c r="B149">
        <v>14</v>
      </c>
      <c r="C149" s="59" t="s">
        <v>92</v>
      </c>
      <c r="D149" s="61">
        <v>25.709</v>
      </c>
      <c r="E149" s="61">
        <v>26.337999999999994</v>
      </c>
      <c r="F149" s="60">
        <f t="shared" si="12"/>
        <v>0.62899999999999423</v>
      </c>
      <c r="G149" s="61">
        <v>120.74299999999999</v>
      </c>
      <c r="H149" s="61">
        <v>123.20700000000004</v>
      </c>
      <c r="I149" s="60">
        <f t="shared" si="13"/>
        <v>2.4640000000000413</v>
      </c>
      <c r="J149" s="61">
        <v>0</v>
      </c>
      <c r="K149" s="61">
        <v>0</v>
      </c>
      <c r="L149" s="60">
        <f t="shared" si="14"/>
        <v>0</v>
      </c>
      <c r="M149" s="61">
        <v>107.13200000000001</v>
      </c>
      <c r="N149" s="67">
        <v>107.062</v>
      </c>
      <c r="O149" s="60">
        <f t="shared" si="15"/>
        <v>-7.000000000000739E-2</v>
      </c>
      <c r="P149" s="1">
        <v>0</v>
      </c>
      <c r="Q149" s="1"/>
      <c r="R149" s="1"/>
    </row>
    <row r="150" spans="2:18">
      <c r="B150">
        <v>15</v>
      </c>
      <c r="C150" s="59" t="s">
        <v>93</v>
      </c>
      <c r="D150" s="61">
        <v>4.1539999999999999</v>
      </c>
      <c r="E150" s="61">
        <v>4.1539999999999999</v>
      </c>
      <c r="F150" s="60">
        <f t="shared" si="12"/>
        <v>0</v>
      </c>
      <c r="G150" s="61">
        <v>25.788</v>
      </c>
      <c r="H150" s="61">
        <v>25.788000000000004</v>
      </c>
      <c r="I150" s="60">
        <f t="shared" si="13"/>
        <v>0</v>
      </c>
      <c r="J150" s="61">
        <v>0</v>
      </c>
      <c r="K150" s="61">
        <v>0</v>
      </c>
      <c r="L150" s="60">
        <f t="shared" si="14"/>
        <v>0</v>
      </c>
      <c r="M150" s="61">
        <v>24.498000000000001</v>
      </c>
      <c r="N150" s="67">
        <v>24.498000000000001</v>
      </c>
      <c r="O150" s="60">
        <f t="shared" si="15"/>
        <v>0</v>
      </c>
      <c r="P150" s="1">
        <v>0</v>
      </c>
      <c r="Q150" s="1"/>
      <c r="R150" s="1"/>
    </row>
    <row r="151" spans="2:18">
      <c r="B151">
        <v>16</v>
      </c>
      <c r="C151" s="59" t="s">
        <v>94</v>
      </c>
      <c r="D151" s="61">
        <v>18.437999999999999</v>
      </c>
      <c r="E151" s="61">
        <v>18.716000000000001</v>
      </c>
      <c r="F151" s="60">
        <f t="shared" si="12"/>
        <v>0.27800000000000225</v>
      </c>
      <c r="G151" s="61">
        <v>255.98399999999998</v>
      </c>
      <c r="H151" s="61">
        <v>258.37799999999999</v>
      </c>
      <c r="I151" s="60">
        <f t="shared" si="13"/>
        <v>2.3940000000000055</v>
      </c>
      <c r="J151" s="61">
        <v>11.956</v>
      </c>
      <c r="K151" s="61">
        <v>12.158000000000007</v>
      </c>
      <c r="L151" s="60">
        <f t="shared" si="14"/>
        <v>0.20200000000000706</v>
      </c>
      <c r="M151" s="61">
        <v>127.833</v>
      </c>
      <c r="N151" s="67">
        <v>127.96100000000001</v>
      </c>
      <c r="O151" s="60">
        <f t="shared" si="15"/>
        <v>0.12800000000001432</v>
      </c>
      <c r="P151" s="1">
        <v>-2.012</v>
      </c>
      <c r="Q151" s="1"/>
      <c r="R151" s="1"/>
    </row>
    <row r="152" spans="2:18">
      <c r="B152">
        <v>17</v>
      </c>
      <c r="C152" s="59" t="s">
        <v>95</v>
      </c>
      <c r="D152" s="61">
        <v>13.263</v>
      </c>
      <c r="E152" s="61">
        <v>13.262999999999998</v>
      </c>
      <c r="F152" s="60">
        <f t="shared" si="12"/>
        <v>0</v>
      </c>
      <c r="G152" s="61">
        <v>29.908000000000001</v>
      </c>
      <c r="H152" s="61">
        <v>62.203000000000017</v>
      </c>
      <c r="I152" s="60">
        <f t="shared" si="13"/>
        <v>32.295000000000016</v>
      </c>
      <c r="J152" s="61">
        <v>33.590000000000003</v>
      </c>
      <c r="K152" s="61">
        <v>33.589999999999996</v>
      </c>
      <c r="L152" s="60">
        <f t="shared" si="14"/>
        <v>0</v>
      </c>
      <c r="M152" s="61">
        <v>16.864000000000001</v>
      </c>
      <c r="N152" s="67">
        <v>0.24200000000000088</v>
      </c>
      <c r="O152" s="60">
        <f t="shared" si="15"/>
        <v>-16.622</v>
      </c>
      <c r="P152" s="1">
        <v>0</v>
      </c>
      <c r="Q152" s="1"/>
      <c r="R152" s="1"/>
    </row>
    <row r="153" spans="2:18">
      <c r="B153">
        <v>18</v>
      </c>
      <c r="C153" s="59" t="s">
        <v>96</v>
      </c>
      <c r="D153" s="61">
        <v>17.863</v>
      </c>
      <c r="E153" s="61">
        <v>17.800999999999998</v>
      </c>
      <c r="F153" s="60">
        <f t="shared" si="12"/>
        <v>-6.2000000000001165E-2</v>
      </c>
      <c r="G153" s="61">
        <v>65.968000000000004</v>
      </c>
      <c r="H153" s="61">
        <v>62.200999999999993</v>
      </c>
      <c r="I153" s="60">
        <f t="shared" si="13"/>
        <v>-3.7670000000000101</v>
      </c>
      <c r="J153" s="61">
        <v>-3.4649999999999999</v>
      </c>
      <c r="K153" s="61">
        <v>0</v>
      </c>
      <c r="L153" s="60">
        <f t="shared" si="14"/>
        <v>3.4649999999999999</v>
      </c>
      <c r="M153" s="61">
        <v>9.5000000000000001E-2</v>
      </c>
      <c r="N153" s="67">
        <v>0</v>
      </c>
      <c r="O153" s="60">
        <f t="shared" si="15"/>
        <v>-9.5000000000000001E-2</v>
      </c>
      <c r="P153" s="1">
        <v>0</v>
      </c>
      <c r="Q153" s="1"/>
      <c r="R153" s="1"/>
    </row>
    <row r="154" spans="2:18">
      <c r="B154">
        <v>19</v>
      </c>
      <c r="C154" s="59" t="s">
        <v>97</v>
      </c>
      <c r="D154" s="61">
        <v>16</v>
      </c>
      <c r="E154" s="61">
        <v>15.813999999999993</v>
      </c>
      <c r="F154" s="60">
        <f t="shared" si="12"/>
        <v>-0.18600000000000705</v>
      </c>
      <c r="G154" s="61">
        <v>149.60400000000001</v>
      </c>
      <c r="H154" s="61">
        <v>155.85</v>
      </c>
      <c r="I154" s="60">
        <f t="shared" si="13"/>
        <v>6.2459999999999809</v>
      </c>
      <c r="J154" s="61">
        <v>0</v>
      </c>
      <c r="K154" s="61">
        <v>0</v>
      </c>
      <c r="L154" s="60">
        <f t="shared" si="14"/>
        <v>0</v>
      </c>
      <c r="M154" s="61">
        <v>21.282</v>
      </c>
      <c r="N154" s="67">
        <v>21.323</v>
      </c>
      <c r="O154" s="60">
        <f t="shared" si="15"/>
        <v>4.1000000000000369E-2</v>
      </c>
      <c r="P154" s="1">
        <v>-22</v>
      </c>
      <c r="Q154" s="1"/>
      <c r="R154" s="1"/>
    </row>
    <row r="155" spans="2:18">
      <c r="B155">
        <v>20</v>
      </c>
      <c r="C155" s="59" t="s">
        <v>98</v>
      </c>
      <c r="D155" s="61">
        <v>16.925000000000001</v>
      </c>
      <c r="E155" s="61">
        <v>16.925000000000001</v>
      </c>
      <c r="F155" s="60">
        <f t="shared" si="12"/>
        <v>0</v>
      </c>
      <c r="G155" s="61">
        <v>41.725999999999999</v>
      </c>
      <c r="H155" s="61">
        <v>41.725999999999999</v>
      </c>
      <c r="I155" s="60">
        <f t="shared" si="13"/>
        <v>0</v>
      </c>
      <c r="J155" s="61">
        <v>7.7140000000000004</v>
      </c>
      <c r="K155" s="61">
        <v>7.7140000000000004</v>
      </c>
      <c r="L155" s="60">
        <f t="shared" si="14"/>
        <v>0</v>
      </c>
      <c r="M155" s="61">
        <v>31.911000000000001</v>
      </c>
      <c r="N155" s="67">
        <v>31.911000000000001</v>
      </c>
      <c r="O155" s="60">
        <f t="shared" si="15"/>
        <v>0</v>
      </c>
      <c r="P155" s="1">
        <v>0</v>
      </c>
      <c r="Q155" s="1"/>
      <c r="R155" s="1"/>
    </row>
    <row r="156" spans="2:18">
      <c r="B156">
        <v>21</v>
      </c>
      <c r="C156" s="59" t="s">
        <v>99</v>
      </c>
      <c r="D156" s="61">
        <v>34.24</v>
      </c>
      <c r="E156" s="61">
        <v>35.864999999999995</v>
      </c>
      <c r="F156" s="60">
        <f t="shared" si="12"/>
        <v>1.6249999999999929</v>
      </c>
      <c r="G156" s="61">
        <v>18.13</v>
      </c>
      <c r="H156" s="61">
        <v>18.229999999999997</v>
      </c>
      <c r="I156" s="60">
        <f t="shared" si="13"/>
        <v>9.9999999999997868E-2</v>
      </c>
      <c r="J156" s="61">
        <v>21.4</v>
      </c>
      <c r="K156" s="61">
        <v>21.509999999999998</v>
      </c>
      <c r="L156" s="60">
        <f t="shared" si="14"/>
        <v>0.10999999999999943</v>
      </c>
      <c r="M156" s="61">
        <v>16.75</v>
      </c>
      <c r="N156" s="67">
        <v>16.795000000000002</v>
      </c>
      <c r="O156" s="60">
        <f t="shared" si="15"/>
        <v>4.5000000000001705E-2</v>
      </c>
      <c r="P156" s="1">
        <v>0</v>
      </c>
      <c r="Q156" s="1"/>
      <c r="R156" s="1"/>
    </row>
    <row r="157" spans="2:18">
      <c r="B157">
        <v>22</v>
      </c>
      <c r="C157" s="59" t="s">
        <v>100</v>
      </c>
      <c r="D157" s="61">
        <v>14.705</v>
      </c>
      <c r="E157" s="61">
        <v>14.705000000000002</v>
      </c>
      <c r="F157" s="60">
        <f t="shared" si="12"/>
        <v>0</v>
      </c>
      <c r="G157" s="61">
        <v>56.005000000000003</v>
      </c>
      <c r="H157" s="61">
        <v>55.999999999999986</v>
      </c>
      <c r="I157" s="60">
        <f t="shared" si="13"/>
        <v>-5.0000000000167688E-3</v>
      </c>
      <c r="J157" s="61">
        <v>30.555</v>
      </c>
      <c r="K157" s="61">
        <v>30.3</v>
      </c>
      <c r="L157" s="60">
        <f t="shared" si="14"/>
        <v>-0.25499999999999901</v>
      </c>
      <c r="M157" s="61">
        <v>5.8650000000000002</v>
      </c>
      <c r="N157" s="67">
        <v>5.7350000000000003</v>
      </c>
      <c r="O157" s="60">
        <f t="shared" si="15"/>
        <v>-0.12999999999999989</v>
      </c>
      <c r="P157" s="1">
        <v>0</v>
      </c>
      <c r="Q157" s="1"/>
      <c r="R157" s="1"/>
    </row>
    <row r="158" spans="2:18">
      <c r="B158">
        <v>23</v>
      </c>
      <c r="C158" s="59" t="s">
        <v>101</v>
      </c>
      <c r="D158" s="61">
        <v>28.114999999999998</v>
      </c>
      <c r="E158" s="61">
        <v>27.974999999999994</v>
      </c>
      <c r="F158" s="60">
        <f t="shared" si="12"/>
        <v>-0.14000000000000412</v>
      </c>
      <c r="G158" s="61">
        <v>58.725000000000001</v>
      </c>
      <c r="H158" s="61">
        <v>58.620000000000005</v>
      </c>
      <c r="I158" s="60">
        <f t="shared" si="13"/>
        <v>-0.10499999999999687</v>
      </c>
      <c r="J158" s="61">
        <v>62.564999999999998</v>
      </c>
      <c r="K158" s="61">
        <v>62.449999999999989</v>
      </c>
      <c r="L158" s="60">
        <f t="shared" si="14"/>
        <v>-0.11500000000000909</v>
      </c>
      <c r="M158" s="61">
        <v>-6.8650000000000002</v>
      </c>
      <c r="N158" s="67">
        <v>0.27999999999999936</v>
      </c>
      <c r="O158" s="60">
        <f t="shared" si="15"/>
        <v>7.1449999999999996</v>
      </c>
      <c r="P158" s="1">
        <v>0</v>
      </c>
      <c r="Q158" s="1"/>
      <c r="R158" s="1"/>
    </row>
    <row r="159" spans="2:18">
      <c r="B159">
        <v>24</v>
      </c>
      <c r="C159" s="65" t="s">
        <v>102</v>
      </c>
      <c r="D159" s="61">
        <v>25.209</v>
      </c>
      <c r="E159" s="61">
        <v>25.548999999999999</v>
      </c>
      <c r="F159" s="60">
        <f t="shared" si="12"/>
        <v>0.33999999999999986</v>
      </c>
      <c r="G159" s="61">
        <v>32.146000000000001</v>
      </c>
      <c r="H159" s="61">
        <v>32.365000000000016</v>
      </c>
      <c r="I159" s="60">
        <f t="shared" si="13"/>
        <v>0.2190000000000154</v>
      </c>
      <c r="J159" s="61">
        <v>0</v>
      </c>
      <c r="K159" s="61">
        <v>0</v>
      </c>
      <c r="L159" s="60">
        <f t="shared" si="14"/>
        <v>0</v>
      </c>
      <c r="M159" s="61">
        <v>24.15</v>
      </c>
      <c r="N159" s="67">
        <v>24.262</v>
      </c>
      <c r="O159" s="60">
        <f t="shared" si="15"/>
        <v>0.11200000000000188</v>
      </c>
      <c r="P159" s="1">
        <v>0</v>
      </c>
      <c r="Q159" s="1"/>
      <c r="R159" s="1"/>
    </row>
    <row r="160" spans="2:18">
      <c r="B160">
        <v>25</v>
      </c>
      <c r="C160" s="59" t="s">
        <v>103</v>
      </c>
      <c r="D160" s="61">
        <v>34.076000000000001</v>
      </c>
      <c r="E160" s="61">
        <v>32.725999999999999</v>
      </c>
      <c r="F160" s="60">
        <f t="shared" si="12"/>
        <v>-1.3500000000000014</v>
      </c>
      <c r="G160" s="61">
        <v>169.97900000000001</v>
      </c>
      <c r="H160" s="61">
        <v>139.97300000000001</v>
      </c>
      <c r="I160" s="60">
        <f t="shared" si="13"/>
        <v>-30.006</v>
      </c>
      <c r="J160" s="61">
        <v>-19.146000000000001</v>
      </c>
      <c r="K160" s="61">
        <v>9.3579999999999988</v>
      </c>
      <c r="L160" s="60">
        <f t="shared" si="14"/>
        <v>28.503999999999998</v>
      </c>
      <c r="M160" s="61">
        <v>45.368000000000002</v>
      </c>
      <c r="N160" s="67">
        <v>38.094000000000001</v>
      </c>
      <c r="O160" s="60">
        <f t="shared" si="15"/>
        <v>-7.2740000000000009</v>
      </c>
      <c r="P160" s="1">
        <v>0</v>
      </c>
      <c r="Q160" s="1"/>
      <c r="R160" s="1"/>
    </row>
    <row r="161" spans="2:18">
      <c r="B161">
        <v>26</v>
      </c>
      <c r="C161" s="59" t="s">
        <v>104</v>
      </c>
      <c r="D161" s="61">
        <v>25.341999999999999</v>
      </c>
      <c r="E161" s="61">
        <v>24.250999999999998</v>
      </c>
      <c r="F161" s="60">
        <f t="shared" si="12"/>
        <v>-1.0910000000000011</v>
      </c>
      <c r="G161" s="61">
        <v>132.351</v>
      </c>
      <c r="H161" s="61">
        <v>130.92699999999999</v>
      </c>
      <c r="I161" s="60">
        <f t="shared" si="13"/>
        <v>-1.4240000000000066</v>
      </c>
      <c r="J161" s="61">
        <v>12.54</v>
      </c>
      <c r="K161" s="61">
        <v>12.203999999999999</v>
      </c>
      <c r="L161" s="60">
        <f t="shared" si="14"/>
        <v>-0.3360000000000003</v>
      </c>
      <c r="M161" s="60">
        <v>53.308</v>
      </c>
      <c r="N161" s="68">
        <v>52.114999999999995</v>
      </c>
      <c r="O161" s="60">
        <f t="shared" si="15"/>
        <v>-1.1930000000000049</v>
      </c>
      <c r="P161" s="1">
        <v>0</v>
      </c>
      <c r="Q161" s="1"/>
      <c r="R161" s="1"/>
    </row>
    <row r="162" spans="2:18">
      <c r="B162">
        <v>27</v>
      </c>
      <c r="C162" s="59" t="s">
        <v>105</v>
      </c>
      <c r="D162" s="61">
        <v>42.502000000000002</v>
      </c>
      <c r="E162" s="61">
        <v>41.963999999999999</v>
      </c>
      <c r="F162" s="60">
        <f t="shared" si="12"/>
        <v>-0.53800000000000381</v>
      </c>
      <c r="G162" s="61">
        <v>88.554000000000002</v>
      </c>
      <c r="H162" s="61">
        <v>70.143000000000001</v>
      </c>
      <c r="I162" s="60">
        <f t="shared" si="13"/>
        <v>-18.411000000000001</v>
      </c>
      <c r="J162" s="61">
        <v>47.128</v>
      </c>
      <c r="K162" s="61">
        <v>46.12</v>
      </c>
      <c r="L162" s="60">
        <f t="shared" si="14"/>
        <v>-1.0080000000000027</v>
      </c>
      <c r="M162" s="61">
        <v>10.222</v>
      </c>
      <c r="N162" s="67">
        <v>9.9159999999999986</v>
      </c>
      <c r="O162" s="60">
        <f t="shared" si="15"/>
        <v>-0.30600000000000094</v>
      </c>
      <c r="P162" s="1">
        <v>-2</v>
      </c>
      <c r="Q162" s="1"/>
      <c r="R162" s="1"/>
    </row>
    <row r="163" spans="2:18">
      <c r="B163">
        <v>28</v>
      </c>
      <c r="C163" s="59" t="s">
        <v>106</v>
      </c>
      <c r="D163" s="61">
        <v>3.4289999999999998</v>
      </c>
      <c r="E163" s="61">
        <v>82.808000000000021</v>
      </c>
      <c r="F163" s="60">
        <f t="shared" si="12"/>
        <v>79.379000000000019</v>
      </c>
      <c r="G163" s="61">
        <v>3.7269999999999999</v>
      </c>
      <c r="H163" s="61">
        <v>23.852</v>
      </c>
      <c r="I163" s="60">
        <f t="shared" si="13"/>
        <v>20.125</v>
      </c>
      <c r="J163" s="61">
        <v>23.571999999999999</v>
      </c>
      <c r="K163" s="61">
        <v>23.423000000000002</v>
      </c>
      <c r="L163" s="60">
        <f t="shared" si="14"/>
        <v>-0.14899999999999736</v>
      </c>
      <c r="M163" s="61">
        <v>26.391999999999999</v>
      </c>
      <c r="N163" s="67">
        <v>26.248000000000001</v>
      </c>
      <c r="O163" s="60">
        <f t="shared" si="15"/>
        <v>-0.14399999999999835</v>
      </c>
      <c r="P163" s="1">
        <v>-0.499</v>
      </c>
      <c r="Q163" s="1"/>
      <c r="R163" s="1"/>
    </row>
    <row r="164" spans="2:18">
      <c r="B164">
        <v>29</v>
      </c>
      <c r="C164" s="59" t="s">
        <v>107</v>
      </c>
      <c r="D164" s="61">
        <v>5.1550000000000002</v>
      </c>
      <c r="E164" s="61">
        <v>24.715</v>
      </c>
      <c r="F164" s="60">
        <f t="shared" si="12"/>
        <v>19.559999999999999</v>
      </c>
      <c r="G164" s="61">
        <v>8.5530000000000008</v>
      </c>
      <c r="H164" s="61">
        <v>6.4600000000000009</v>
      </c>
      <c r="I164" s="60">
        <f t="shared" si="13"/>
        <v>-2.093</v>
      </c>
      <c r="J164" s="61">
        <v>7.3150000000000004</v>
      </c>
      <c r="K164" s="61">
        <v>7.0949999999999998</v>
      </c>
      <c r="L164" s="60">
        <f t="shared" si="14"/>
        <v>-0.22000000000000064</v>
      </c>
      <c r="M164" s="61">
        <v>-4.3650000000000002</v>
      </c>
      <c r="N164" s="67">
        <v>3.8850000000000007</v>
      </c>
      <c r="O164" s="60">
        <f t="shared" si="15"/>
        <v>8.25</v>
      </c>
      <c r="P164" s="1">
        <v>0</v>
      </c>
      <c r="Q164" s="1"/>
      <c r="R164" s="1"/>
    </row>
    <row r="165" spans="2:18">
      <c r="B165">
        <v>30</v>
      </c>
      <c r="C165" s="59" t="s">
        <v>108</v>
      </c>
      <c r="D165" s="61">
        <v>7.0629999999999997</v>
      </c>
      <c r="E165" s="61">
        <v>7.9230000000000018</v>
      </c>
      <c r="F165" s="60">
        <f t="shared" si="12"/>
        <v>0.8600000000000021</v>
      </c>
      <c r="G165" s="61">
        <v>61.970999999999997</v>
      </c>
      <c r="H165" s="61">
        <v>65.37</v>
      </c>
      <c r="I165" s="60">
        <f t="shared" si="13"/>
        <v>3.399000000000008</v>
      </c>
      <c r="J165" s="61">
        <v>0</v>
      </c>
      <c r="K165" s="61">
        <v>0</v>
      </c>
      <c r="L165" s="60">
        <f t="shared" si="14"/>
        <v>0</v>
      </c>
      <c r="M165" s="61">
        <v>23.699000000000002</v>
      </c>
      <c r="N165" s="67">
        <v>23.768000000000001</v>
      </c>
      <c r="O165" s="60">
        <f t="shared" si="15"/>
        <v>6.8999999999999062E-2</v>
      </c>
      <c r="P165" s="1">
        <v>0</v>
      </c>
      <c r="Q165" s="1"/>
      <c r="R165" s="1"/>
    </row>
    <row r="166" spans="2:18">
      <c r="B166">
        <v>31</v>
      </c>
      <c r="C166" s="59" t="s">
        <v>109</v>
      </c>
      <c r="D166" s="61">
        <v>-11.7</v>
      </c>
      <c r="E166" s="61">
        <v>46.771999999999998</v>
      </c>
      <c r="F166" s="60">
        <f t="shared" si="12"/>
        <v>58.471999999999994</v>
      </c>
      <c r="G166" s="61">
        <v>172.91</v>
      </c>
      <c r="H166" s="61">
        <v>6.5389999999999979</v>
      </c>
      <c r="I166" s="60">
        <f t="shared" si="13"/>
        <v>-166.37100000000001</v>
      </c>
      <c r="J166" s="61">
        <v>-48.39</v>
      </c>
      <c r="K166" s="61">
        <v>0</v>
      </c>
      <c r="L166" s="60">
        <f t="shared" si="14"/>
        <v>48.39</v>
      </c>
      <c r="M166" s="61">
        <v>72.423000000000002</v>
      </c>
      <c r="N166" s="67">
        <v>50.651000000000003</v>
      </c>
      <c r="O166" s="60">
        <f t="shared" si="15"/>
        <v>-21.771999999999998</v>
      </c>
      <c r="P166" s="1">
        <v>0</v>
      </c>
      <c r="Q166" s="1"/>
      <c r="R166" s="1"/>
    </row>
    <row r="167" spans="2:18">
      <c r="B167">
        <v>32</v>
      </c>
      <c r="C167" s="59" t="s">
        <v>110</v>
      </c>
      <c r="D167" s="61">
        <v>0</v>
      </c>
      <c r="E167" s="61">
        <v>0</v>
      </c>
      <c r="F167" s="60">
        <f t="shared" si="12"/>
        <v>0</v>
      </c>
      <c r="G167" s="61">
        <v>29.015000000000001</v>
      </c>
      <c r="H167" s="61">
        <v>29.015000000000004</v>
      </c>
      <c r="I167" s="60">
        <f t="shared" si="13"/>
        <v>0</v>
      </c>
      <c r="J167" s="61">
        <v>61.234999999999999</v>
      </c>
      <c r="K167" s="61">
        <v>61.175000000000004</v>
      </c>
      <c r="L167" s="60">
        <f t="shared" si="14"/>
        <v>-5.9999999999995168E-2</v>
      </c>
      <c r="M167" s="61">
        <v>12.19</v>
      </c>
      <c r="N167" s="67">
        <v>12.19</v>
      </c>
      <c r="O167" s="60">
        <f t="shared" si="15"/>
        <v>0</v>
      </c>
      <c r="P167" s="1">
        <v>0</v>
      </c>
      <c r="Q167" s="1"/>
      <c r="R167" s="1"/>
    </row>
    <row r="168" spans="2:18">
      <c r="B168">
        <v>33</v>
      </c>
      <c r="C168" s="59" t="s">
        <v>111</v>
      </c>
      <c r="D168" s="61">
        <v>12.682</v>
      </c>
      <c r="E168" s="61">
        <v>12.681999999999999</v>
      </c>
      <c r="F168" s="60">
        <f t="shared" si="12"/>
        <v>0</v>
      </c>
      <c r="G168" s="61">
        <v>44.735999999999997</v>
      </c>
      <c r="H168" s="61">
        <v>44.736000000000004</v>
      </c>
      <c r="I168" s="60">
        <f t="shared" si="13"/>
        <v>0</v>
      </c>
      <c r="J168" s="61">
        <v>20.59</v>
      </c>
      <c r="K168" s="61">
        <v>20.59</v>
      </c>
      <c r="L168" s="60">
        <f t="shared" si="14"/>
        <v>0</v>
      </c>
      <c r="M168" s="61">
        <v>17.34</v>
      </c>
      <c r="N168" s="67">
        <v>17.34</v>
      </c>
      <c r="O168" s="60">
        <f t="shared" si="15"/>
        <v>0</v>
      </c>
      <c r="P168" s="1">
        <v>0</v>
      </c>
      <c r="Q168" s="1"/>
      <c r="R168" s="1"/>
    </row>
    <row r="169" spans="2:18">
      <c r="B169">
        <v>34</v>
      </c>
      <c r="C169" s="59" t="s">
        <v>112</v>
      </c>
      <c r="D169" s="61">
        <v>27.466999999999999</v>
      </c>
      <c r="E169" s="61">
        <v>27.33</v>
      </c>
      <c r="F169" s="60">
        <f t="shared" si="12"/>
        <v>-0.13700000000000045</v>
      </c>
      <c r="G169" s="61">
        <v>13.657999999999999</v>
      </c>
      <c r="H169" s="61">
        <v>13.823</v>
      </c>
      <c r="I169" s="60">
        <f t="shared" si="13"/>
        <v>0.16500000000000092</v>
      </c>
      <c r="J169" s="61">
        <v>18.808</v>
      </c>
      <c r="K169" s="61">
        <v>18.334999999999997</v>
      </c>
      <c r="L169" s="60">
        <f t="shared" si="14"/>
        <v>-0.47300000000000253</v>
      </c>
      <c r="M169" s="61">
        <v>5.0350000000000001</v>
      </c>
      <c r="N169" s="67">
        <v>4.2410000000000005</v>
      </c>
      <c r="O169" s="60">
        <f t="shared" si="15"/>
        <v>-0.79399999999999959</v>
      </c>
      <c r="P169" s="1">
        <v>0</v>
      </c>
      <c r="Q169" s="1"/>
      <c r="R169" s="1"/>
    </row>
    <row r="172" spans="2:18">
      <c r="C172" s="58">
        <v>46160</v>
      </c>
    </row>
    <row r="173" spans="2:18">
      <c r="C173" s="32" t="s">
        <v>68</v>
      </c>
      <c r="D173" s="33">
        <v>161</v>
      </c>
      <c r="E173" s="33"/>
      <c r="F173" s="33"/>
      <c r="G173" s="33">
        <v>2054</v>
      </c>
      <c r="H173" s="34"/>
      <c r="I173" s="34"/>
      <c r="J173" s="34">
        <v>5550</v>
      </c>
      <c r="K173" s="34"/>
      <c r="L173" s="34"/>
      <c r="M173" s="34">
        <v>8899</v>
      </c>
      <c r="N173" s="1"/>
      <c r="O173" s="1"/>
      <c r="P173" s="34">
        <v>5550</v>
      </c>
      <c r="Q173" s="1"/>
      <c r="R173" s="1"/>
    </row>
    <row r="174" spans="2:18" s="36" customFormat="1">
      <c r="C174" s="32" t="s">
        <v>69</v>
      </c>
      <c r="D174" s="35">
        <v>100001</v>
      </c>
      <c r="E174" s="35"/>
      <c r="F174" s="35"/>
      <c r="G174" s="33">
        <v>100004</v>
      </c>
      <c r="H174" s="34"/>
      <c r="I174" s="34"/>
      <c r="J174" s="34">
        <v>100030</v>
      </c>
      <c r="K174" s="34"/>
      <c r="L174" s="34"/>
      <c r="M174" s="34">
        <v>100153</v>
      </c>
      <c r="N174" s="34"/>
      <c r="O174" s="34"/>
      <c r="P174" s="34">
        <v>100030</v>
      </c>
      <c r="Q174" s="34"/>
      <c r="R174" s="34"/>
    </row>
    <row r="175" spans="2:18">
      <c r="C175" s="37" t="s">
        <v>70</v>
      </c>
      <c r="D175" s="33" t="s">
        <v>71</v>
      </c>
      <c r="E175" s="33"/>
      <c r="F175" s="33"/>
      <c r="G175" s="33" t="s">
        <v>71</v>
      </c>
      <c r="H175" s="38"/>
      <c r="I175" s="38"/>
      <c r="J175" s="38" t="s">
        <v>71</v>
      </c>
      <c r="K175" s="38"/>
      <c r="L175" s="38"/>
      <c r="M175" s="38" t="s">
        <v>71</v>
      </c>
      <c r="N175" s="1"/>
      <c r="O175" s="1"/>
      <c r="P175" s="38" t="s">
        <v>71</v>
      </c>
      <c r="Q175" s="1"/>
      <c r="R175" s="1"/>
    </row>
    <row r="176" spans="2:18">
      <c r="C176" s="39" t="s">
        <v>72</v>
      </c>
      <c r="D176" s="126" t="s">
        <v>73</v>
      </c>
      <c r="E176" s="126"/>
      <c r="F176" s="126"/>
      <c r="G176" s="122" t="s">
        <v>74</v>
      </c>
      <c r="H176" s="122"/>
      <c r="I176" s="122"/>
      <c r="J176" s="127" t="s">
        <v>75</v>
      </c>
      <c r="K176" s="127"/>
      <c r="L176" s="127"/>
      <c r="M176" s="120" t="s">
        <v>76</v>
      </c>
      <c r="N176" s="120"/>
      <c r="O176" s="120"/>
      <c r="P176" s="128" t="s">
        <v>115</v>
      </c>
      <c r="Q176" s="128"/>
      <c r="R176" s="128"/>
    </row>
    <row r="177" spans="2:18" ht="46.8" customHeight="1">
      <c r="B177">
        <v>13</v>
      </c>
      <c r="C177" s="40" t="s">
        <v>61</v>
      </c>
      <c r="D177" s="41" t="s">
        <v>116</v>
      </c>
      <c r="E177" s="41" t="s">
        <v>77</v>
      </c>
      <c r="F177" s="41" t="s">
        <v>78</v>
      </c>
      <c r="G177" s="42" t="s">
        <v>116</v>
      </c>
      <c r="H177" s="42" t="s">
        <v>77</v>
      </c>
      <c r="I177" s="42" t="s">
        <v>78</v>
      </c>
      <c r="J177" s="43" t="s">
        <v>116</v>
      </c>
      <c r="K177" s="43" t="s">
        <v>77</v>
      </c>
      <c r="L177" s="43" t="s">
        <v>78</v>
      </c>
      <c r="M177" s="44" t="s">
        <v>116</v>
      </c>
      <c r="N177" s="44" t="s">
        <v>77</v>
      </c>
      <c r="O177" s="44" t="s">
        <v>78</v>
      </c>
      <c r="P177" s="66" t="s">
        <v>116</v>
      </c>
      <c r="Q177" s="66" t="s">
        <v>77</v>
      </c>
      <c r="R177" s="66" t="s">
        <v>78</v>
      </c>
    </row>
    <row r="178" spans="2:18">
      <c r="B178">
        <v>1</v>
      </c>
      <c r="C178" s="59" t="s">
        <v>79</v>
      </c>
      <c r="D178" s="61">
        <v>15.391</v>
      </c>
      <c r="E178" s="61">
        <v>15.391000000000005</v>
      </c>
      <c r="F178" s="60">
        <f t="shared" ref="F178:F211" si="16">E178-D178</f>
        <v>0</v>
      </c>
      <c r="G178" s="61">
        <v>19.308</v>
      </c>
      <c r="H178" s="61">
        <v>19.310000000000002</v>
      </c>
      <c r="I178" s="60">
        <f t="shared" ref="I178:I211" si="17">H178-G178</f>
        <v>2.0000000000024443E-3</v>
      </c>
      <c r="J178" s="61">
        <v>0</v>
      </c>
      <c r="K178" s="61">
        <v>0</v>
      </c>
      <c r="L178" s="60">
        <f t="shared" ref="L178:L211" si="18">K178-J178</f>
        <v>0</v>
      </c>
      <c r="M178" s="61">
        <v>9.1999999999999998E-2</v>
      </c>
      <c r="N178" s="61">
        <v>0</v>
      </c>
      <c r="O178" s="60">
        <f t="shared" ref="O178:O211" si="19">N178-M178</f>
        <v>-9.1999999999999998E-2</v>
      </c>
      <c r="P178" s="61">
        <v>0</v>
      </c>
      <c r="Q178" s="61">
        <v>0</v>
      </c>
      <c r="R178" s="1"/>
    </row>
    <row r="179" spans="2:18">
      <c r="B179">
        <v>2</v>
      </c>
      <c r="C179" s="59" t="s">
        <v>80</v>
      </c>
      <c r="D179" s="61">
        <v>3.5270000000000001</v>
      </c>
      <c r="E179" s="61">
        <v>4.0360000000000014</v>
      </c>
      <c r="F179" s="60">
        <f t="shared" si="16"/>
        <v>0.50900000000000123</v>
      </c>
      <c r="G179" s="61">
        <v>68.647999999999996</v>
      </c>
      <c r="H179" s="61">
        <v>76.030999999999992</v>
      </c>
      <c r="I179" s="60">
        <f t="shared" si="17"/>
        <v>7.3829999999999956</v>
      </c>
      <c r="J179" s="61">
        <v>64.882000000000005</v>
      </c>
      <c r="K179" s="61">
        <v>66.260000000000005</v>
      </c>
      <c r="L179" s="60">
        <f t="shared" si="18"/>
        <v>1.3780000000000001</v>
      </c>
      <c r="M179" s="61">
        <v>6.0490000000000004</v>
      </c>
      <c r="N179" s="61">
        <v>6.6159999999999997</v>
      </c>
      <c r="O179" s="60">
        <f t="shared" si="19"/>
        <v>0.56699999999999928</v>
      </c>
      <c r="P179" s="61">
        <v>0</v>
      </c>
      <c r="Q179" s="61">
        <v>0</v>
      </c>
      <c r="R179" s="1"/>
    </row>
    <row r="180" spans="2:18">
      <c r="B180">
        <v>3</v>
      </c>
      <c r="C180" s="59" t="s">
        <v>81</v>
      </c>
      <c r="D180" s="61">
        <v>24.582000000000001</v>
      </c>
      <c r="E180" s="61">
        <v>24.582000000000001</v>
      </c>
      <c r="F180" s="60">
        <f t="shared" si="16"/>
        <v>0</v>
      </c>
      <c r="G180" s="61">
        <v>55.497999999999998</v>
      </c>
      <c r="H180" s="61">
        <v>55.497999999999962</v>
      </c>
      <c r="I180" s="60">
        <f t="shared" si="17"/>
        <v>0</v>
      </c>
      <c r="J180" s="61">
        <v>14.978999999999999</v>
      </c>
      <c r="K180" s="61">
        <v>14.978999999999999</v>
      </c>
      <c r="L180" s="60">
        <f t="shared" si="18"/>
        <v>0</v>
      </c>
      <c r="M180" s="61">
        <v>17.382000000000001</v>
      </c>
      <c r="N180" s="61">
        <v>17.382000000000005</v>
      </c>
      <c r="O180" s="60">
        <f t="shared" si="19"/>
        <v>0</v>
      </c>
      <c r="P180" s="61">
        <v>0</v>
      </c>
      <c r="Q180" s="61">
        <v>0</v>
      </c>
      <c r="R180" s="1"/>
    </row>
    <row r="181" spans="2:18">
      <c r="B181">
        <v>4</v>
      </c>
      <c r="C181" s="59" t="s">
        <v>82</v>
      </c>
      <c r="D181" s="61">
        <v>0</v>
      </c>
      <c r="E181" s="61">
        <v>0</v>
      </c>
      <c r="F181" s="60">
        <f t="shared" si="16"/>
        <v>0</v>
      </c>
      <c r="G181" s="61">
        <v>151.44800000000001</v>
      </c>
      <c r="H181" s="61">
        <v>151.44800000000009</v>
      </c>
      <c r="I181" s="60">
        <f t="shared" si="17"/>
        <v>0</v>
      </c>
      <c r="J181" s="61">
        <v>0</v>
      </c>
      <c r="K181" s="61">
        <v>0</v>
      </c>
      <c r="L181" s="60">
        <f t="shared" si="18"/>
        <v>0</v>
      </c>
      <c r="M181" s="61">
        <v>146.61000000000001</v>
      </c>
      <c r="N181" s="61">
        <v>146.60999999999999</v>
      </c>
      <c r="O181" s="60">
        <f t="shared" si="19"/>
        <v>0</v>
      </c>
      <c r="P181" s="61">
        <v>0</v>
      </c>
      <c r="Q181" s="61">
        <v>0</v>
      </c>
      <c r="R181" s="1"/>
    </row>
    <row r="182" spans="2:18">
      <c r="B182">
        <v>5</v>
      </c>
      <c r="C182" s="59" t="s">
        <v>83</v>
      </c>
      <c r="D182" s="61">
        <v>19.533999999999999</v>
      </c>
      <c r="E182" s="61">
        <v>9.4970000000000425</v>
      </c>
      <c r="F182" s="60">
        <f t="shared" si="16"/>
        <v>-10.036999999999956</v>
      </c>
      <c r="G182" s="61">
        <v>21.202000000000002</v>
      </c>
      <c r="H182" s="61">
        <v>101.76099999999997</v>
      </c>
      <c r="I182" s="60">
        <f t="shared" si="17"/>
        <v>80.558999999999969</v>
      </c>
      <c r="J182" s="61">
        <v>0.77100000000000002</v>
      </c>
      <c r="K182" s="61">
        <v>3.0789999999999971</v>
      </c>
      <c r="L182" s="60">
        <f t="shared" si="18"/>
        <v>2.3079999999999972</v>
      </c>
      <c r="M182" s="61">
        <v>33.218000000000004</v>
      </c>
      <c r="N182" s="61">
        <v>31.899000000000001</v>
      </c>
      <c r="O182" s="60">
        <f t="shared" si="19"/>
        <v>-1.3190000000000026</v>
      </c>
      <c r="P182" s="61">
        <v>0</v>
      </c>
      <c r="Q182" s="61">
        <v>0</v>
      </c>
      <c r="R182" s="1"/>
    </row>
    <row r="183" spans="2:18">
      <c r="B183">
        <v>6</v>
      </c>
      <c r="C183" s="59" t="s">
        <v>84</v>
      </c>
      <c r="D183" s="61">
        <v>28.384</v>
      </c>
      <c r="E183" s="61">
        <v>28.389999999999986</v>
      </c>
      <c r="F183" s="60">
        <f t="shared" si="16"/>
        <v>5.9999999999860165E-3</v>
      </c>
      <c r="G183" s="61">
        <v>61.390999999999998</v>
      </c>
      <c r="H183" s="61">
        <v>61.382000000000005</v>
      </c>
      <c r="I183" s="60">
        <f t="shared" si="17"/>
        <v>-8.9999999999932356E-3</v>
      </c>
      <c r="J183" s="61">
        <v>16.497</v>
      </c>
      <c r="K183" s="61">
        <v>16.590000000000018</v>
      </c>
      <c r="L183" s="60">
        <f t="shared" si="18"/>
        <v>9.3000000000017735E-2</v>
      </c>
      <c r="M183" s="61">
        <v>26.882999999999999</v>
      </c>
      <c r="N183" s="61">
        <v>26.83</v>
      </c>
      <c r="O183" s="60">
        <f t="shared" si="19"/>
        <v>-5.3000000000000824E-2</v>
      </c>
      <c r="P183" s="61">
        <v>0</v>
      </c>
      <c r="Q183" s="61">
        <v>0</v>
      </c>
      <c r="R183" s="1"/>
    </row>
    <row r="184" spans="2:18">
      <c r="B184">
        <v>7</v>
      </c>
      <c r="C184" s="59" t="s">
        <v>85</v>
      </c>
      <c r="D184" s="61">
        <v>23.625</v>
      </c>
      <c r="E184" s="61">
        <v>23.545000000000002</v>
      </c>
      <c r="F184" s="60">
        <f t="shared" si="16"/>
        <v>-7.9999999999998295E-2</v>
      </c>
      <c r="G184" s="61">
        <v>102.38</v>
      </c>
      <c r="H184" s="61">
        <v>100.813</v>
      </c>
      <c r="I184" s="60">
        <f t="shared" si="17"/>
        <v>-1.5669999999999931</v>
      </c>
      <c r="J184" s="61">
        <v>25.713999999999999</v>
      </c>
      <c r="K184" s="61">
        <v>25.486999999999998</v>
      </c>
      <c r="L184" s="60">
        <f t="shared" si="18"/>
        <v>-0.22700000000000031</v>
      </c>
      <c r="M184" s="61">
        <v>7.7</v>
      </c>
      <c r="N184" s="61">
        <v>7.1630000000000003</v>
      </c>
      <c r="O184" s="60">
        <f t="shared" si="19"/>
        <v>-0.53699999999999992</v>
      </c>
      <c r="P184" s="61">
        <v>0</v>
      </c>
      <c r="Q184" s="61">
        <v>0</v>
      </c>
      <c r="R184" s="1"/>
    </row>
    <row r="185" spans="2:18">
      <c r="B185">
        <v>8</v>
      </c>
      <c r="C185" s="59" t="s">
        <v>86</v>
      </c>
      <c r="D185" s="61">
        <v>28.305</v>
      </c>
      <c r="E185" s="61">
        <v>20.647790000000001</v>
      </c>
      <c r="F185" s="60">
        <f t="shared" si="16"/>
        <v>-7.6572099999999992</v>
      </c>
      <c r="G185" s="61">
        <v>18.757000000000001</v>
      </c>
      <c r="H185" s="61">
        <v>17.083150000000025</v>
      </c>
      <c r="I185" s="60">
        <f t="shared" si="17"/>
        <v>-1.6738499999999767</v>
      </c>
      <c r="J185" s="61">
        <v>0</v>
      </c>
      <c r="K185" s="61">
        <v>0</v>
      </c>
      <c r="L185" s="60">
        <f t="shared" si="18"/>
        <v>0</v>
      </c>
      <c r="M185" s="61">
        <v>13.632999999999999</v>
      </c>
      <c r="N185" s="61">
        <v>12.702109999999989</v>
      </c>
      <c r="O185" s="60">
        <f t="shared" si="19"/>
        <v>-0.93089000000001043</v>
      </c>
      <c r="P185" s="61">
        <v>0</v>
      </c>
      <c r="Q185" s="61">
        <v>0</v>
      </c>
      <c r="R185" s="1"/>
    </row>
    <row r="186" spans="2:18">
      <c r="B186">
        <v>9</v>
      </c>
      <c r="C186" s="59" t="s">
        <v>87</v>
      </c>
      <c r="D186" s="61">
        <v>16.36</v>
      </c>
      <c r="E186" s="61">
        <v>16.429999999999993</v>
      </c>
      <c r="F186" s="60">
        <f t="shared" si="16"/>
        <v>6.9999999999993179E-2</v>
      </c>
      <c r="G186" s="61">
        <v>1.861</v>
      </c>
      <c r="H186" s="61">
        <v>1.8620000000000037</v>
      </c>
      <c r="I186" s="60">
        <f t="shared" si="17"/>
        <v>1.0000000000036646E-3</v>
      </c>
      <c r="J186" s="61">
        <v>30.010999999999999</v>
      </c>
      <c r="K186" s="61">
        <v>30.027999999999992</v>
      </c>
      <c r="L186" s="60">
        <f t="shared" si="18"/>
        <v>1.6999999999992355E-2</v>
      </c>
      <c r="M186" s="61">
        <v>16.331</v>
      </c>
      <c r="N186" s="61">
        <v>16.580000000000005</v>
      </c>
      <c r="O186" s="60">
        <f t="shared" si="19"/>
        <v>0.24900000000000588</v>
      </c>
      <c r="P186" s="61">
        <v>0</v>
      </c>
      <c r="Q186" s="61">
        <v>0</v>
      </c>
      <c r="R186" s="1"/>
    </row>
    <row r="187" spans="2:18">
      <c r="B187">
        <v>10</v>
      </c>
      <c r="C187" s="59" t="s">
        <v>88</v>
      </c>
      <c r="D187" s="61">
        <v>2.72</v>
      </c>
      <c r="E187" s="61">
        <v>3.4570000000000007</v>
      </c>
      <c r="F187" s="60">
        <f t="shared" si="16"/>
        <v>0.73700000000000054</v>
      </c>
      <c r="G187" s="61">
        <v>33.851999999999997</v>
      </c>
      <c r="H187" s="61">
        <v>59.553999999999995</v>
      </c>
      <c r="I187" s="60">
        <f t="shared" si="17"/>
        <v>25.701999999999998</v>
      </c>
      <c r="J187" s="61">
        <v>0</v>
      </c>
      <c r="K187" s="61">
        <v>0</v>
      </c>
      <c r="L187" s="60">
        <f t="shared" si="18"/>
        <v>0</v>
      </c>
      <c r="M187" s="61">
        <v>17.731999999999999</v>
      </c>
      <c r="N187" s="61">
        <v>13.338000000000005</v>
      </c>
      <c r="O187" s="60">
        <f t="shared" si="19"/>
        <v>-4.3939999999999948</v>
      </c>
      <c r="P187" s="61">
        <v>0</v>
      </c>
      <c r="Q187" s="61">
        <v>0</v>
      </c>
      <c r="R187" s="1"/>
    </row>
    <row r="188" spans="2:18">
      <c r="B188">
        <v>11</v>
      </c>
      <c r="C188" s="59" t="s">
        <v>89</v>
      </c>
      <c r="D188" s="61">
        <v>13.499000000000001</v>
      </c>
      <c r="E188" s="61">
        <v>13.61</v>
      </c>
      <c r="F188" s="60">
        <f t="shared" si="16"/>
        <v>0.11099999999999888</v>
      </c>
      <c r="G188" s="61">
        <v>109.783</v>
      </c>
      <c r="H188" s="61">
        <v>111.38200000000001</v>
      </c>
      <c r="I188" s="60">
        <f t="shared" si="17"/>
        <v>1.5990000000000038</v>
      </c>
      <c r="J188" s="61">
        <v>14.616</v>
      </c>
      <c r="K188" s="61">
        <v>14.635999999999999</v>
      </c>
      <c r="L188" s="60">
        <f t="shared" si="18"/>
        <v>1.9999999999999574E-2</v>
      </c>
      <c r="M188" s="61">
        <v>27.105</v>
      </c>
      <c r="N188" s="61">
        <v>27.215999999999998</v>
      </c>
      <c r="O188" s="60">
        <f t="shared" si="19"/>
        <v>0.1109999999999971</v>
      </c>
      <c r="P188" s="61">
        <v>0</v>
      </c>
      <c r="Q188" s="61">
        <v>0</v>
      </c>
      <c r="R188" s="1"/>
    </row>
    <row r="189" spans="2:18">
      <c r="B189">
        <v>12</v>
      </c>
      <c r="C189" s="59" t="s">
        <v>90</v>
      </c>
      <c r="D189" s="61">
        <v>31.434000000000001</v>
      </c>
      <c r="E189" s="61">
        <v>31.433999999999983</v>
      </c>
      <c r="F189" s="60">
        <f t="shared" si="16"/>
        <v>0</v>
      </c>
      <c r="G189" s="61">
        <v>93.945999999999998</v>
      </c>
      <c r="H189" s="61">
        <v>93.945999999999998</v>
      </c>
      <c r="I189" s="60">
        <f t="shared" si="17"/>
        <v>0</v>
      </c>
      <c r="J189" s="61">
        <v>8.0429999999999993</v>
      </c>
      <c r="K189" s="61">
        <v>8.0429999999999993</v>
      </c>
      <c r="L189" s="60">
        <f t="shared" si="18"/>
        <v>0</v>
      </c>
      <c r="M189" s="61">
        <v>24.47</v>
      </c>
      <c r="N189" s="61">
        <v>24.47</v>
      </c>
      <c r="O189" s="60">
        <f t="shared" si="19"/>
        <v>0</v>
      </c>
      <c r="P189" s="61">
        <v>0</v>
      </c>
      <c r="Q189" s="61">
        <v>0</v>
      </c>
      <c r="R189" s="1"/>
    </row>
    <row r="190" spans="2:18">
      <c r="B190">
        <v>13</v>
      </c>
      <c r="C190" s="59" t="s">
        <v>91</v>
      </c>
      <c r="D190" s="61">
        <v>26.724</v>
      </c>
      <c r="E190" s="61">
        <v>32.701000000000001</v>
      </c>
      <c r="F190" s="60">
        <f t="shared" si="16"/>
        <v>5.9770000000000003</v>
      </c>
      <c r="G190" s="61">
        <v>30.456</v>
      </c>
      <c r="H190" s="61">
        <v>18.166</v>
      </c>
      <c r="I190" s="60">
        <f t="shared" si="17"/>
        <v>-12.29</v>
      </c>
      <c r="J190" s="61">
        <v>21.420999999999999</v>
      </c>
      <c r="K190" s="61">
        <v>21.524999999999999</v>
      </c>
      <c r="L190" s="60">
        <f t="shared" si="18"/>
        <v>0.1039999999999992</v>
      </c>
      <c r="M190" s="61">
        <v>21.021000000000001</v>
      </c>
      <c r="N190" s="61">
        <v>21.164000000000001</v>
      </c>
      <c r="O190" s="60">
        <f t="shared" si="19"/>
        <v>0.14300000000000068</v>
      </c>
      <c r="P190" s="61">
        <v>0</v>
      </c>
      <c r="Q190" s="61">
        <v>0</v>
      </c>
      <c r="R190" s="1"/>
    </row>
    <row r="191" spans="2:18">
      <c r="B191">
        <v>14</v>
      </c>
      <c r="C191" s="59" t="s">
        <v>92</v>
      </c>
      <c r="D191" s="61">
        <v>40.197000000000003</v>
      </c>
      <c r="E191" s="61">
        <v>40.28</v>
      </c>
      <c r="F191" s="60">
        <f t="shared" si="16"/>
        <v>8.2999999999998408E-2</v>
      </c>
      <c r="G191" s="61">
        <v>115.831</v>
      </c>
      <c r="H191" s="61">
        <v>117.75699999999999</v>
      </c>
      <c r="I191" s="60">
        <f t="shared" si="17"/>
        <v>1.9259999999999877</v>
      </c>
      <c r="J191" s="61">
        <v>0</v>
      </c>
      <c r="K191" s="61">
        <v>0</v>
      </c>
      <c r="L191" s="60">
        <f t="shared" si="18"/>
        <v>0</v>
      </c>
      <c r="M191" s="61">
        <v>95.165999999999997</v>
      </c>
      <c r="N191" s="61">
        <v>94.909000000000006</v>
      </c>
      <c r="O191" s="60">
        <f t="shared" si="19"/>
        <v>-0.25699999999999079</v>
      </c>
      <c r="P191" s="61">
        <v>0</v>
      </c>
      <c r="Q191" s="61">
        <v>0</v>
      </c>
      <c r="R191" s="1"/>
    </row>
    <row r="192" spans="2:18">
      <c r="B192">
        <v>15</v>
      </c>
      <c r="C192" s="59" t="s">
        <v>93</v>
      </c>
      <c r="D192" s="61">
        <v>10</v>
      </c>
      <c r="E192" s="61">
        <v>10.191000000000003</v>
      </c>
      <c r="F192" s="60">
        <f t="shared" si="16"/>
        <v>0.1910000000000025</v>
      </c>
      <c r="G192" s="61">
        <v>18.763999999999999</v>
      </c>
      <c r="H192" s="61">
        <v>18.904999999999994</v>
      </c>
      <c r="I192" s="60">
        <f t="shared" si="17"/>
        <v>0.14099999999999469</v>
      </c>
      <c r="J192" s="61">
        <v>0</v>
      </c>
      <c r="K192" s="61">
        <v>0</v>
      </c>
      <c r="L192" s="60">
        <f t="shared" si="18"/>
        <v>0</v>
      </c>
      <c r="M192" s="61">
        <v>26.6</v>
      </c>
      <c r="N192" s="61">
        <v>26.728000000000009</v>
      </c>
      <c r="O192" s="60">
        <f t="shared" si="19"/>
        <v>0.12800000000000722</v>
      </c>
      <c r="P192" s="61">
        <v>0</v>
      </c>
      <c r="Q192" s="61">
        <v>0</v>
      </c>
      <c r="R192" s="1"/>
    </row>
    <row r="193" spans="2:18">
      <c r="B193">
        <v>16</v>
      </c>
      <c r="C193" s="59" t="s">
        <v>94</v>
      </c>
      <c r="D193" s="61">
        <v>19.73</v>
      </c>
      <c r="E193" s="61">
        <v>20.007999999999996</v>
      </c>
      <c r="F193" s="60">
        <f t="shared" si="16"/>
        <v>0.27799999999999514</v>
      </c>
      <c r="G193" s="61">
        <v>237.10599999999999</v>
      </c>
      <c r="H193" s="61">
        <v>237.41399999999999</v>
      </c>
      <c r="I193" s="60">
        <f t="shared" si="17"/>
        <v>0.30799999999999272</v>
      </c>
      <c r="J193" s="61">
        <v>27.052</v>
      </c>
      <c r="K193" s="61">
        <v>27.282000000000007</v>
      </c>
      <c r="L193" s="60">
        <f t="shared" si="18"/>
        <v>0.23000000000000753</v>
      </c>
      <c r="M193" s="61">
        <v>125.935</v>
      </c>
      <c r="N193" s="61">
        <v>126.13700000000001</v>
      </c>
      <c r="O193" s="60">
        <f t="shared" si="19"/>
        <v>0.20200000000001239</v>
      </c>
      <c r="P193" s="61">
        <v>0</v>
      </c>
      <c r="Q193" s="61">
        <v>0</v>
      </c>
      <c r="R193" s="1"/>
    </row>
    <row r="194" spans="2:18">
      <c r="B194">
        <v>17</v>
      </c>
      <c r="C194" s="59" t="s">
        <v>95</v>
      </c>
      <c r="D194" s="61">
        <v>16.04</v>
      </c>
      <c r="E194" s="61">
        <v>16.039999999999996</v>
      </c>
      <c r="F194" s="60">
        <f t="shared" si="16"/>
        <v>0</v>
      </c>
      <c r="G194" s="61">
        <v>125.49299999999999</v>
      </c>
      <c r="H194" s="61">
        <v>125.49299999999999</v>
      </c>
      <c r="I194" s="60">
        <f t="shared" si="17"/>
        <v>0</v>
      </c>
      <c r="J194" s="61">
        <v>50.905999999999999</v>
      </c>
      <c r="K194" s="61">
        <v>50.905999999999999</v>
      </c>
      <c r="L194" s="60">
        <f t="shared" si="18"/>
        <v>0</v>
      </c>
      <c r="M194" s="61">
        <v>19.067</v>
      </c>
      <c r="N194" s="61">
        <v>19.067</v>
      </c>
      <c r="O194" s="60">
        <f t="shared" si="19"/>
        <v>0</v>
      </c>
      <c r="P194" s="61">
        <v>0</v>
      </c>
      <c r="Q194" s="61">
        <v>0</v>
      </c>
      <c r="R194" s="1"/>
    </row>
    <row r="195" spans="2:18">
      <c r="B195">
        <v>18</v>
      </c>
      <c r="C195" s="59" t="s">
        <v>96</v>
      </c>
      <c r="D195" s="61">
        <v>28.846</v>
      </c>
      <c r="E195" s="61">
        <v>28.784399999999998</v>
      </c>
      <c r="F195" s="60">
        <f t="shared" si="16"/>
        <v>-6.1600000000002098E-2</v>
      </c>
      <c r="G195" s="61">
        <v>36.441000000000003</v>
      </c>
      <c r="H195" s="61">
        <v>36.138999999999996</v>
      </c>
      <c r="I195" s="60">
        <f t="shared" si="17"/>
        <v>-0.30200000000000671</v>
      </c>
      <c r="J195" s="61">
        <v>23.5</v>
      </c>
      <c r="K195" s="61">
        <v>23.5</v>
      </c>
      <c r="L195" s="60">
        <f t="shared" si="18"/>
        <v>0</v>
      </c>
      <c r="M195" s="61">
        <v>15.75</v>
      </c>
      <c r="N195" s="61">
        <v>15.654999999999999</v>
      </c>
      <c r="O195" s="60">
        <f t="shared" si="19"/>
        <v>-9.5000000000000639E-2</v>
      </c>
      <c r="P195" s="61">
        <v>0</v>
      </c>
      <c r="Q195" s="61">
        <v>0</v>
      </c>
      <c r="R195" s="1"/>
    </row>
    <row r="196" spans="2:18">
      <c r="B196">
        <v>19</v>
      </c>
      <c r="C196" s="59" t="s">
        <v>97</v>
      </c>
      <c r="D196" s="61">
        <v>4.7450000000000001</v>
      </c>
      <c r="E196" s="61">
        <v>4.6190000000000015</v>
      </c>
      <c r="F196" s="60">
        <f t="shared" si="16"/>
        <v>-0.12599999999999856</v>
      </c>
      <c r="G196" s="61">
        <v>155.56</v>
      </c>
      <c r="H196" s="61">
        <v>139.77600000000001</v>
      </c>
      <c r="I196" s="60">
        <f t="shared" si="17"/>
        <v>-15.783999999999992</v>
      </c>
      <c r="J196" s="61">
        <v>21.465</v>
      </c>
      <c r="K196" s="61">
        <v>21.465000000000003</v>
      </c>
      <c r="L196" s="60">
        <f t="shared" si="18"/>
        <v>0</v>
      </c>
      <c r="M196" s="61">
        <v>12.048</v>
      </c>
      <c r="N196" s="61">
        <v>12.099</v>
      </c>
      <c r="O196" s="60">
        <f t="shared" si="19"/>
        <v>5.1000000000000156E-2</v>
      </c>
      <c r="P196" s="61">
        <v>0</v>
      </c>
      <c r="Q196" s="61">
        <v>0</v>
      </c>
      <c r="R196" s="1"/>
    </row>
    <row r="197" spans="2:18">
      <c r="B197">
        <v>20</v>
      </c>
      <c r="C197" s="59" t="s">
        <v>98</v>
      </c>
      <c r="D197" s="61">
        <v>26.887</v>
      </c>
      <c r="E197" s="61">
        <v>27.285</v>
      </c>
      <c r="F197" s="60">
        <f t="shared" si="16"/>
        <v>0.39799999999999969</v>
      </c>
      <c r="G197" s="61">
        <v>36.206000000000003</v>
      </c>
      <c r="H197" s="61">
        <v>56.309999999999988</v>
      </c>
      <c r="I197" s="60">
        <f t="shared" si="17"/>
        <v>20.103999999999985</v>
      </c>
      <c r="J197" s="61">
        <v>15.696</v>
      </c>
      <c r="K197" s="61">
        <v>16.350000000000001</v>
      </c>
      <c r="L197" s="60">
        <f t="shared" si="18"/>
        <v>0.65400000000000169</v>
      </c>
      <c r="M197" s="61">
        <v>26.361999999999998</v>
      </c>
      <c r="N197" s="61">
        <v>26.704999999999998</v>
      </c>
      <c r="O197" s="60">
        <f t="shared" si="19"/>
        <v>0.34299999999999997</v>
      </c>
      <c r="P197" s="61">
        <v>0</v>
      </c>
      <c r="Q197" s="61">
        <v>0</v>
      </c>
      <c r="R197" s="1"/>
    </row>
    <row r="198" spans="2:18">
      <c r="B198">
        <v>21</v>
      </c>
      <c r="C198" s="59" t="s">
        <v>99</v>
      </c>
      <c r="D198" s="61">
        <v>9.0500000000000007</v>
      </c>
      <c r="E198" s="61">
        <v>9.0500000000000043</v>
      </c>
      <c r="F198" s="60">
        <f t="shared" si="16"/>
        <v>0</v>
      </c>
      <c r="G198" s="61">
        <v>11.06</v>
      </c>
      <c r="H198" s="61">
        <v>11.059999999999999</v>
      </c>
      <c r="I198" s="60">
        <f t="shared" si="17"/>
        <v>0</v>
      </c>
      <c r="J198" s="61">
        <v>13.7</v>
      </c>
      <c r="K198" s="61">
        <v>13.7</v>
      </c>
      <c r="L198" s="60">
        <f t="shared" si="18"/>
        <v>0</v>
      </c>
      <c r="M198" s="61">
        <v>32.215000000000003</v>
      </c>
      <c r="N198" s="61">
        <v>32.215000000000003</v>
      </c>
      <c r="O198" s="60">
        <f t="shared" si="19"/>
        <v>0</v>
      </c>
      <c r="P198" s="61">
        <v>0</v>
      </c>
      <c r="Q198" s="61">
        <v>0</v>
      </c>
      <c r="R198" s="1"/>
    </row>
    <row r="199" spans="2:18">
      <c r="B199">
        <v>22</v>
      </c>
      <c r="C199" s="59" t="s">
        <v>100</v>
      </c>
      <c r="D199" s="61">
        <v>5.97</v>
      </c>
      <c r="E199" s="61">
        <v>5.9699999999999989</v>
      </c>
      <c r="F199" s="60">
        <f t="shared" si="16"/>
        <v>0</v>
      </c>
      <c r="G199" s="61">
        <v>35.96</v>
      </c>
      <c r="H199" s="61">
        <v>35.96</v>
      </c>
      <c r="I199" s="60">
        <f t="shared" si="17"/>
        <v>0</v>
      </c>
      <c r="J199" s="61">
        <v>28.26</v>
      </c>
      <c r="K199" s="61">
        <v>28.26</v>
      </c>
      <c r="L199" s="60">
        <f t="shared" si="18"/>
        <v>0</v>
      </c>
      <c r="M199" s="61">
        <v>18.925000000000001</v>
      </c>
      <c r="N199" s="61">
        <v>18.924999999999997</v>
      </c>
      <c r="O199" s="60">
        <f t="shared" si="19"/>
        <v>0</v>
      </c>
      <c r="P199" s="61">
        <v>0</v>
      </c>
      <c r="Q199" s="61">
        <v>0</v>
      </c>
      <c r="R199" s="1"/>
    </row>
    <row r="200" spans="2:18">
      <c r="B200">
        <v>23</v>
      </c>
      <c r="C200" s="59" t="s">
        <v>101</v>
      </c>
      <c r="D200" s="61">
        <v>13.64</v>
      </c>
      <c r="E200" s="61">
        <v>27.859999999999992</v>
      </c>
      <c r="F200" s="60">
        <f t="shared" si="16"/>
        <v>14.219999999999992</v>
      </c>
      <c r="G200" s="61">
        <v>79.254999999999995</v>
      </c>
      <c r="H200" s="61">
        <v>69.254999999999995</v>
      </c>
      <c r="I200" s="60">
        <f t="shared" si="17"/>
        <v>-10</v>
      </c>
      <c r="J200" s="61">
        <v>55.505000000000003</v>
      </c>
      <c r="K200" s="61">
        <v>55.505000000000003</v>
      </c>
      <c r="L200" s="60">
        <f t="shared" si="18"/>
        <v>0</v>
      </c>
      <c r="M200" s="61">
        <v>6.52</v>
      </c>
      <c r="N200" s="61">
        <v>6.52</v>
      </c>
      <c r="O200" s="60">
        <f t="shared" si="19"/>
        <v>0</v>
      </c>
      <c r="P200" s="61">
        <v>0</v>
      </c>
      <c r="Q200" s="61">
        <v>0</v>
      </c>
      <c r="R200" s="1"/>
    </row>
    <row r="201" spans="2:18">
      <c r="B201">
        <v>24</v>
      </c>
      <c r="C201" s="65" t="s">
        <v>102</v>
      </c>
      <c r="D201" s="61">
        <v>2.0089999999999999</v>
      </c>
      <c r="E201" s="61">
        <v>2.2210000000000107</v>
      </c>
      <c r="F201" s="60">
        <f t="shared" si="16"/>
        <v>0.21200000000001085</v>
      </c>
      <c r="G201" s="61">
        <v>46.933</v>
      </c>
      <c r="H201" s="61">
        <v>46.999000000000024</v>
      </c>
      <c r="I201" s="60">
        <f t="shared" si="17"/>
        <v>6.6000000000023817E-2</v>
      </c>
      <c r="J201" s="61">
        <v>11.218</v>
      </c>
      <c r="K201" s="61">
        <v>11.260000000000002</v>
      </c>
      <c r="L201" s="60">
        <f t="shared" si="18"/>
        <v>4.2000000000001592E-2</v>
      </c>
      <c r="M201" s="61">
        <v>12.688000000000001</v>
      </c>
      <c r="N201" s="61">
        <v>12.72</v>
      </c>
      <c r="O201" s="60">
        <f t="shared" si="19"/>
        <v>3.2000000000000028E-2</v>
      </c>
      <c r="P201" s="61">
        <v>0</v>
      </c>
      <c r="Q201" s="61">
        <v>0</v>
      </c>
      <c r="R201" s="1"/>
    </row>
    <row r="202" spans="2:18">
      <c r="B202">
        <v>25</v>
      </c>
      <c r="C202" s="59" t="s">
        <v>103</v>
      </c>
      <c r="D202" s="61">
        <v>28.172000000000001</v>
      </c>
      <c r="E202" s="61">
        <v>26.648</v>
      </c>
      <c r="F202" s="60">
        <f t="shared" si="16"/>
        <v>-1.5240000000000009</v>
      </c>
      <c r="G202" s="61">
        <v>175.42500000000001</v>
      </c>
      <c r="H202" s="61">
        <v>145.10399999999998</v>
      </c>
      <c r="I202" s="60">
        <f t="shared" si="17"/>
        <v>-30.321000000000026</v>
      </c>
      <c r="J202" s="61">
        <v>-21.984000000000002</v>
      </c>
      <c r="K202" s="61">
        <v>6.4370000000000003</v>
      </c>
      <c r="L202" s="60">
        <f t="shared" si="18"/>
        <v>28.421000000000003</v>
      </c>
      <c r="M202" s="61">
        <v>39.834000000000003</v>
      </c>
      <c r="N202" s="61">
        <v>32.332000000000001</v>
      </c>
      <c r="O202" s="60">
        <f t="shared" si="19"/>
        <v>-7.5020000000000024</v>
      </c>
      <c r="P202" s="61">
        <v>0</v>
      </c>
      <c r="Q202" s="61">
        <v>0</v>
      </c>
      <c r="R202" s="1"/>
    </row>
    <row r="203" spans="2:18">
      <c r="B203">
        <v>26</v>
      </c>
      <c r="C203" s="59" t="s">
        <v>104</v>
      </c>
      <c r="D203" s="61">
        <v>19.829000000000001</v>
      </c>
      <c r="E203" s="61">
        <v>19.579000000000001</v>
      </c>
      <c r="F203" s="60">
        <f t="shared" si="16"/>
        <v>-0.25</v>
      </c>
      <c r="G203" s="61">
        <v>160.55699999999999</v>
      </c>
      <c r="H203" s="61">
        <v>160.55700000000002</v>
      </c>
      <c r="I203" s="60">
        <f t="shared" si="17"/>
        <v>0</v>
      </c>
      <c r="J203" s="61">
        <v>8.6029999999999998</v>
      </c>
      <c r="K203" s="61">
        <v>8.6029999999999998</v>
      </c>
      <c r="L203" s="60">
        <f t="shared" si="18"/>
        <v>0</v>
      </c>
      <c r="M203" s="61">
        <v>50.433999999999997</v>
      </c>
      <c r="N203" s="61">
        <v>49.616</v>
      </c>
      <c r="O203" s="60">
        <f t="shared" si="19"/>
        <v>-0.81799999999999784</v>
      </c>
      <c r="P203" s="61">
        <v>0</v>
      </c>
      <c r="Q203" s="61">
        <v>0</v>
      </c>
      <c r="R203" s="1"/>
    </row>
    <row r="204" spans="2:18">
      <c r="B204">
        <v>27</v>
      </c>
      <c r="C204" s="59" t="s">
        <v>105</v>
      </c>
      <c r="D204" s="61">
        <v>19.777000000000001</v>
      </c>
      <c r="E204" s="61">
        <v>19.355999999999998</v>
      </c>
      <c r="F204" s="60">
        <f t="shared" si="16"/>
        <v>-0.42100000000000293</v>
      </c>
      <c r="G204" s="61">
        <v>69.745999999999995</v>
      </c>
      <c r="H204" s="61">
        <v>49.841999999999999</v>
      </c>
      <c r="I204" s="60">
        <f t="shared" si="17"/>
        <v>-19.903999999999996</v>
      </c>
      <c r="J204" s="61">
        <v>40.021999999999998</v>
      </c>
      <c r="K204" s="61">
        <v>39.087999999999994</v>
      </c>
      <c r="L204" s="60">
        <f t="shared" si="18"/>
        <v>-0.9340000000000046</v>
      </c>
      <c r="M204" s="61">
        <v>3.1059999999999999</v>
      </c>
      <c r="N204" s="61">
        <v>2.8860000000000001</v>
      </c>
      <c r="O204" s="60">
        <f t="shared" si="19"/>
        <v>-0.21999999999999975</v>
      </c>
      <c r="P204" s="61">
        <v>0</v>
      </c>
      <c r="Q204" s="61">
        <v>0</v>
      </c>
      <c r="R204" s="1"/>
    </row>
    <row r="205" spans="2:18">
      <c r="B205">
        <v>28</v>
      </c>
      <c r="C205" s="59" t="s">
        <v>106</v>
      </c>
      <c r="D205" s="61">
        <v>50.960999999999999</v>
      </c>
      <c r="E205" s="61">
        <v>50.958000000000013</v>
      </c>
      <c r="F205" s="60">
        <f t="shared" si="16"/>
        <v>-2.9999999999859028E-3</v>
      </c>
      <c r="G205" s="61">
        <v>27.73</v>
      </c>
      <c r="H205" s="61">
        <v>27.748999999999995</v>
      </c>
      <c r="I205" s="60">
        <f t="shared" si="17"/>
        <v>1.8999999999994799E-2</v>
      </c>
      <c r="J205" s="61">
        <v>22.663</v>
      </c>
      <c r="K205" s="61">
        <v>22.686</v>
      </c>
      <c r="L205" s="60">
        <f t="shared" si="18"/>
        <v>2.2999999999999687E-2</v>
      </c>
      <c r="M205" s="61">
        <v>21.614999999999998</v>
      </c>
      <c r="N205" s="61">
        <v>21.602</v>
      </c>
      <c r="O205" s="60">
        <f t="shared" si="19"/>
        <v>-1.2999999999998124E-2</v>
      </c>
      <c r="P205" s="61">
        <v>0</v>
      </c>
      <c r="Q205" s="61">
        <v>0</v>
      </c>
      <c r="R205" s="1"/>
    </row>
    <row r="206" spans="2:18">
      <c r="B206">
        <v>29</v>
      </c>
      <c r="C206" s="59" t="s">
        <v>107</v>
      </c>
      <c r="D206" s="61">
        <v>4.9450000000000003</v>
      </c>
      <c r="E206" s="61">
        <v>2.9000000000000021</v>
      </c>
      <c r="F206" s="60">
        <f t="shared" si="16"/>
        <v>-2.0449999999999982</v>
      </c>
      <c r="G206" s="61">
        <v>6.5229999999999997</v>
      </c>
      <c r="H206" s="61">
        <v>4.43</v>
      </c>
      <c r="I206" s="60">
        <f t="shared" si="17"/>
        <v>-2.093</v>
      </c>
      <c r="J206" s="61">
        <v>6.29</v>
      </c>
      <c r="K206" s="61">
        <v>6.07</v>
      </c>
      <c r="L206" s="60">
        <f t="shared" si="18"/>
        <v>-0.21999999999999975</v>
      </c>
      <c r="M206" s="61">
        <v>-37.625</v>
      </c>
      <c r="N206" s="61">
        <v>3.865000000000002</v>
      </c>
      <c r="O206" s="60">
        <f t="shared" si="19"/>
        <v>41.49</v>
      </c>
      <c r="P206" s="61">
        <v>0</v>
      </c>
      <c r="Q206" s="61">
        <v>0</v>
      </c>
      <c r="R206" s="1"/>
    </row>
    <row r="207" spans="2:18">
      <c r="B207">
        <v>30</v>
      </c>
      <c r="C207" s="59" t="s">
        <v>108</v>
      </c>
      <c r="D207" s="61">
        <v>0.57899999999999996</v>
      </c>
      <c r="E207" s="61">
        <v>1.0350000000000001</v>
      </c>
      <c r="F207" s="60">
        <f t="shared" si="16"/>
        <v>0.45600000000000018</v>
      </c>
      <c r="G207" s="61">
        <v>63.191000000000003</v>
      </c>
      <c r="H207" s="61">
        <v>61.694000000000003</v>
      </c>
      <c r="I207" s="60">
        <f t="shared" si="17"/>
        <v>-1.4969999999999999</v>
      </c>
      <c r="J207" s="61">
        <v>0</v>
      </c>
      <c r="K207" s="61">
        <v>2.3059999999999992</v>
      </c>
      <c r="L207" s="60">
        <f t="shared" si="18"/>
        <v>2.3059999999999992</v>
      </c>
      <c r="M207" s="61">
        <v>19.491</v>
      </c>
      <c r="N207" s="61">
        <v>19.491</v>
      </c>
      <c r="O207" s="60">
        <f t="shared" si="19"/>
        <v>0</v>
      </c>
      <c r="P207" s="61">
        <v>0</v>
      </c>
      <c r="Q207" s="61">
        <v>0</v>
      </c>
      <c r="R207" s="1"/>
    </row>
    <row r="208" spans="2:18">
      <c r="B208">
        <v>31</v>
      </c>
      <c r="C208" s="59" t="s">
        <v>109</v>
      </c>
      <c r="D208" s="61">
        <v>0.86599999999999999</v>
      </c>
      <c r="E208" s="61">
        <v>34.382999999999996</v>
      </c>
      <c r="F208" s="60">
        <f t="shared" si="16"/>
        <v>33.516999999999996</v>
      </c>
      <c r="G208" s="61">
        <v>165.15</v>
      </c>
      <c r="H208" s="61">
        <v>16.358000000000004</v>
      </c>
      <c r="I208" s="60">
        <f t="shared" si="17"/>
        <v>-148.792</v>
      </c>
      <c r="J208" s="61">
        <v>-50.47</v>
      </c>
      <c r="K208" s="61">
        <v>0</v>
      </c>
      <c r="L208" s="60">
        <f t="shared" si="18"/>
        <v>50.47</v>
      </c>
      <c r="M208" s="61">
        <v>59.847999999999999</v>
      </c>
      <c r="N208" s="61">
        <v>37.766999999999996</v>
      </c>
      <c r="O208" s="60">
        <f t="shared" si="19"/>
        <v>-22.081000000000003</v>
      </c>
      <c r="P208" s="61">
        <v>0</v>
      </c>
      <c r="Q208" s="61">
        <v>0</v>
      </c>
      <c r="R208" s="1"/>
    </row>
    <row r="209" spans="2:18">
      <c r="B209">
        <v>32</v>
      </c>
      <c r="C209" s="59" t="s">
        <v>110</v>
      </c>
      <c r="D209" s="61">
        <v>0</v>
      </c>
      <c r="E209" s="61">
        <v>0</v>
      </c>
      <c r="F209" s="60">
        <f t="shared" si="16"/>
        <v>0</v>
      </c>
      <c r="G209" s="61">
        <v>13.081</v>
      </c>
      <c r="H209" s="61">
        <v>13.081000000000003</v>
      </c>
      <c r="I209" s="60">
        <f t="shared" si="17"/>
        <v>0</v>
      </c>
      <c r="J209" s="61">
        <v>71.17</v>
      </c>
      <c r="K209" s="61">
        <v>71.11</v>
      </c>
      <c r="L209" s="60">
        <f t="shared" si="18"/>
        <v>-6.0000000000002274E-2</v>
      </c>
      <c r="M209" s="61">
        <v>4.1020000000000003</v>
      </c>
      <c r="N209" s="61">
        <v>4.1019999999999985</v>
      </c>
      <c r="O209" s="60">
        <f t="shared" si="19"/>
        <v>0</v>
      </c>
      <c r="P209" s="61">
        <v>0</v>
      </c>
      <c r="Q209" s="61">
        <v>0</v>
      </c>
      <c r="R209" s="1"/>
    </row>
    <row r="210" spans="2:18">
      <c r="B210">
        <v>33</v>
      </c>
      <c r="C210" s="59" t="s">
        <v>111</v>
      </c>
      <c r="D210" s="61">
        <v>11.297000000000001</v>
      </c>
      <c r="E210" s="61">
        <v>11.297000000000004</v>
      </c>
      <c r="F210" s="60">
        <f t="shared" si="16"/>
        <v>0</v>
      </c>
      <c r="G210" s="61">
        <v>23.334</v>
      </c>
      <c r="H210" s="61">
        <v>23.333999999999996</v>
      </c>
      <c r="I210" s="60">
        <f t="shared" si="17"/>
        <v>0</v>
      </c>
      <c r="J210" s="61">
        <v>13.721</v>
      </c>
      <c r="K210" s="61">
        <v>13.721</v>
      </c>
      <c r="L210" s="60">
        <f t="shared" si="18"/>
        <v>0</v>
      </c>
      <c r="M210" s="61">
        <v>15.862</v>
      </c>
      <c r="N210" s="61">
        <v>15.862000000000002</v>
      </c>
      <c r="O210" s="60">
        <f t="shared" si="19"/>
        <v>0</v>
      </c>
      <c r="P210" s="61">
        <v>0</v>
      </c>
      <c r="Q210" s="61">
        <v>0</v>
      </c>
      <c r="R210" s="1"/>
    </row>
    <row r="211" spans="2:18">
      <c r="B211">
        <v>34</v>
      </c>
      <c r="C211" s="59" t="s">
        <v>112</v>
      </c>
      <c r="D211" s="61">
        <v>19.716999999999999</v>
      </c>
      <c r="E211" s="61">
        <v>19.297999999999998</v>
      </c>
      <c r="F211" s="60">
        <f t="shared" si="16"/>
        <v>-0.41900000000000048</v>
      </c>
      <c r="G211" s="61">
        <v>22.917999999999999</v>
      </c>
      <c r="H211" s="61">
        <v>22.927999999999997</v>
      </c>
      <c r="I211" s="60">
        <f t="shared" si="17"/>
        <v>9.9999999999980105E-3</v>
      </c>
      <c r="J211" s="61">
        <v>16.998000000000001</v>
      </c>
      <c r="K211" s="61">
        <v>16.488</v>
      </c>
      <c r="L211" s="60">
        <f t="shared" si="18"/>
        <v>-0.51000000000000156</v>
      </c>
      <c r="M211" s="61">
        <v>19.64</v>
      </c>
      <c r="N211" s="61">
        <v>18.795999999999999</v>
      </c>
      <c r="O211" s="60">
        <f t="shared" si="19"/>
        <v>-0.84400000000000119</v>
      </c>
      <c r="P211" s="61">
        <v>0</v>
      </c>
      <c r="Q211" s="61">
        <v>0</v>
      </c>
      <c r="R211" s="1"/>
    </row>
    <row r="214" spans="2:18">
      <c r="C214" s="58">
        <v>46161</v>
      </c>
    </row>
    <row r="215" spans="2:18">
      <c r="C215" s="32" t="s">
        <v>68</v>
      </c>
      <c r="D215" s="33">
        <v>161</v>
      </c>
      <c r="E215" s="33"/>
      <c r="F215" s="33"/>
      <c r="G215" s="33">
        <v>2054</v>
      </c>
      <c r="H215" s="34"/>
      <c r="I215" s="34"/>
      <c r="J215" s="34">
        <v>5550</v>
      </c>
      <c r="K215" s="34"/>
      <c r="L215" s="34"/>
      <c r="M215" s="34">
        <v>8899</v>
      </c>
      <c r="N215" s="1"/>
      <c r="O215" s="1"/>
      <c r="P215" s="34">
        <v>5550</v>
      </c>
      <c r="Q215" s="1"/>
      <c r="R215" s="1"/>
    </row>
    <row r="216" spans="2:18" s="36" customFormat="1">
      <c r="C216" s="32" t="s">
        <v>69</v>
      </c>
      <c r="D216" s="35">
        <v>100001</v>
      </c>
      <c r="E216" s="35"/>
      <c r="F216" s="35"/>
      <c r="G216" s="33">
        <v>100004</v>
      </c>
      <c r="H216" s="34"/>
      <c r="I216" s="34"/>
      <c r="J216" s="34">
        <v>100030</v>
      </c>
      <c r="K216" s="34"/>
      <c r="L216" s="34"/>
      <c r="M216" s="34">
        <v>100153</v>
      </c>
      <c r="N216" s="34"/>
      <c r="O216" s="34"/>
      <c r="P216" s="34">
        <v>100030</v>
      </c>
      <c r="Q216" s="34"/>
      <c r="R216" s="34"/>
    </row>
    <row r="217" spans="2:18">
      <c r="C217" s="37" t="s">
        <v>70</v>
      </c>
      <c r="D217" s="33" t="s">
        <v>71</v>
      </c>
      <c r="E217" s="33"/>
      <c r="F217" s="33"/>
      <c r="G217" s="33" t="s">
        <v>71</v>
      </c>
      <c r="H217" s="38"/>
      <c r="I217" s="38"/>
      <c r="J217" s="38" t="s">
        <v>71</v>
      </c>
      <c r="K217" s="38"/>
      <c r="L217" s="38"/>
      <c r="M217" s="38" t="s">
        <v>71</v>
      </c>
      <c r="N217" s="1"/>
      <c r="O217" s="1"/>
      <c r="P217" s="38" t="s">
        <v>71</v>
      </c>
      <c r="Q217" s="1"/>
      <c r="R217" s="1"/>
    </row>
    <row r="218" spans="2:18">
      <c r="C218" s="39" t="s">
        <v>72</v>
      </c>
      <c r="D218" s="126" t="s">
        <v>73</v>
      </c>
      <c r="E218" s="126"/>
      <c r="F218" s="126"/>
      <c r="G218" s="122" t="s">
        <v>74</v>
      </c>
      <c r="H218" s="122"/>
      <c r="I218" s="122"/>
      <c r="J218" s="127" t="s">
        <v>75</v>
      </c>
      <c r="K218" s="127"/>
      <c r="L218" s="127"/>
      <c r="M218" s="120" t="s">
        <v>76</v>
      </c>
      <c r="N218" s="120"/>
      <c r="O218" s="120"/>
      <c r="P218" s="128" t="s">
        <v>115</v>
      </c>
      <c r="Q218" s="128"/>
      <c r="R218" s="128"/>
    </row>
    <row r="219" spans="2:18" ht="46.8" customHeight="1">
      <c r="B219">
        <v>13</v>
      </c>
      <c r="C219" s="40" t="s">
        <v>61</v>
      </c>
      <c r="D219" s="41" t="s">
        <v>116</v>
      </c>
      <c r="E219" s="41" t="s">
        <v>77</v>
      </c>
      <c r="F219" s="41" t="s">
        <v>78</v>
      </c>
      <c r="G219" s="42" t="s">
        <v>116</v>
      </c>
      <c r="H219" s="42" t="s">
        <v>77</v>
      </c>
      <c r="I219" s="42" t="s">
        <v>78</v>
      </c>
      <c r="J219" s="43" t="s">
        <v>116</v>
      </c>
      <c r="K219" s="43" t="s">
        <v>77</v>
      </c>
      <c r="L219" s="43" t="s">
        <v>78</v>
      </c>
      <c r="M219" s="44" t="s">
        <v>116</v>
      </c>
      <c r="N219" s="44" t="s">
        <v>77</v>
      </c>
      <c r="O219" s="44" t="s">
        <v>78</v>
      </c>
      <c r="P219" s="66" t="s">
        <v>116</v>
      </c>
      <c r="Q219" s="66" t="s">
        <v>77</v>
      </c>
      <c r="R219" s="66" t="s">
        <v>78</v>
      </c>
    </row>
    <row r="220" spans="2:18">
      <c r="B220">
        <v>1</v>
      </c>
      <c r="C220" s="59" t="s">
        <v>79</v>
      </c>
      <c r="D220" s="61">
        <v>16.98</v>
      </c>
      <c r="E220" s="61">
        <v>17.28000000000003</v>
      </c>
      <c r="F220" s="60">
        <f t="shared" ref="F220:F253" si="20">E220-D220</f>
        <v>0.30000000000002913</v>
      </c>
      <c r="G220" s="61">
        <v>114.117</v>
      </c>
      <c r="H220" s="61">
        <v>114.26999999999998</v>
      </c>
      <c r="I220" s="60">
        <f t="shared" ref="I220:I253" si="21">H220-G220</f>
        <v>0.15299999999997738</v>
      </c>
      <c r="J220" s="61">
        <v>3.23</v>
      </c>
      <c r="K220" s="61">
        <v>3.230000000000004</v>
      </c>
      <c r="L220" s="60">
        <f t="shared" ref="L220:L253" si="22">K220-J220</f>
        <v>3.9968028886505635E-15</v>
      </c>
      <c r="M220" s="61">
        <v>28.556999999999999</v>
      </c>
      <c r="N220" s="61">
        <v>28.79999999999999</v>
      </c>
      <c r="O220" s="60">
        <f t="shared" ref="O220:O253" si="23">N220-M220</f>
        <v>0.24299999999999145</v>
      </c>
      <c r="P220" s="61">
        <v>0</v>
      </c>
      <c r="Q220" s="61">
        <v>0</v>
      </c>
      <c r="R220" s="1"/>
    </row>
    <row r="221" spans="2:18">
      <c r="B221">
        <v>2</v>
      </c>
      <c r="C221" s="59" t="s">
        <v>80</v>
      </c>
      <c r="D221" s="61">
        <v>2.4700000000000002</v>
      </c>
      <c r="E221" s="61">
        <v>2.9689999999999941</v>
      </c>
      <c r="F221" s="60">
        <f t="shared" si="20"/>
        <v>0.49899999999999389</v>
      </c>
      <c r="G221" s="61">
        <v>24.606000000000002</v>
      </c>
      <c r="H221" s="61">
        <v>25.879000000000019</v>
      </c>
      <c r="I221" s="60">
        <f t="shared" si="21"/>
        <v>1.2730000000000175</v>
      </c>
      <c r="J221" s="61">
        <v>36.603999999999999</v>
      </c>
      <c r="K221" s="61">
        <v>37.981999999999999</v>
      </c>
      <c r="L221" s="60">
        <f t="shared" si="22"/>
        <v>1.3780000000000001</v>
      </c>
      <c r="M221" s="61">
        <v>0.26900000000000002</v>
      </c>
      <c r="N221" s="61">
        <v>0.83599999999999497</v>
      </c>
      <c r="O221" s="60">
        <f t="shared" si="23"/>
        <v>0.56699999999999495</v>
      </c>
      <c r="P221" s="61">
        <v>0</v>
      </c>
      <c r="Q221" s="61">
        <v>0</v>
      </c>
      <c r="R221" s="1"/>
    </row>
    <row r="222" spans="2:18">
      <c r="B222">
        <v>3</v>
      </c>
      <c r="C222" s="59" t="s">
        <v>81</v>
      </c>
      <c r="D222" s="61">
        <v>20.757999999999996</v>
      </c>
      <c r="E222" s="61">
        <v>20.757999999999996</v>
      </c>
      <c r="F222" s="78">
        <f t="shared" si="20"/>
        <v>0</v>
      </c>
      <c r="G222" s="61">
        <v>84.489999999999952</v>
      </c>
      <c r="H222" s="61">
        <v>84.489999999999952</v>
      </c>
      <c r="I222" s="78">
        <f t="shared" si="21"/>
        <v>0</v>
      </c>
      <c r="J222" s="61">
        <v>8.3640000000000043</v>
      </c>
      <c r="K222" s="61">
        <v>8.3640000000000043</v>
      </c>
      <c r="L222" s="60">
        <f t="shared" si="22"/>
        <v>0</v>
      </c>
      <c r="M222" s="61">
        <v>7.4260000000000055</v>
      </c>
      <c r="N222" s="61">
        <v>7.4260000000000055</v>
      </c>
      <c r="O222" s="60">
        <f t="shared" si="23"/>
        <v>0</v>
      </c>
      <c r="P222" s="61">
        <v>0</v>
      </c>
      <c r="Q222" s="61">
        <v>0</v>
      </c>
      <c r="R222" s="1"/>
    </row>
    <row r="223" spans="2:18">
      <c r="B223">
        <v>4</v>
      </c>
      <c r="C223" s="59" t="s">
        <v>82</v>
      </c>
      <c r="D223" s="61">
        <v>14.878</v>
      </c>
      <c r="E223" s="61">
        <v>14.878</v>
      </c>
      <c r="F223" s="60">
        <f t="shared" si="20"/>
        <v>0</v>
      </c>
      <c r="G223" s="61">
        <v>161.95400000000001</v>
      </c>
      <c r="H223" s="61">
        <v>161.95400000000001</v>
      </c>
      <c r="I223" s="60">
        <f t="shared" si="21"/>
        <v>0</v>
      </c>
      <c r="J223" s="61">
        <v>0</v>
      </c>
      <c r="K223" s="61">
        <v>0</v>
      </c>
      <c r="L223" s="60">
        <f t="shared" si="22"/>
        <v>0</v>
      </c>
      <c r="M223" s="61">
        <v>129.88800000000001</v>
      </c>
      <c r="N223" s="61">
        <v>129.88800000000001</v>
      </c>
      <c r="O223" s="60">
        <f t="shared" si="23"/>
        <v>0</v>
      </c>
      <c r="P223" s="61">
        <v>0</v>
      </c>
      <c r="Q223" s="61">
        <v>0</v>
      </c>
      <c r="R223" s="1"/>
    </row>
    <row r="224" spans="2:18">
      <c r="B224">
        <v>5</v>
      </c>
      <c r="C224" s="59" t="s">
        <v>83</v>
      </c>
      <c r="D224" s="61">
        <v>0</v>
      </c>
      <c r="E224" s="61">
        <v>0</v>
      </c>
      <c r="F224" s="60">
        <f t="shared" si="20"/>
        <v>0</v>
      </c>
      <c r="G224" s="61">
        <v>32.752000000000002</v>
      </c>
      <c r="H224" s="61">
        <v>2.9753977059954195E-14</v>
      </c>
      <c r="I224" s="60">
        <f t="shared" si="21"/>
        <v>-32.751999999999974</v>
      </c>
      <c r="J224" s="61">
        <v>11.194000000000001</v>
      </c>
      <c r="K224" s="61">
        <v>8.0910000000000011</v>
      </c>
      <c r="L224" s="60">
        <f t="shared" si="22"/>
        <v>-3.1029999999999998</v>
      </c>
      <c r="M224" s="61">
        <v>8.4920000000000009</v>
      </c>
      <c r="N224" s="61">
        <v>0</v>
      </c>
      <c r="O224" s="60">
        <f t="shared" si="23"/>
        <v>-8.4920000000000009</v>
      </c>
      <c r="P224" s="61">
        <v>0</v>
      </c>
      <c r="Q224" s="61">
        <v>0</v>
      </c>
      <c r="R224" s="1"/>
    </row>
    <row r="225" spans="2:18">
      <c r="B225">
        <v>6</v>
      </c>
      <c r="C225" s="59" t="s">
        <v>84</v>
      </c>
      <c r="D225" s="61">
        <v>40.332000000000001</v>
      </c>
      <c r="E225" s="61">
        <v>40.340000000000003</v>
      </c>
      <c r="F225" s="60">
        <f t="shared" si="20"/>
        <v>8.0000000000026716E-3</v>
      </c>
      <c r="G225" s="61">
        <v>78.653000000000006</v>
      </c>
      <c r="H225" s="61">
        <v>78.639999999999986</v>
      </c>
      <c r="I225" s="60">
        <f t="shared" si="21"/>
        <v>-1.300000000001944E-2</v>
      </c>
      <c r="J225" s="61">
        <v>18.439</v>
      </c>
      <c r="K225" s="61">
        <v>18.529999999999994</v>
      </c>
      <c r="L225" s="60">
        <f t="shared" si="22"/>
        <v>9.0999999999993975E-2</v>
      </c>
      <c r="M225" s="61">
        <v>34.289000000000001</v>
      </c>
      <c r="N225" s="61">
        <v>34.240000000000009</v>
      </c>
      <c r="O225" s="60">
        <f t="shared" si="23"/>
        <v>-4.8999999999992383E-2</v>
      </c>
      <c r="P225" s="61">
        <v>0</v>
      </c>
      <c r="Q225" s="61">
        <v>0</v>
      </c>
      <c r="R225" s="1"/>
    </row>
    <row r="226" spans="2:18">
      <c r="B226">
        <v>7</v>
      </c>
      <c r="C226" s="59" t="s">
        <v>85</v>
      </c>
      <c r="D226" s="61">
        <v>62.792999999999999</v>
      </c>
      <c r="E226" s="61">
        <v>62.812999999999988</v>
      </c>
      <c r="F226" s="60">
        <f t="shared" si="20"/>
        <v>1.9999999999988916E-2</v>
      </c>
      <c r="G226" s="61">
        <v>163.24</v>
      </c>
      <c r="H226" s="61">
        <v>70.135999999999981</v>
      </c>
      <c r="I226" s="60">
        <f t="shared" si="21"/>
        <v>-93.104000000000028</v>
      </c>
      <c r="J226" s="61">
        <v>47.588000000000001</v>
      </c>
      <c r="K226" s="61">
        <v>47.360999999999997</v>
      </c>
      <c r="L226" s="60">
        <f t="shared" si="22"/>
        <v>-0.22700000000000387</v>
      </c>
      <c r="M226" s="61">
        <v>10.996</v>
      </c>
      <c r="N226" s="61">
        <v>11.019</v>
      </c>
      <c r="O226" s="60">
        <f t="shared" si="23"/>
        <v>2.2999999999999687E-2</v>
      </c>
      <c r="P226" s="61">
        <v>0</v>
      </c>
      <c r="Q226" s="61">
        <v>0</v>
      </c>
      <c r="R226" s="1"/>
    </row>
    <row r="227" spans="2:18">
      <c r="B227">
        <v>8</v>
      </c>
      <c r="C227" s="59" t="s">
        <v>86</v>
      </c>
      <c r="D227" s="61">
        <v>61.915999999999997</v>
      </c>
      <c r="E227" s="61">
        <v>4.9418100000000003</v>
      </c>
      <c r="F227" s="60">
        <f t="shared" si="20"/>
        <v>-56.974189999999993</v>
      </c>
      <c r="G227" s="61">
        <v>11.154</v>
      </c>
      <c r="H227" s="61">
        <v>13.952384999999992</v>
      </c>
      <c r="I227" s="60">
        <f t="shared" si="21"/>
        <v>2.7983849999999926</v>
      </c>
      <c r="J227" s="61">
        <v>0</v>
      </c>
      <c r="K227" s="61">
        <v>0</v>
      </c>
      <c r="L227" s="60">
        <f t="shared" si="22"/>
        <v>0</v>
      </c>
      <c r="M227" s="61">
        <v>20.234999999999999</v>
      </c>
      <c r="N227" s="61">
        <v>10.29980999999999</v>
      </c>
      <c r="O227" s="60">
        <f t="shared" si="23"/>
        <v>-9.9351900000000093</v>
      </c>
      <c r="P227" s="61">
        <v>0</v>
      </c>
      <c r="Q227" s="61">
        <v>0</v>
      </c>
      <c r="R227" s="1"/>
    </row>
    <row r="228" spans="2:18">
      <c r="B228">
        <v>9</v>
      </c>
      <c r="C228" s="59" t="s">
        <v>87</v>
      </c>
      <c r="D228" s="61">
        <v>5.4539999999999997</v>
      </c>
      <c r="E228" s="61">
        <v>21.413999999999987</v>
      </c>
      <c r="F228" s="60">
        <f t="shared" si="20"/>
        <v>15.959999999999987</v>
      </c>
      <c r="G228" s="61">
        <v>49.72</v>
      </c>
      <c r="H228" s="61">
        <v>21.580000000000005</v>
      </c>
      <c r="I228" s="60">
        <f t="shared" si="21"/>
        <v>-28.139999999999993</v>
      </c>
      <c r="J228" s="61">
        <v>5.1559999999999997</v>
      </c>
      <c r="K228" s="61">
        <v>10.744999999999997</v>
      </c>
      <c r="L228" s="60">
        <f t="shared" si="22"/>
        <v>5.5889999999999977</v>
      </c>
      <c r="M228" s="61">
        <v>13.97</v>
      </c>
      <c r="N228" s="61">
        <v>7.7239999999999984</v>
      </c>
      <c r="O228" s="60">
        <f t="shared" si="23"/>
        <v>-6.2460000000000022</v>
      </c>
      <c r="P228" s="61">
        <v>0</v>
      </c>
      <c r="Q228" s="61">
        <v>0</v>
      </c>
      <c r="R228" s="1"/>
    </row>
    <row r="229" spans="2:18">
      <c r="B229">
        <v>10</v>
      </c>
      <c r="C229" s="59" t="s">
        <v>88</v>
      </c>
      <c r="D229" s="61">
        <v>22.282</v>
      </c>
      <c r="E229" s="61">
        <v>21.208000000000002</v>
      </c>
      <c r="F229" s="60">
        <f t="shared" si="20"/>
        <v>-1.0739999999999981</v>
      </c>
      <c r="G229" s="61">
        <v>14.885999999999999</v>
      </c>
      <c r="H229" s="61">
        <v>35.38600000000001</v>
      </c>
      <c r="I229" s="60">
        <f t="shared" si="21"/>
        <v>20.500000000000011</v>
      </c>
      <c r="J229" s="61">
        <v>0</v>
      </c>
      <c r="K229" s="61">
        <v>0</v>
      </c>
      <c r="L229" s="60">
        <f t="shared" si="22"/>
        <v>0</v>
      </c>
      <c r="M229" s="61">
        <v>5.92</v>
      </c>
      <c r="N229" s="61">
        <v>20.212000000000003</v>
      </c>
      <c r="O229" s="60">
        <f t="shared" si="23"/>
        <v>14.292000000000003</v>
      </c>
      <c r="P229" s="61">
        <v>0</v>
      </c>
      <c r="Q229" s="61">
        <v>0</v>
      </c>
      <c r="R229" s="1"/>
    </row>
    <row r="230" spans="2:18">
      <c r="B230">
        <v>11</v>
      </c>
      <c r="C230" s="59" t="s">
        <v>89</v>
      </c>
      <c r="D230" s="61">
        <v>37.5</v>
      </c>
      <c r="E230" s="61">
        <v>37.896999999999991</v>
      </c>
      <c r="F230" s="60">
        <f t="shared" si="20"/>
        <v>0.39699999999999136</v>
      </c>
      <c r="G230" s="61">
        <v>76</v>
      </c>
      <c r="H230" s="61">
        <v>76.887</v>
      </c>
      <c r="I230" s="60">
        <f t="shared" si="21"/>
        <v>0.88700000000000045</v>
      </c>
      <c r="J230" s="61">
        <v>0</v>
      </c>
      <c r="K230" s="61">
        <v>0</v>
      </c>
      <c r="L230" s="60">
        <f t="shared" si="22"/>
        <v>0</v>
      </c>
      <c r="M230" s="61">
        <v>38.015000000000001</v>
      </c>
      <c r="N230" s="61">
        <v>38.114999999999995</v>
      </c>
      <c r="O230" s="60">
        <f t="shared" si="23"/>
        <v>9.9999999999994316E-2</v>
      </c>
      <c r="P230" s="61">
        <v>0</v>
      </c>
      <c r="Q230" s="61">
        <v>0</v>
      </c>
      <c r="R230" s="1"/>
    </row>
    <row r="231" spans="2:18">
      <c r="B231">
        <v>12</v>
      </c>
      <c r="C231" s="59" t="s">
        <v>90</v>
      </c>
      <c r="D231" s="61">
        <v>31.350999999999999</v>
      </c>
      <c r="E231" s="61">
        <v>31.466000000000001</v>
      </c>
      <c r="F231" s="60">
        <f t="shared" si="20"/>
        <v>0.11500000000000199</v>
      </c>
      <c r="G231" s="61">
        <v>74.739000000000004</v>
      </c>
      <c r="H231" s="61">
        <v>74.849000000000004</v>
      </c>
      <c r="I231" s="60">
        <f t="shared" si="21"/>
        <v>0.10999999999999943</v>
      </c>
      <c r="J231" s="61">
        <v>26.899000000000001</v>
      </c>
      <c r="K231" s="61">
        <v>27.004000000000001</v>
      </c>
      <c r="L231" s="60">
        <f t="shared" si="22"/>
        <v>0.10500000000000043</v>
      </c>
      <c r="M231" s="61">
        <v>8.1739999999999995</v>
      </c>
      <c r="N231" s="61">
        <v>8.2739999999999991</v>
      </c>
      <c r="O231" s="60">
        <f t="shared" si="23"/>
        <v>9.9999999999999645E-2</v>
      </c>
      <c r="P231" s="61">
        <v>0</v>
      </c>
      <c r="Q231" s="61">
        <v>0</v>
      </c>
      <c r="R231" s="1"/>
    </row>
    <row r="232" spans="2:18">
      <c r="B232">
        <v>13</v>
      </c>
      <c r="C232" s="59" t="s">
        <v>91</v>
      </c>
      <c r="D232" s="61">
        <v>19.885999999999999</v>
      </c>
      <c r="E232" s="61">
        <v>19.846000000000004</v>
      </c>
      <c r="F232" s="60">
        <f t="shared" si="20"/>
        <v>-3.9999999999995595E-2</v>
      </c>
      <c r="G232" s="61">
        <v>10.456</v>
      </c>
      <c r="H232" s="61">
        <v>3.9640000000000128</v>
      </c>
      <c r="I232" s="60">
        <f t="shared" si="21"/>
        <v>-6.4919999999999867</v>
      </c>
      <c r="J232" s="61">
        <v>13.329000000000001</v>
      </c>
      <c r="K232" s="61">
        <v>46.249000000000002</v>
      </c>
      <c r="L232" s="60">
        <f t="shared" si="22"/>
        <v>32.92</v>
      </c>
      <c r="M232" s="61">
        <v>0.22900000000000001</v>
      </c>
      <c r="N232" s="61">
        <v>0.2289999999999992</v>
      </c>
      <c r="O232" s="60">
        <f t="shared" si="23"/>
        <v>-8.0491169285323849E-16</v>
      </c>
      <c r="P232" s="61">
        <v>0</v>
      </c>
      <c r="Q232" s="61">
        <v>0</v>
      </c>
      <c r="R232" s="1"/>
    </row>
    <row r="233" spans="2:18">
      <c r="B233">
        <v>14</v>
      </c>
      <c r="C233" s="59" t="s">
        <v>92</v>
      </c>
      <c r="D233" s="61">
        <v>22.190999999999999</v>
      </c>
      <c r="E233" s="61">
        <v>21.849000000000004</v>
      </c>
      <c r="F233" s="60">
        <f t="shared" si="20"/>
        <v>-0.3419999999999952</v>
      </c>
      <c r="G233" s="61">
        <v>89.099000000000004</v>
      </c>
      <c r="H233" s="61">
        <v>92.495000000000005</v>
      </c>
      <c r="I233" s="60">
        <f t="shared" si="21"/>
        <v>3.3960000000000008</v>
      </c>
      <c r="J233" s="61">
        <v>0</v>
      </c>
      <c r="K233" s="61">
        <v>0</v>
      </c>
      <c r="L233" s="60">
        <f t="shared" si="22"/>
        <v>0</v>
      </c>
      <c r="M233" s="61">
        <v>83.177999999999997</v>
      </c>
      <c r="N233" s="61">
        <v>85.731999999999999</v>
      </c>
      <c r="O233" s="60">
        <f t="shared" si="23"/>
        <v>2.554000000000002</v>
      </c>
      <c r="P233" s="61">
        <v>0</v>
      </c>
      <c r="Q233" s="61">
        <v>0</v>
      </c>
      <c r="R233" s="1"/>
    </row>
    <row r="234" spans="2:18">
      <c r="B234">
        <v>15</v>
      </c>
      <c r="C234" s="59" t="s">
        <v>93</v>
      </c>
      <c r="D234" s="61">
        <v>11.1</v>
      </c>
      <c r="E234" s="61">
        <v>11.297999999999998</v>
      </c>
      <c r="F234" s="60">
        <f t="shared" si="20"/>
        <v>0.19799999999999862</v>
      </c>
      <c r="G234" s="61">
        <v>22.88</v>
      </c>
      <c r="H234" s="61">
        <v>23.444000000000003</v>
      </c>
      <c r="I234" s="60">
        <f t="shared" si="21"/>
        <v>0.56400000000000361</v>
      </c>
      <c r="J234" s="61">
        <v>0</v>
      </c>
      <c r="K234" s="61">
        <v>0</v>
      </c>
      <c r="L234" s="60">
        <f t="shared" si="22"/>
        <v>0</v>
      </c>
      <c r="M234" s="61">
        <v>13.1</v>
      </c>
      <c r="N234" s="61">
        <v>13.207999999999998</v>
      </c>
      <c r="O234" s="60">
        <f t="shared" si="23"/>
        <v>0.10799999999999876</v>
      </c>
      <c r="P234" s="61">
        <v>0</v>
      </c>
      <c r="Q234" s="61">
        <v>0</v>
      </c>
      <c r="R234" s="1"/>
    </row>
    <row r="235" spans="2:18">
      <c r="B235">
        <v>16</v>
      </c>
      <c r="C235" s="59" t="s">
        <v>94</v>
      </c>
      <c r="D235" s="61">
        <v>17.914999999999999</v>
      </c>
      <c r="E235" s="61">
        <v>18.11699999999999</v>
      </c>
      <c r="F235" s="60">
        <f t="shared" si="20"/>
        <v>0.20199999999999108</v>
      </c>
      <c r="G235" s="61">
        <v>261.40300000000002</v>
      </c>
      <c r="H235" s="61">
        <v>261.709</v>
      </c>
      <c r="I235" s="60">
        <f t="shared" si="21"/>
        <v>0.30599999999998317</v>
      </c>
      <c r="J235" s="61">
        <v>20.463999999999999</v>
      </c>
      <c r="K235" s="61">
        <v>20.676000000000005</v>
      </c>
      <c r="L235" s="60">
        <f t="shared" si="22"/>
        <v>0.21200000000000685</v>
      </c>
      <c r="M235" s="61">
        <v>122.84099999999999</v>
      </c>
      <c r="N235" s="61">
        <v>123.06900000000002</v>
      </c>
      <c r="O235" s="60">
        <f t="shared" si="23"/>
        <v>0.22800000000002285</v>
      </c>
      <c r="P235" s="61">
        <v>0</v>
      </c>
      <c r="Q235" s="61">
        <v>0</v>
      </c>
      <c r="R235" s="1"/>
    </row>
    <row r="236" spans="2:18">
      <c r="B236">
        <v>17</v>
      </c>
      <c r="C236" s="59" t="s">
        <v>95</v>
      </c>
      <c r="D236" s="61">
        <v>30.305</v>
      </c>
      <c r="E236" s="61">
        <v>30.305</v>
      </c>
      <c r="F236" s="60">
        <f t="shared" si="20"/>
        <v>0</v>
      </c>
      <c r="G236" s="61">
        <v>64.83</v>
      </c>
      <c r="H236" s="61">
        <v>64.830000000000013</v>
      </c>
      <c r="I236" s="60">
        <f t="shared" si="21"/>
        <v>0</v>
      </c>
      <c r="J236" s="61">
        <v>42.122</v>
      </c>
      <c r="K236" s="61">
        <v>42.122</v>
      </c>
      <c r="L236" s="60">
        <f t="shared" si="22"/>
        <v>0</v>
      </c>
      <c r="M236" s="61">
        <v>32.255000000000003</v>
      </c>
      <c r="N236" s="61">
        <v>32.255000000000003</v>
      </c>
      <c r="O236" s="60">
        <f t="shared" si="23"/>
        <v>0</v>
      </c>
      <c r="P236" s="61">
        <v>0</v>
      </c>
      <c r="Q236" s="61">
        <v>0</v>
      </c>
      <c r="R236" s="1"/>
    </row>
    <row r="237" spans="2:18">
      <c r="B237">
        <v>18</v>
      </c>
      <c r="C237" s="59" t="s">
        <v>96</v>
      </c>
      <c r="D237" s="61">
        <v>31.812000000000001</v>
      </c>
      <c r="E237" s="61">
        <v>31.749999999999996</v>
      </c>
      <c r="F237" s="60">
        <f t="shared" si="20"/>
        <v>-6.2000000000004718E-2</v>
      </c>
      <c r="G237" s="61">
        <v>81.613</v>
      </c>
      <c r="H237" s="61">
        <v>81.340999999999994</v>
      </c>
      <c r="I237" s="60">
        <f t="shared" si="21"/>
        <v>-0.27200000000000557</v>
      </c>
      <c r="J237" s="61">
        <v>10.678000000000001</v>
      </c>
      <c r="K237" s="61">
        <v>10.678000000000001</v>
      </c>
      <c r="L237" s="60">
        <f t="shared" si="22"/>
        <v>0</v>
      </c>
      <c r="M237" s="61">
        <v>6.2309999999999999</v>
      </c>
      <c r="N237" s="61">
        <v>6.1361000000000008</v>
      </c>
      <c r="O237" s="60">
        <f t="shared" si="23"/>
        <v>-9.4899999999999096E-2</v>
      </c>
      <c r="P237" s="61">
        <v>0</v>
      </c>
      <c r="Q237" s="61">
        <v>0</v>
      </c>
      <c r="R237" s="1"/>
    </row>
    <row r="238" spans="2:18">
      <c r="B238">
        <v>19</v>
      </c>
      <c r="C238" s="59" t="s">
        <v>97</v>
      </c>
      <c r="D238" s="61">
        <v>-7.1710000000000003</v>
      </c>
      <c r="E238" s="61">
        <v>0</v>
      </c>
      <c r="F238" s="60">
        <f t="shared" si="20"/>
        <v>7.1710000000000003</v>
      </c>
      <c r="G238" s="61">
        <v>118.217</v>
      </c>
      <c r="H238" s="61">
        <v>108.84700000000002</v>
      </c>
      <c r="I238" s="60">
        <f t="shared" si="21"/>
        <v>-9.3699999999999761</v>
      </c>
      <c r="J238" s="61">
        <v>45.015000000000001</v>
      </c>
      <c r="K238" s="61">
        <v>44.901000000000003</v>
      </c>
      <c r="L238" s="60">
        <f t="shared" si="22"/>
        <v>-0.11399999999999721</v>
      </c>
      <c r="M238" s="61">
        <v>-1.0029999999999999</v>
      </c>
      <c r="N238" s="61">
        <v>0</v>
      </c>
      <c r="O238" s="60">
        <f t="shared" si="23"/>
        <v>1.0029999999999999</v>
      </c>
      <c r="P238" s="61">
        <v>0</v>
      </c>
      <c r="Q238" s="61">
        <v>0</v>
      </c>
      <c r="R238" s="1"/>
    </row>
    <row r="239" spans="2:18">
      <c r="B239">
        <v>20</v>
      </c>
      <c r="C239" s="59" t="s">
        <v>98</v>
      </c>
      <c r="D239" s="61">
        <v>20.271000000000001</v>
      </c>
      <c r="E239" s="61">
        <v>20.271000000000001</v>
      </c>
      <c r="F239" s="60">
        <f t="shared" si="20"/>
        <v>0</v>
      </c>
      <c r="G239" s="61">
        <v>30.83</v>
      </c>
      <c r="H239" s="61">
        <v>30.830000000000013</v>
      </c>
      <c r="I239" s="60">
        <f t="shared" si="21"/>
        <v>0</v>
      </c>
      <c r="J239" s="61">
        <v>20.74</v>
      </c>
      <c r="K239" s="61">
        <v>20.76</v>
      </c>
      <c r="L239" s="60">
        <f t="shared" si="22"/>
        <v>2.0000000000003126E-2</v>
      </c>
      <c r="M239" s="61">
        <v>44.552</v>
      </c>
      <c r="N239" s="61">
        <v>44.551999999999992</v>
      </c>
      <c r="O239" s="60">
        <f t="shared" si="23"/>
        <v>0</v>
      </c>
      <c r="P239" s="61">
        <v>0</v>
      </c>
      <c r="Q239" s="61">
        <v>0</v>
      </c>
      <c r="R239" s="1"/>
    </row>
    <row r="240" spans="2:18">
      <c r="B240">
        <v>21</v>
      </c>
      <c r="C240" s="59" t="s">
        <v>99</v>
      </c>
      <c r="D240" s="61">
        <v>21.5</v>
      </c>
      <c r="E240" s="61">
        <v>23.749999999999996</v>
      </c>
      <c r="F240" s="60">
        <f t="shared" si="20"/>
        <v>2.2499999999999964</v>
      </c>
      <c r="G240" s="61">
        <v>16.3</v>
      </c>
      <c r="H240" s="61">
        <v>16.434999999999995</v>
      </c>
      <c r="I240" s="60">
        <f t="shared" si="21"/>
        <v>0.13499999999999446</v>
      </c>
      <c r="J240" s="61">
        <v>6.7</v>
      </c>
      <c r="K240" s="61">
        <v>6.8349999999999991</v>
      </c>
      <c r="L240" s="60">
        <f t="shared" si="22"/>
        <v>0.1349999999999989</v>
      </c>
      <c r="M240" s="61">
        <v>29.55</v>
      </c>
      <c r="N240" s="61">
        <v>29.685000000000002</v>
      </c>
      <c r="O240" s="60">
        <f t="shared" si="23"/>
        <v>0.13500000000000156</v>
      </c>
      <c r="P240" s="61">
        <v>0</v>
      </c>
      <c r="Q240" s="61">
        <v>0</v>
      </c>
      <c r="R240" s="1"/>
    </row>
    <row r="241" spans="2:18">
      <c r="B241">
        <v>22</v>
      </c>
      <c r="C241" s="59" t="s">
        <v>100</v>
      </c>
      <c r="D241" s="61">
        <v>5.4649999999999999</v>
      </c>
      <c r="E241" s="61">
        <v>5.4649999999999963</v>
      </c>
      <c r="F241" s="60">
        <f t="shared" si="20"/>
        <v>0</v>
      </c>
      <c r="G241" s="61">
        <v>44.375</v>
      </c>
      <c r="H241" s="61">
        <v>44.375</v>
      </c>
      <c r="I241" s="60">
        <f t="shared" si="21"/>
        <v>0</v>
      </c>
      <c r="J241" s="61">
        <v>25.355</v>
      </c>
      <c r="K241" s="61">
        <v>25.355000000000004</v>
      </c>
      <c r="L241" s="60">
        <f t="shared" si="22"/>
        <v>0</v>
      </c>
      <c r="M241" s="61">
        <v>15.57</v>
      </c>
      <c r="N241" s="61">
        <v>15.569999999999999</v>
      </c>
      <c r="O241" s="60">
        <f t="shared" si="23"/>
        <v>0</v>
      </c>
      <c r="P241" s="61">
        <v>0</v>
      </c>
      <c r="Q241" s="61">
        <v>0</v>
      </c>
      <c r="R241" s="1"/>
    </row>
    <row r="242" spans="2:18">
      <c r="B242">
        <v>23</v>
      </c>
      <c r="C242" s="59" t="s">
        <v>101</v>
      </c>
      <c r="D242" s="61">
        <v>13.64</v>
      </c>
      <c r="E242" s="61">
        <v>21.07</v>
      </c>
      <c r="F242" s="60">
        <f t="shared" si="20"/>
        <v>7.43</v>
      </c>
      <c r="G242" s="61">
        <v>79.254999999999995</v>
      </c>
      <c r="H242" s="61">
        <v>118.765</v>
      </c>
      <c r="I242" s="60">
        <f t="shared" si="21"/>
        <v>39.510000000000005</v>
      </c>
      <c r="J242" s="61">
        <v>55.505000000000003</v>
      </c>
      <c r="K242" s="61">
        <v>52.65</v>
      </c>
      <c r="L242" s="60">
        <f t="shared" si="22"/>
        <v>-2.855000000000004</v>
      </c>
      <c r="M242" s="61">
        <v>6.52</v>
      </c>
      <c r="N242" s="61">
        <v>0</v>
      </c>
      <c r="O242" s="60">
        <f t="shared" si="23"/>
        <v>-6.52</v>
      </c>
      <c r="P242" s="61">
        <v>0</v>
      </c>
      <c r="Q242" s="61">
        <v>0</v>
      </c>
      <c r="R242" s="1"/>
    </row>
    <row r="243" spans="2:18">
      <c r="B243">
        <v>24</v>
      </c>
      <c r="C243" s="65" t="s">
        <v>102</v>
      </c>
      <c r="D243" s="61">
        <v>2.0089999999999999</v>
      </c>
      <c r="E243" s="61">
        <v>18.103000000000002</v>
      </c>
      <c r="F243" s="60">
        <f t="shared" si="20"/>
        <v>16.094000000000001</v>
      </c>
      <c r="G243" s="61">
        <v>46.933</v>
      </c>
      <c r="H243" s="61">
        <v>54.90300000000002</v>
      </c>
      <c r="I243" s="60">
        <f t="shared" si="21"/>
        <v>7.9700000000000202</v>
      </c>
      <c r="J243" s="61">
        <v>11.218</v>
      </c>
      <c r="K243" s="61">
        <v>6.6780000000000017</v>
      </c>
      <c r="L243" s="60">
        <f t="shared" si="22"/>
        <v>-4.5399999999999983</v>
      </c>
      <c r="M243" s="61">
        <v>12.688000000000001</v>
      </c>
      <c r="N243" s="61">
        <v>27.908000000000005</v>
      </c>
      <c r="O243" s="60">
        <f t="shared" si="23"/>
        <v>15.220000000000004</v>
      </c>
      <c r="P243" s="61">
        <v>0</v>
      </c>
      <c r="Q243" s="61">
        <v>0</v>
      </c>
      <c r="R243" s="1"/>
    </row>
    <row r="244" spans="2:18">
      <c r="B244">
        <v>25</v>
      </c>
      <c r="C244" s="59" t="s">
        <v>103</v>
      </c>
      <c r="D244" s="61">
        <v>28.172000000000001</v>
      </c>
      <c r="E244" s="61">
        <v>25.516000000000002</v>
      </c>
      <c r="F244" s="60">
        <f t="shared" si="20"/>
        <v>-2.6559999999999988</v>
      </c>
      <c r="G244" s="61">
        <v>175.42500000000001</v>
      </c>
      <c r="H244" s="61">
        <v>116.32900000000001</v>
      </c>
      <c r="I244" s="60">
        <f t="shared" si="21"/>
        <v>-59.096000000000004</v>
      </c>
      <c r="J244" s="61">
        <v>-21.984000000000002</v>
      </c>
      <c r="K244" s="61">
        <v>3.6819999999999999</v>
      </c>
      <c r="L244" s="60">
        <f t="shared" si="22"/>
        <v>25.666</v>
      </c>
      <c r="M244" s="61">
        <v>39.834000000000003</v>
      </c>
      <c r="N244" s="61">
        <v>27.616</v>
      </c>
      <c r="O244" s="60">
        <f t="shared" si="23"/>
        <v>-12.218000000000004</v>
      </c>
      <c r="P244" s="61">
        <v>0</v>
      </c>
      <c r="Q244" s="61">
        <v>0</v>
      </c>
      <c r="R244" s="1"/>
    </row>
    <row r="245" spans="2:18">
      <c r="B245">
        <v>26</v>
      </c>
      <c r="C245" s="59" t="s">
        <v>104</v>
      </c>
      <c r="D245" s="61">
        <v>3.944</v>
      </c>
      <c r="E245" s="61">
        <v>3.548</v>
      </c>
      <c r="F245" s="60">
        <f t="shared" si="20"/>
        <v>-0.39599999999999991</v>
      </c>
      <c r="G245" s="61">
        <v>168.76300000000001</v>
      </c>
      <c r="H245" s="61">
        <v>168.53199999999995</v>
      </c>
      <c r="I245" s="60">
        <f t="shared" si="21"/>
        <v>-0.23100000000005139</v>
      </c>
      <c r="J245" s="61">
        <v>27.858000000000001</v>
      </c>
      <c r="K245" s="61">
        <v>27.747000000000003</v>
      </c>
      <c r="L245" s="60">
        <f t="shared" si="22"/>
        <v>-0.1109999999999971</v>
      </c>
      <c r="M245" s="61">
        <v>49.143999999999998</v>
      </c>
      <c r="N245" s="61">
        <v>48.225000000000001</v>
      </c>
      <c r="O245" s="60">
        <f t="shared" si="23"/>
        <v>-0.91899999999999693</v>
      </c>
      <c r="P245" s="61">
        <v>0</v>
      </c>
      <c r="Q245" s="61">
        <v>0</v>
      </c>
      <c r="R245" s="1"/>
    </row>
    <row r="246" spans="2:18">
      <c r="B246">
        <v>27</v>
      </c>
      <c r="C246" s="59" t="s">
        <v>105</v>
      </c>
      <c r="D246" s="61">
        <v>19.777000000000001</v>
      </c>
      <c r="E246" s="61">
        <v>25.125999999999994</v>
      </c>
      <c r="F246" s="60">
        <f t="shared" si="20"/>
        <v>5.3489999999999931</v>
      </c>
      <c r="G246" s="61">
        <v>69.745999999999995</v>
      </c>
      <c r="H246" s="61">
        <v>52.903000000000006</v>
      </c>
      <c r="I246" s="60">
        <f t="shared" si="21"/>
        <v>-16.842999999999989</v>
      </c>
      <c r="J246" s="61">
        <v>40.021999999999998</v>
      </c>
      <c r="K246" s="61">
        <v>65.44</v>
      </c>
      <c r="L246" s="60">
        <f t="shared" si="22"/>
        <v>25.417999999999999</v>
      </c>
      <c r="M246" s="61">
        <v>3.1059999999999999</v>
      </c>
      <c r="N246" s="61">
        <v>19.594000000000001</v>
      </c>
      <c r="O246" s="60">
        <f t="shared" si="23"/>
        <v>16.488</v>
      </c>
      <c r="P246" s="61">
        <v>0</v>
      </c>
      <c r="Q246" s="61">
        <v>0</v>
      </c>
      <c r="R246" s="1"/>
    </row>
    <row r="247" spans="2:18">
      <c r="B247">
        <v>28</v>
      </c>
      <c r="C247" s="59" t="s">
        <v>106</v>
      </c>
      <c r="D247" s="61">
        <v>50.960999999999999</v>
      </c>
      <c r="E247" s="61">
        <v>83.575000000000003</v>
      </c>
      <c r="F247" s="60">
        <f t="shared" si="20"/>
        <v>32.614000000000004</v>
      </c>
      <c r="G247" s="61">
        <v>27.73</v>
      </c>
      <c r="H247" s="61">
        <v>11.838999999999999</v>
      </c>
      <c r="I247" s="60">
        <f t="shared" si="21"/>
        <v>-15.891000000000002</v>
      </c>
      <c r="J247" s="61">
        <v>22.663</v>
      </c>
      <c r="K247" s="61">
        <v>17.065999999999999</v>
      </c>
      <c r="L247" s="60">
        <f t="shared" si="22"/>
        <v>-5.5970000000000013</v>
      </c>
      <c r="M247" s="61">
        <v>21.614999999999998</v>
      </c>
      <c r="N247" s="61">
        <v>17.302</v>
      </c>
      <c r="O247" s="60">
        <f t="shared" si="23"/>
        <v>-4.3129999999999988</v>
      </c>
      <c r="P247" s="61">
        <v>0</v>
      </c>
      <c r="Q247" s="61">
        <v>0</v>
      </c>
      <c r="R247" s="1"/>
    </row>
    <row r="248" spans="2:18">
      <c r="B248">
        <v>29</v>
      </c>
      <c r="C248" s="59" t="s">
        <v>107</v>
      </c>
      <c r="D248" s="61">
        <v>-250.8</v>
      </c>
      <c r="E248" s="61">
        <v>21.154999999999973</v>
      </c>
      <c r="F248" s="60">
        <f t="shared" si="20"/>
        <v>271.95499999999998</v>
      </c>
      <c r="G248" s="61">
        <v>2.9780000000000002</v>
      </c>
      <c r="H248" s="61">
        <v>5.4349999999999996</v>
      </c>
      <c r="I248" s="60">
        <f t="shared" si="21"/>
        <v>2.4569999999999994</v>
      </c>
      <c r="J248" s="61">
        <v>2.66</v>
      </c>
      <c r="K248" s="61">
        <v>1.7399999999999993</v>
      </c>
      <c r="L248" s="60">
        <f t="shared" si="22"/>
        <v>-0.92000000000000082</v>
      </c>
      <c r="M248" s="61">
        <v>1.85</v>
      </c>
      <c r="N248" s="61">
        <v>3.5549999999999997</v>
      </c>
      <c r="O248" s="60">
        <f t="shared" si="23"/>
        <v>1.7049999999999996</v>
      </c>
      <c r="P248" s="61">
        <v>0</v>
      </c>
      <c r="Q248" s="61">
        <v>0</v>
      </c>
      <c r="R248" s="1"/>
    </row>
    <row r="249" spans="2:18">
      <c r="B249">
        <v>30</v>
      </c>
      <c r="C249" s="59" t="s">
        <v>108</v>
      </c>
      <c r="D249" s="61">
        <v>29.672000000000001</v>
      </c>
      <c r="E249" s="61">
        <v>29.980000000000004</v>
      </c>
      <c r="F249" s="60">
        <f t="shared" si="20"/>
        <v>0.30800000000000338</v>
      </c>
      <c r="G249" s="61">
        <v>108.364</v>
      </c>
      <c r="H249" s="61">
        <v>110.726</v>
      </c>
      <c r="I249" s="60">
        <f t="shared" si="21"/>
        <v>2.3619999999999948</v>
      </c>
      <c r="J249" s="61">
        <v>13.416</v>
      </c>
      <c r="K249" s="61">
        <v>13.425999999999995</v>
      </c>
      <c r="L249" s="60">
        <f t="shared" si="22"/>
        <v>9.9999999999944578E-3</v>
      </c>
      <c r="M249" s="61">
        <v>11.635</v>
      </c>
      <c r="N249" s="61">
        <v>11.635</v>
      </c>
      <c r="O249" s="60">
        <f t="shared" si="23"/>
        <v>0</v>
      </c>
      <c r="P249" s="61">
        <v>0</v>
      </c>
      <c r="Q249" s="61">
        <v>0</v>
      </c>
      <c r="R249" s="1"/>
    </row>
    <row r="250" spans="2:18">
      <c r="B250">
        <v>31</v>
      </c>
      <c r="C250" s="59" t="s">
        <v>109</v>
      </c>
      <c r="D250" s="61">
        <v>-38.097999999999999</v>
      </c>
      <c r="E250" s="61">
        <v>43.781000000000006</v>
      </c>
      <c r="F250" s="60">
        <f t="shared" si="20"/>
        <v>81.879000000000005</v>
      </c>
      <c r="G250" s="61">
        <v>108.083</v>
      </c>
      <c r="H250" s="61">
        <v>22.71</v>
      </c>
      <c r="I250" s="60">
        <f t="shared" si="21"/>
        <v>-85.37299999999999</v>
      </c>
      <c r="J250" s="61">
        <v>-62.25</v>
      </c>
      <c r="K250" s="61">
        <v>0</v>
      </c>
      <c r="L250" s="60">
        <f t="shared" si="22"/>
        <v>62.25</v>
      </c>
      <c r="M250" s="61">
        <v>36.555</v>
      </c>
      <c r="N250" s="61">
        <v>30.828999999999997</v>
      </c>
      <c r="O250" s="60">
        <f t="shared" si="23"/>
        <v>-5.7260000000000026</v>
      </c>
      <c r="P250" s="61">
        <v>0</v>
      </c>
      <c r="Q250" s="61">
        <v>0</v>
      </c>
      <c r="R250" s="1"/>
    </row>
    <row r="251" spans="2:18">
      <c r="B251">
        <v>32</v>
      </c>
      <c r="C251" s="59" t="s">
        <v>110</v>
      </c>
      <c r="D251" s="61">
        <v>41.984999999999999</v>
      </c>
      <c r="E251" s="61">
        <v>41.984999999999999</v>
      </c>
      <c r="F251" s="60">
        <f t="shared" si="20"/>
        <v>0</v>
      </c>
      <c r="G251" s="61">
        <v>51.920999999999999</v>
      </c>
      <c r="H251" s="61">
        <v>51.920999999999992</v>
      </c>
      <c r="I251" s="60">
        <f t="shared" si="21"/>
        <v>0</v>
      </c>
      <c r="J251" s="61">
        <v>59.354999999999997</v>
      </c>
      <c r="K251" s="61">
        <v>59.295000000000002</v>
      </c>
      <c r="L251" s="60">
        <f t="shared" si="22"/>
        <v>-5.9999999999995168E-2</v>
      </c>
      <c r="M251" s="61">
        <v>11.497</v>
      </c>
      <c r="N251" s="61">
        <v>11.497</v>
      </c>
      <c r="O251" s="60">
        <f t="shared" si="23"/>
        <v>0</v>
      </c>
      <c r="P251" s="61">
        <v>0</v>
      </c>
      <c r="Q251" s="61">
        <v>0</v>
      </c>
      <c r="R251" s="1"/>
    </row>
    <row r="252" spans="2:18">
      <c r="B252">
        <v>33</v>
      </c>
      <c r="C252" s="59" t="s">
        <v>111</v>
      </c>
      <c r="D252" s="61">
        <v>21.637</v>
      </c>
      <c r="E252" s="61">
        <v>21.636999999999997</v>
      </c>
      <c r="F252" s="60">
        <f t="shared" si="20"/>
        <v>0</v>
      </c>
      <c r="G252" s="61">
        <v>18.048999999999999</v>
      </c>
      <c r="H252" s="61">
        <v>18.048999999999996</v>
      </c>
      <c r="I252" s="60">
        <f t="shared" si="21"/>
        <v>0</v>
      </c>
      <c r="J252" s="61">
        <v>9.8219999999999992</v>
      </c>
      <c r="K252" s="61">
        <v>9.8219999999999992</v>
      </c>
      <c r="L252" s="60">
        <f t="shared" si="22"/>
        <v>0</v>
      </c>
      <c r="M252" s="61">
        <v>29.143999999999998</v>
      </c>
      <c r="N252" s="61">
        <v>29.144000000000002</v>
      </c>
      <c r="O252" s="60">
        <f t="shared" si="23"/>
        <v>0</v>
      </c>
      <c r="P252" s="61">
        <v>0</v>
      </c>
      <c r="Q252" s="61">
        <v>0</v>
      </c>
      <c r="R252" s="1"/>
    </row>
    <row r="253" spans="2:18">
      <c r="B253">
        <v>34</v>
      </c>
      <c r="C253" s="59" t="s">
        <v>112</v>
      </c>
      <c r="D253" s="61">
        <v>14.942</v>
      </c>
      <c r="E253" s="61">
        <v>14.433000000000003</v>
      </c>
      <c r="F253" s="60">
        <f t="shared" si="20"/>
        <v>-0.50899999999999679</v>
      </c>
      <c r="G253" s="61">
        <v>16.038</v>
      </c>
      <c r="H253" s="61">
        <v>15.978999999999996</v>
      </c>
      <c r="I253" s="60">
        <f t="shared" si="21"/>
        <v>-5.9000000000004604E-2</v>
      </c>
      <c r="J253" s="61">
        <v>11.489000000000001</v>
      </c>
      <c r="K253" s="61">
        <v>11.068999999999999</v>
      </c>
      <c r="L253" s="60">
        <f t="shared" si="22"/>
        <v>-0.42000000000000171</v>
      </c>
      <c r="M253" s="61">
        <v>18.178999999999998</v>
      </c>
      <c r="N253" s="61">
        <v>17.335000000000001</v>
      </c>
      <c r="O253" s="60">
        <f t="shared" si="23"/>
        <v>-0.84399999999999764</v>
      </c>
      <c r="P253" s="61">
        <v>0</v>
      </c>
      <c r="Q253" s="61">
        <v>0</v>
      </c>
      <c r="R253" s="1"/>
    </row>
    <row r="256" spans="2:18">
      <c r="C256" s="58">
        <v>46162</v>
      </c>
    </row>
    <row r="257" spans="2:18">
      <c r="C257" s="32" t="s">
        <v>68</v>
      </c>
      <c r="D257" s="33">
        <v>161</v>
      </c>
      <c r="E257" s="33"/>
      <c r="F257" s="33"/>
      <c r="G257" s="33">
        <v>2054</v>
      </c>
      <c r="H257" s="34"/>
      <c r="I257" s="34"/>
      <c r="J257" s="34">
        <v>5550</v>
      </c>
      <c r="K257" s="34"/>
      <c r="L257" s="34"/>
      <c r="M257" s="34">
        <v>8899</v>
      </c>
      <c r="N257" s="1"/>
      <c r="O257" s="1"/>
      <c r="P257" s="34">
        <v>5550</v>
      </c>
      <c r="Q257" s="1"/>
      <c r="R257" s="1"/>
    </row>
    <row r="258" spans="2:18" s="36" customFormat="1">
      <c r="C258" s="32" t="s">
        <v>69</v>
      </c>
      <c r="D258" s="35">
        <v>100001</v>
      </c>
      <c r="E258" s="35"/>
      <c r="F258" s="35"/>
      <c r="G258" s="33">
        <v>100004</v>
      </c>
      <c r="H258" s="34"/>
      <c r="I258" s="34"/>
      <c r="J258" s="34">
        <v>100030</v>
      </c>
      <c r="K258" s="34"/>
      <c r="L258" s="34"/>
      <c r="M258" s="34">
        <v>100153</v>
      </c>
      <c r="N258" s="34"/>
      <c r="O258" s="34"/>
      <c r="P258" s="34">
        <v>100030</v>
      </c>
      <c r="Q258" s="34"/>
      <c r="R258" s="34"/>
    </row>
    <row r="259" spans="2:18">
      <c r="C259" s="37" t="s">
        <v>70</v>
      </c>
      <c r="D259" s="33" t="s">
        <v>71</v>
      </c>
      <c r="E259" s="33"/>
      <c r="F259" s="33"/>
      <c r="G259" s="33" t="s">
        <v>71</v>
      </c>
      <c r="H259" s="38"/>
      <c r="I259" s="38"/>
      <c r="J259" s="38" t="s">
        <v>71</v>
      </c>
      <c r="K259" s="38"/>
      <c r="L259" s="38"/>
      <c r="M259" s="38" t="s">
        <v>71</v>
      </c>
      <c r="N259" s="1"/>
      <c r="O259" s="1"/>
      <c r="P259" s="38" t="s">
        <v>71</v>
      </c>
      <c r="Q259" s="1"/>
      <c r="R259" s="1"/>
    </row>
    <row r="260" spans="2:18">
      <c r="C260" s="39" t="s">
        <v>72</v>
      </c>
      <c r="D260" s="126" t="s">
        <v>73</v>
      </c>
      <c r="E260" s="126"/>
      <c r="F260" s="126"/>
      <c r="G260" s="122" t="s">
        <v>74</v>
      </c>
      <c r="H260" s="122"/>
      <c r="I260" s="122"/>
      <c r="J260" s="127" t="s">
        <v>75</v>
      </c>
      <c r="K260" s="127"/>
      <c r="L260" s="127"/>
      <c r="M260" s="120" t="s">
        <v>76</v>
      </c>
      <c r="N260" s="120"/>
      <c r="O260" s="120"/>
      <c r="P260" s="128" t="s">
        <v>115</v>
      </c>
      <c r="Q260" s="128"/>
      <c r="R260" s="128"/>
    </row>
    <row r="261" spans="2:18" ht="46.8" customHeight="1">
      <c r="B261">
        <v>13</v>
      </c>
      <c r="C261" s="40" t="s">
        <v>61</v>
      </c>
      <c r="D261" s="41" t="s">
        <v>116</v>
      </c>
      <c r="E261" s="41" t="s">
        <v>77</v>
      </c>
      <c r="F261" s="41" t="s">
        <v>78</v>
      </c>
      <c r="G261" s="42" t="s">
        <v>116</v>
      </c>
      <c r="H261" s="42" t="s">
        <v>77</v>
      </c>
      <c r="I261" s="42" t="s">
        <v>78</v>
      </c>
      <c r="J261" s="43" t="s">
        <v>116</v>
      </c>
      <c r="K261" s="43" t="s">
        <v>77</v>
      </c>
      <c r="L261" s="43" t="s">
        <v>78</v>
      </c>
      <c r="M261" s="44" t="s">
        <v>116</v>
      </c>
      <c r="N261" s="44" t="s">
        <v>77</v>
      </c>
      <c r="O261" s="44" t="s">
        <v>78</v>
      </c>
      <c r="P261" s="66" t="s">
        <v>116</v>
      </c>
      <c r="Q261" s="66" t="s">
        <v>77</v>
      </c>
      <c r="R261" s="66" t="s">
        <v>78</v>
      </c>
    </row>
    <row r="262" spans="2:18">
      <c r="B262">
        <v>1</v>
      </c>
      <c r="C262" s="59" t="s">
        <v>79</v>
      </c>
      <c r="D262" s="61">
        <v>29.199000000000002</v>
      </c>
      <c r="E262" s="61">
        <v>29.195000000000022</v>
      </c>
      <c r="F262" s="85">
        <f t="shared" ref="F262:F295" si="24">E262-D262</f>
        <v>-3.9999999999800195E-3</v>
      </c>
      <c r="G262" s="61">
        <v>124.559</v>
      </c>
      <c r="H262" s="61">
        <v>124.56</v>
      </c>
      <c r="I262" s="84">
        <f t="shared" ref="I262:I295" si="25">H262-G262</f>
        <v>1.0000000000047748E-3</v>
      </c>
      <c r="J262" s="61">
        <v>16.276</v>
      </c>
      <c r="K262" s="61">
        <v>16.279999999999994</v>
      </c>
      <c r="L262" s="84">
        <f t="shared" ref="L262:L295" si="26">K262-J262</f>
        <v>3.9999999999942304E-3</v>
      </c>
      <c r="M262" s="61">
        <v>36.807000000000002</v>
      </c>
      <c r="N262" s="61">
        <v>36.809999999999988</v>
      </c>
      <c r="O262" s="84">
        <f t="shared" ref="O262:O295" si="27">N262-M262</f>
        <v>2.9999999999859028E-3</v>
      </c>
      <c r="P262" s="61">
        <v>0</v>
      </c>
      <c r="Q262" s="61">
        <v>0</v>
      </c>
      <c r="R262" s="1"/>
    </row>
    <row r="263" spans="2:18">
      <c r="B263">
        <v>2</v>
      </c>
      <c r="C263" s="59" t="s">
        <v>80</v>
      </c>
      <c r="D263" s="61">
        <v>2.827</v>
      </c>
      <c r="E263" s="61">
        <v>3.3260000000000005</v>
      </c>
      <c r="F263" s="84">
        <f t="shared" si="24"/>
        <v>0.49900000000000055</v>
      </c>
      <c r="G263" s="61">
        <v>66.397000000000006</v>
      </c>
      <c r="H263" s="61">
        <v>67.670000000000016</v>
      </c>
      <c r="I263" s="84">
        <f t="shared" si="25"/>
        <v>1.2730000000000103</v>
      </c>
      <c r="J263" s="61">
        <v>20.943999999999999</v>
      </c>
      <c r="K263" s="61">
        <v>22.321999999999999</v>
      </c>
      <c r="L263" s="84">
        <f t="shared" si="26"/>
        <v>1.3780000000000001</v>
      </c>
      <c r="M263" s="61">
        <v>3.2330000000000001</v>
      </c>
      <c r="N263" s="61">
        <v>3.1599999999999966</v>
      </c>
      <c r="O263" s="84">
        <f t="shared" si="27"/>
        <v>-7.3000000000003507E-2</v>
      </c>
      <c r="P263" s="61">
        <v>0</v>
      </c>
      <c r="Q263" s="61">
        <v>0</v>
      </c>
      <c r="R263" s="1"/>
    </row>
    <row r="264" spans="2:18">
      <c r="B264">
        <v>3</v>
      </c>
      <c r="C264" s="59" t="s">
        <v>81</v>
      </c>
      <c r="D264" s="61">
        <v>0</v>
      </c>
      <c r="E264" s="61">
        <v>0</v>
      </c>
      <c r="F264" s="85">
        <f t="shared" si="24"/>
        <v>0</v>
      </c>
      <c r="G264" s="61">
        <v>71.251000000000005</v>
      </c>
      <c r="H264" s="61">
        <v>71.250999999999976</v>
      </c>
      <c r="I264" s="84">
        <f t="shared" si="25"/>
        <v>0</v>
      </c>
      <c r="J264" s="61">
        <v>10.874000000000001</v>
      </c>
      <c r="K264" s="61">
        <v>10.874000000000006</v>
      </c>
      <c r="L264" s="84">
        <f t="shared" si="26"/>
        <v>0</v>
      </c>
      <c r="M264" s="61">
        <v>12.226000000000001</v>
      </c>
      <c r="N264" s="61">
        <v>12.226000000000006</v>
      </c>
      <c r="O264" s="84">
        <f t="shared" si="27"/>
        <v>0</v>
      </c>
      <c r="P264" s="61">
        <v>0</v>
      </c>
      <c r="Q264" s="61">
        <v>0</v>
      </c>
      <c r="R264" s="1"/>
    </row>
    <row r="265" spans="2:18">
      <c r="B265">
        <v>4</v>
      </c>
      <c r="C265" s="59" t="s">
        <v>82</v>
      </c>
      <c r="D265" s="61">
        <v>51</v>
      </c>
      <c r="E265" s="61">
        <v>51</v>
      </c>
      <c r="F265" s="85">
        <f t="shared" si="24"/>
        <v>0</v>
      </c>
      <c r="G265" s="61">
        <v>213.19</v>
      </c>
      <c r="H265" s="61">
        <v>213.18999999999994</v>
      </c>
      <c r="I265" s="84">
        <f t="shared" si="25"/>
        <v>0</v>
      </c>
      <c r="J265" s="61">
        <v>0</v>
      </c>
      <c r="K265" s="61">
        <v>0</v>
      </c>
      <c r="L265" s="84">
        <f t="shared" si="26"/>
        <v>0</v>
      </c>
      <c r="M265" s="61">
        <v>116.295</v>
      </c>
      <c r="N265" s="61">
        <v>116.295</v>
      </c>
      <c r="O265" s="84">
        <f t="shared" si="27"/>
        <v>0</v>
      </c>
      <c r="P265" s="61">
        <v>0</v>
      </c>
      <c r="Q265" s="61">
        <v>0</v>
      </c>
      <c r="R265" s="1"/>
    </row>
    <row r="266" spans="2:18">
      <c r="B266">
        <v>5</v>
      </c>
      <c r="C266" s="59" t="s">
        <v>83</v>
      </c>
      <c r="D266" s="61">
        <v>12.782</v>
      </c>
      <c r="E266" s="61">
        <v>0</v>
      </c>
      <c r="F266" s="69">
        <f t="shared" si="24"/>
        <v>-12.782</v>
      </c>
      <c r="G266" s="61">
        <v>28.234000000000002</v>
      </c>
      <c r="H266" s="61">
        <v>2.9753977059954195E-14</v>
      </c>
      <c r="I266" s="84">
        <f t="shared" si="25"/>
        <v>-28.233999999999973</v>
      </c>
      <c r="J266" s="61">
        <v>51.686</v>
      </c>
      <c r="K266" s="61">
        <v>8.0910000000000011</v>
      </c>
      <c r="L266" s="84">
        <f t="shared" si="26"/>
        <v>-43.594999999999999</v>
      </c>
      <c r="M266" s="61">
        <v>9.4860000000000007</v>
      </c>
      <c r="N266" s="61">
        <v>0</v>
      </c>
      <c r="O266" s="84">
        <f t="shared" si="27"/>
        <v>-9.4860000000000007</v>
      </c>
      <c r="P266" s="61">
        <v>0</v>
      </c>
      <c r="Q266" s="61">
        <v>0</v>
      </c>
      <c r="R266" s="1"/>
    </row>
    <row r="267" spans="2:18">
      <c r="B267">
        <v>6</v>
      </c>
      <c r="C267" s="59" t="s">
        <v>84</v>
      </c>
      <c r="D267" s="61">
        <v>51.106000000000002</v>
      </c>
      <c r="E267" s="61">
        <v>51.11</v>
      </c>
      <c r="F267" s="85">
        <f t="shared" si="24"/>
        <v>3.9999999999977831E-3</v>
      </c>
      <c r="G267" s="61">
        <v>55.308999999999997</v>
      </c>
      <c r="H267" s="61">
        <v>55.291999999999987</v>
      </c>
      <c r="I267" s="84">
        <f t="shared" si="25"/>
        <v>-1.7000000000010118E-2</v>
      </c>
      <c r="J267" s="61">
        <v>45.457000000000001</v>
      </c>
      <c r="K267" s="61">
        <v>45.550000000000004</v>
      </c>
      <c r="L267" s="84">
        <f t="shared" si="26"/>
        <v>9.3000000000003524E-2</v>
      </c>
      <c r="M267" s="61">
        <v>31.74</v>
      </c>
      <c r="N267" s="61">
        <v>31.740000000000002</v>
      </c>
      <c r="O267" s="84">
        <f t="shared" si="27"/>
        <v>0</v>
      </c>
      <c r="P267" s="61">
        <v>0</v>
      </c>
      <c r="Q267" s="61">
        <v>0</v>
      </c>
      <c r="R267" s="1"/>
    </row>
    <row r="268" spans="2:18">
      <c r="B268">
        <v>7</v>
      </c>
      <c r="C268" s="59" t="s">
        <v>85</v>
      </c>
      <c r="D268" s="61">
        <v>40.265000000000001</v>
      </c>
      <c r="E268" s="61">
        <v>40.284999999999997</v>
      </c>
      <c r="F268" s="84">
        <f t="shared" si="24"/>
        <v>1.9999999999996021E-2</v>
      </c>
      <c r="G268" s="61">
        <v>71.013000000000005</v>
      </c>
      <c r="H268" s="61">
        <v>351.82599999999996</v>
      </c>
      <c r="I268" s="84">
        <f t="shared" si="25"/>
        <v>280.81299999999999</v>
      </c>
      <c r="J268" s="61">
        <v>41.832000000000001</v>
      </c>
      <c r="K268" s="61">
        <v>41.604999999999997</v>
      </c>
      <c r="L268" s="84">
        <f t="shared" si="26"/>
        <v>-0.22700000000000387</v>
      </c>
      <c r="M268" s="61">
        <v>14.587999999999999</v>
      </c>
      <c r="N268" s="61">
        <v>14.150999999999996</v>
      </c>
      <c r="O268" s="84">
        <f t="shared" si="27"/>
        <v>-0.43700000000000294</v>
      </c>
      <c r="P268" s="61">
        <v>0</v>
      </c>
      <c r="Q268" s="61">
        <v>0</v>
      </c>
      <c r="R268" s="1"/>
    </row>
    <row r="269" spans="2:18">
      <c r="B269">
        <v>8</v>
      </c>
      <c r="C269" s="59" t="s">
        <v>86</v>
      </c>
      <c r="D269" s="61">
        <v>77.956000000000003</v>
      </c>
      <c r="E269" s="61">
        <v>20.558139999999998</v>
      </c>
      <c r="F269" s="69">
        <f t="shared" si="24"/>
        <v>-57.397860000000009</v>
      </c>
      <c r="G269" s="61">
        <v>138.29400000000001</v>
      </c>
      <c r="H269" s="61">
        <v>112.75121499999997</v>
      </c>
      <c r="I269" s="84">
        <f t="shared" si="25"/>
        <v>-25.542785000000038</v>
      </c>
      <c r="J269" s="61">
        <v>0</v>
      </c>
      <c r="K269" s="61">
        <v>0</v>
      </c>
      <c r="L269" s="84">
        <f t="shared" si="26"/>
        <v>0</v>
      </c>
      <c r="M269" s="61">
        <v>11.817</v>
      </c>
      <c r="N269" s="61">
        <v>1.8479399999999906</v>
      </c>
      <c r="O269" s="84">
        <f t="shared" si="27"/>
        <v>-9.9690600000000096</v>
      </c>
      <c r="P269" s="61">
        <v>0</v>
      </c>
      <c r="Q269" s="61">
        <v>0</v>
      </c>
      <c r="R269" s="1"/>
    </row>
    <row r="270" spans="2:18">
      <c r="B270">
        <v>9</v>
      </c>
      <c r="C270" s="59" t="s">
        <v>87</v>
      </c>
      <c r="D270" s="61">
        <v>-6.7560000000000002</v>
      </c>
      <c r="E270" s="61">
        <v>5.637999999999991</v>
      </c>
      <c r="F270" s="84">
        <f t="shared" si="24"/>
        <v>12.393999999999991</v>
      </c>
      <c r="G270" s="61">
        <v>19.806000000000001</v>
      </c>
      <c r="H270" s="61">
        <v>19.806000000000015</v>
      </c>
      <c r="I270" s="84">
        <f t="shared" si="25"/>
        <v>0</v>
      </c>
      <c r="J270" s="61">
        <v>0</v>
      </c>
      <c r="K270" s="61">
        <v>5.4640000000000004</v>
      </c>
      <c r="L270" s="84">
        <f t="shared" si="26"/>
        <v>5.4640000000000004</v>
      </c>
      <c r="M270" s="61">
        <v>22.931999999999999</v>
      </c>
      <c r="N270" s="61">
        <v>10.322000000000003</v>
      </c>
      <c r="O270" s="84">
        <f t="shared" si="27"/>
        <v>-12.609999999999996</v>
      </c>
      <c r="P270" s="61">
        <v>0</v>
      </c>
      <c r="Q270" s="61">
        <v>0</v>
      </c>
      <c r="R270" s="1"/>
    </row>
    <row r="271" spans="2:18">
      <c r="B271">
        <v>10</v>
      </c>
      <c r="C271" s="59" t="s">
        <v>88</v>
      </c>
      <c r="D271" s="61">
        <v>24.021000000000001</v>
      </c>
      <c r="E271" s="61">
        <v>22.946999999999999</v>
      </c>
      <c r="F271" s="69">
        <f t="shared" si="24"/>
        <v>-1.0740000000000016</v>
      </c>
      <c r="G271" s="61">
        <v>40.026000000000003</v>
      </c>
      <c r="H271" s="61">
        <v>60.52600000000001</v>
      </c>
      <c r="I271" s="84">
        <f t="shared" si="25"/>
        <v>20.500000000000007</v>
      </c>
      <c r="J271" s="61">
        <v>0</v>
      </c>
      <c r="K271" s="61">
        <v>0</v>
      </c>
      <c r="L271" s="84">
        <f t="shared" si="26"/>
        <v>0</v>
      </c>
      <c r="M271" s="61">
        <v>15.266</v>
      </c>
      <c r="N271" s="61">
        <v>29.558</v>
      </c>
      <c r="O271" s="84">
        <f t="shared" si="27"/>
        <v>14.292</v>
      </c>
      <c r="P271" s="61">
        <v>0</v>
      </c>
      <c r="Q271" s="61">
        <v>0</v>
      </c>
      <c r="R271" s="1"/>
    </row>
    <row r="272" spans="2:18">
      <c r="B272">
        <v>11</v>
      </c>
      <c r="C272" s="59" t="s">
        <v>89</v>
      </c>
      <c r="D272" s="61">
        <v>120.631</v>
      </c>
      <c r="E272" s="61">
        <v>120.63099999999997</v>
      </c>
      <c r="F272" s="86">
        <f t="shared" si="24"/>
        <v>0</v>
      </c>
      <c r="G272" s="61">
        <v>82.260999999999996</v>
      </c>
      <c r="H272" s="61">
        <v>82.260999999999996</v>
      </c>
      <c r="I272" s="87">
        <f t="shared" si="25"/>
        <v>0</v>
      </c>
      <c r="J272" s="61">
        <v>11.526</v>
      </c>
      <c r="K272" s="61">
        <v>11.525999999999998</v>
      </c>
      <c r="L272" s="84">
        <f t="shared" si="26"/>
        <v>0</v>
      </c>
      <c r="M272" s="61">
        <v>32.195</v>
      </c>
      <c r="N272" s="61">
        <v>32.195</v>
      </c>
      <c r="O272" s="84">
        <f t="shared" si="27"/>
        <v>0</v>
      </c>
      <c r="P272" s="61">
        <v>0</v>
      </c>
      <c r="Q272" s="61">
        <v>0</v>
      </c>
      <c r="R272" s="1"/>
    </row>
    <row r="273" spans="2:18">
      <c r="B273">
        <v>12</v>
      </c>
      <c r="C273" s="59" t="s">
        <v>90</v>
      </c>
      <c r="D273" s="61">
        <v>28.838999999999999</v>
      </c>
      <c r="E273" s="61">
        <v>28.838999999999999</v>
      </c>
      <c r="F273" s="85">
        <f t="shared" si="24"/>
        <v>0</v>
      </c>
      <c r="G273" s="61">
        <v>5.899</v>
      </c>
      <c r="H273" s="61">
        <v>5.8990000000000133</v>
      </c>
      <c r="I273" s="84">
        <f t="shared" si="25"/>
        <v>1.3322676295501878E-14</v>
      </c>
      <c r="J273" s="61">
        <v>25.068999999999999</v>
      </c>
      <c r="K273" s="61">
        <v>25.068999999999999</v>
      </c>
      <c r="L273" s="84">
        <f t="shared" si="26"/>
        <v>0</v>
      </c>
      <c r="M273" s="61">
        <v>9.5280000000000005</v>
      </c>
      <c r="N273" s="61">
        <v>9.5280000000000022</v>
      </c>
      <c r="O273" s="84">
        <f t="shared" si="27"/>
        <v>0</v>
      </c>
      <c r="P273" s="61">
        <v>0</v>
      </c>
      <c r="Q273" s="61">
        <v>0</v>
      </c>
      <c r="R273" s="1"/>
    </row>
    <row r="274" spans="2:18">
      <c r="B274">
        <v>13</v>
      </c>
      <c r="C274" s="59" t="s">
        <v>91</v>
      </c>
      <c r="D274" s="61">
        <v>-21.852</v>
      </c>
      <c r="E274" s="61">
        <v>3.1479999999999961</v>
      </c>
      <c r="F274" s="84">
        <f t="shared" si="24"/>
        <v>24.999999999999996</v>
      </c>
      <c r="G274" s="61">
        <v>153.10300000000001</v>
      </c>
      <c r="H274" s="61">
        <v>53.282999999999987</v>
      </c>
      <c r="I274" s="84">
        <f t="shared" si="25"/>
        <v>-99.820000000000022</v>
      </c>
      <c r="J274" s="61">
        <v>37.448</v>
      </c>
      <c r="K274" s="61">
        <v>37.448</v>
      </c>
      <c r="L274" s="84">
        <f t="shared" si="26"/>
        <v>0</v>
      </c>
      <c r="M274" s="61">
        <v>11.997999999999999</v>
      </c>
      <c r="N274" s="61">
        <v>11.998000000000001</v>
      </c>
      <c r="O274" s="84">
        <f t="shared" si="27"/>
        <v>0</v>
      </c>
      <c r="P274" s="61">
        <v>0</v>
      </c>
      <c r="Q274" s="61">
        <v>0</v>
      </c>
      <c r="R274" s="1"/>
    </row>
    <row r="275" spans="2:18">
      <c r="B275">
        <v>14</v>
      </c>
      <c r="C275" s="59" t="s">
        <v>92</v>
      </c>
      <c r="D275" s="61">
        <v>6.101</v>
      </c>
      <c r="E275" s="61">
        <v>6.5740000000000016</v>
      </c>
      <c r="F275" s="84">
        <f t="shared" si="24"/>
        <v>0.47300000000000164</v>
      </c>
      <c r="G275" s="61">
        <v>90.643000000000001</v>
      </c>
      <c r="H275" s="61">
        <v>93.103999999999999</v>
      </c>
      <c r="I275" s="84">
        <f t="shared" si="25"/>
        <v>2.4609999999999985</v>
      </c>
      <c r="J275" s="61">
        <v>0</v>
      </c>
      <c r="K275" s="61">
        <v>0</v>
      </c>
      <c r="L275" s="84">
        <f t="shared" si="26"/>
        <v>0</v>
      </c>
      <c r="M275" s="61">
        <v>62.87</v>
      </c>
      <c r="N275" s="61">
        <v>65.786000000000001</v>
      </c>
      <c r="O275" s="84">
        <f t="shared" si="27"/>
        <v>2.9160000000000039</v>
      </c>
      <c r="P275" s="61">
        <v>0</v>
      </c>
      <c r="Q275" s="61">
        <v>0</v>
      </c>
      <c r="R275" s="1"/>
    </row>
    <row r="276" spans="2:18">
      <c r="B276">
        <v>15</v>
      </c>
      <c r="C276" s="59" t="s">
        <v>93</v>
      </c>
      <c r="D276" s="61">
        <v>18.048999999999999</v>
      </c>
      <c r="E276" s="61">
        <v>18.048999999999999</v>
      </c>
      <c r="F276" s="85">
        <f t="shared" si="24"/>
        <v>0</v>
      </c>
      <c r="G276" s="61">
        <v>24.91</v>
      </c>
      <c r="H276" s="61">
        <v>24.910000000000011</v>
      </c>
      <c r="I276" s="84">
        <f t="shared" si="25"/>
        <v>0</v>
      </c>
      <c r="J276" s="61">
        <v>0</v>
      </c>
      <c r="K276" s="61">
        <v>0</v>
      </c>
      <c r="L276" s="84">
        <f t="shared" si="26"/>
        <v>0</v>
      </c>
      <c r="M276" s="61">
        <v>4.9960000000000004</v>
      </c>
      <c r="N276" s="61">
        <v>4.9959999999999969</v>
      </c>
      <c r="O276" s="84">
        <f t="shared" si="27"/>
        <v>0</v>
      </c>
      <c r="P276" s="61">
        <v>0</v>
      </c>
      <c r="Q276" s="61">
        <v>0</v>
      </c>
      <c r="R276" s="1"/>
    </row>
    <row r="277" spans="2:18">
      <c r="B277">
        <v>16</v>
      </c>
      <c r="C277" s="59" t="s">
        <v>94</v>
      </c>
      <c r="D277" s="61">
        <v>-46.027000000000001</v>
      </c>
      <c r="E277" s="61">
        <v>28.012999999999991</v>
      </c>
      <c r="F277" s="84">
        <f t="shared" si="24"/>
        <v>74.039999999999992</v>
      </c>
      <c r="G277" s="61">
        <f>342.903+P277</f>
        <v>284.77100000000002</v>
      </c>
      <c r="H277" s="61">
        <v>283.95100000000002</v>
      </c>
      <c r="I277" s="84">
        <f t="shared" si="25"/>
        <v>-0.81999999999999318</v>
      </c>
      <c r="J277" s="61">
        <v>7.15</v>
      </c>
      <c r="K277" s="61">
        <v>7.1500000000000057</v>
      </c>
      <c r="L277" s="84">
        <f t="shared" si="26"/>
        <v>0</v>
      </c>
      <c r="M277" s="61">
        <v>111.155</v>
      </c>
      <c r="N277" s="61">
        <v>111.15500000000003</v>
      </c>
      <c r="O277" s="84">
        <f t="shared" si="27"/>
        <v>0</v>
      </c>
      <c r="P277" s="61">
        <v>-58.131999999999998</v>
      </c>
      <c r="Q277" s="61">
        <v>0</v>
      </c>
      <c r="R277" s="1"/>
    </row>
    <row r="278" spans="2:18">
      <c r="B278">
        <v>17</v>
      </c>
      <c r="C278" s="59" t="s">
        <v>95</v>
      </c>
      <c r="D278" s="61">
        <v>26.542000000000002</v>
      </c>
      <c r="E278" s="61">
        <v>26.542000000000002</v>
      </c>
      <c r="F278" s="85">
        <f t="shared" si="24"/>
        <v>0</v>
      </c>
      <c r="G278" s="61">
        <v>69.486000000000004</v>
      </c>
      <c r="H278" s="61">
        <v>69.48599999999999</v>
      </c>
      <c r="I278" s="84">
        <f t="shared" si="25"/>
        <v>0</v>
      </c>
      <c r="J278" s="61">
        <v>39.787999999999997</v>
      </c>
      <c r="K278" s="61">
        <v>39.787999999999997</v>
      </c>
      <c r="L278" s="84">
        <f t="shared" si="26"/>
        <v>0</v>
      </c>
      <c r="M278" s="61">
        <v>38.183999999999997</v>
      </c>
      <c r="N278" s="61">
        <v>38.184000000000005</v>
      </c>
      <c r="O278" s="84">
        <f t="shared" si="27"/>
        <v>0</v>
      </c>
      <c r="P278" s="61">
        <v>0</v>
      </c>
      <c r="Q278" s="61">
        <v>0</v>
      </c>
      <c r="R278" s="1"/>
    </row>
    <row r="279" spans="2:18">
      <c r="B279">
        <v>18</v>
      </c>
      <c r="C279" s="59" t="s">
        <v>96</v>
      </c>
      <c r="D279" s="61">
        <v>18.655000000000001</v>
      </c>
      <c r="E279" s="61">
        <v>18.593000000000004</v>
      </c>
      <c r="F279" s="69">
        <f t="shared" si="24"/>
        <v>-6.1999999999997613E-2</v>
      </c>
      <c r="G279" s="61">
        <v>32.527999999999999</v>
      </c>
      <c r="H279" s="61">
        <v>32.061999999999998</v>
      </c>
      <c r="I279" s="84">
        <f t="shared" si="25"/>
        <v>-0.46600000000000108</v>
      </c>
      <c r="J279" s="61">
        <v>19.387</v>
      </c>
      <c r="K279" s="61">
        <v>19.387000000000004</v>
      </c>
      <c r="L279" s="84">
        <f t="shared" si="26"/>
        <v>0</v>
      </c>
      <c r="M279" s="61">
        <v>-9.9000000000000005E-2</v>
      </c>
      <c r="N279" s="61">
        <v>0</v>
      </c>
      <c r="O279" s="84">
        <f t="shared" si="27"/>
        <v>9.9000000000000005E-2</v>
      </c>
      <c r="P279" s="61">
        <v>0</v>
      </c>
      <c r="Q279" s="61">
        <v>0</v>
      </c>
      <c r="R279" s="1"/>
    </row>
    <row r="280" spans="2:18">
      <c r="B280">
        <v>19</v>
      </c>
      <c r="C280" s="59" t="s">
        <v>97</v>
      </c>
      <c r="D280" s="61">
        <v>5.7140000000000004</v>
      </c>
      <c r="E280" s="61">
        <v>5.7149999999999999</v>
      </c>
      <c r="F280" s="85">
        <f t="shared" si="24"/>
        <v>9.9999999999944578E-4</v>
      </c>
      <c r="G280" s="61">
        <f>101.73</f>
        <v>101.73</v>
      </c>
      <c r="H280" s="61">
        <v>101.077</v>
      </c>
      <c r="I280" s="84">
        <f t="shared" si="25"/>
        <v>-0.6530000000000058</v>
      </c>
      <c r="J280" s="61">
        <v>36.798999999999999</v>
      </c>
      <c r="K280" s="61">
        <v>36.685000000000002</v>
      </c>
      <c r="L280" s="84">
        <f t="shared" si="26"/>
        <v>-0.11399999999999721</v>
      </c>
      <c r="M280" s="61">
        <v>4.8220000000000001</v>
      </c>
      <c r="N280" s="61">
        <v>4.8254999999999981</v>
      </c>
      <c r="O280" s="84">
        <f t="shared" si="27"/>
        <v>3.4999999999980602E-3</v>
      </c>
      <c r="P280" s="61">
        <v>-22</v>
      </c>
      <c r="Q280" s="61">
        <v>0</v>
      </c>
      <c r="R280" s="1"/>
    </row>
    <row r="281" spans="2:18">
      <c r="B281">
        <v>20</v>
      </c>
      <c r="C281" s="59" t="s">
        <v>98</v>
      </c>
      <c r="D281" s="61">
        <v>34.677999999999997</v>
      </c>
      <c r="E281" s="61">
        <v>34.677999999999997</v>
      </c>
      <c r="F281" s="85">
        <f t="shared" si="24"/>
        <v>0</v>
      </c>
      <c r="G281" s="61">
        <v>29.259</v>
      </c>
      <c r="H281" s="61">
        <v>29.259</v>
      </c>
      <c r="I281" s="84">
        <f t="shared" si="25"/>
        <v>0</v>
      </c>
      <c r="J281" s="61">
        <v>31.190999999999999</v>
      </c>
      <c r="K281" s="61">
        <v>31.190999999999999</v>
      </c>
      <c r="L281" s="84">
        <f t="shared" si="26"/>
        <v>0</v>
      </c>
      <c r="M281" s="61">
        <v>35.491999999999997</v>
      </c>
      <c r="N281" s="61">
        <v>35.491999999999997</v>
      </c>
      <c r="O281" s="84">
        <f t="shared" si="27"/>
        <v>0</v>
      </c>
      <c r="P281" s="61">
        <v>0</v>
      </c>
      <c r="Q281" s="61">
        <v>0</v>
      </c>
      <c r="R281" s="1"/>
    </row>
    <row r="282" spans="2:18">
      <c r="B282">
        <v>21</v>
      </c>
      <c r="C282" s="59" t="s">
        <v>99</v>
      </c>
      <c r="D282" s="61">
        <v>6.7149999999999999</v>
      </c>
      <c r="E282" s="61">
        <v>6.7150000000000034</v>
      </c>
      <c r="F282" s="85">
        <f t="shared" si="24"/>
        <v>0</v>
      </c>
      <c r="G282" s="61">
        <v>8.11</v>
      </c>
      <c r="H282" s="61">
        <v>17.920000000000002</v>
      </c>
      <c r="I282" s="84">
        <f t="shared" si="25"/>
        <v>9.8100000000000023</v>
      </c>
      <c r="J282" s="61">
        <v>-5</v>
      </c>
      <c r="K282" s="61">
        <v>5</v>
      </c>
      <c r="L282" s="84">
        <f t="shared" si="26"/>
        <v>10</v>
      </c>
      <c r="M282" s="61">
        <v>26.664999999999999</v>
      </c>
      <c r="N282" s="61">
        <v>26.664999999999999</v>
      </c>
      <c r="O282" s="84">
        <f t="shared" si="27"/>
        <v>0</v>
      </c>
      <c r="P282" s="61">
        <v>0</v>
      </c>
      <c r="Q282" s="61">
        <v>0</v>
      </c>
      <c r="R282" s="1"/>
    </row>
    <row r="283" spans="2:18">
      <c r="B283">
        <v>22</v>
      </c>
      <c r="C283" s="59" t="s">
        <v>100</v>
      </c>
      <c r="D283" s="61">
        <v>9.4049999999999994</v>
      </c>
      <c r="E283" s="61">
        <v>9.4049999999999976</v>
      </c>
      <c r="F283" s="85">
        <f t="shared" si="24"/>
        <v>0</v>
      </c>
      <c r="G283" s="61">
        <v>41.134999999999998</v>
      </c>
      <c r="H283" s="61">
        <v>41.150000000000006</v>
      </c>
      <c r="I283" s="84">
        <f t="shared" si="25"/>
        <v>1.5000000000007674E-2</v>
      </c>
      <c r="J283" s="61">
        <v>22.67</v>
      </c>
      <c r="K283" s="61">
        <v>22.67</v>
      </c>
      <c r="L283" s="84">
        <f t="shared" si="26"/>
        <v>0</v>
      </c>
      <c r="M283" s="61">
        <v>12.895</v>
      </c>
      <c r="N283" s="61">
        <v>12.894999999999998</v>
      </c>
      <c r="O283" s="84">
        <f t="shared" si="27"/>
        <v>0</v>
      </c>
      <c r="P283" s="61">
        <v>0</v>
      </c>
      <c r="Q283" s="61">
        <v>0</v>
      </c>
      <c r="R283" s="1"/>
    </row>
    <row r="284" spans="2:18">
      <c r="B284">
        <v>23</v>
      </c>
      <c r="C284" s="59" t="s">
        <v>101</v>
      </c>
      <c r="D284" s="61">
        <v>32.340000000000003</v>
      </c>
      <c r="E284" s="61">
        <v>32.340000000000003</v>
      </c>
      <c r="F284" s="85">
        <f t="shared" si="24"/>
        <v>0</v>
      </c>
      <c r="G284" s="61">
        <v>106.895</v>
      </c>
      <c r="H284" s="61">
        <v>106.895</v>
      </c>
      <c r="I284" s="84">
        <f t="shared" si="25"/>
        <v>0</v>
      </c>
      <c r="J284" s="61">
        <v>41.62</v>
      </c>
      <c r="K284" s="61">
        <v>41.62</v>
      </c>
      <c r="L284" s="84">
        <f t="shared" si="26"/>
        <v>0</v>
      </c>
      <c r="M284" s="61">
        <v>8.8000000000000007</v>
      </c>
      <c r="N284" s="61">
        <v>6.7909999999999968</v>
      </c>
      <c r="O284" s="84">
        <f t="shared" si="27"/>
        <v>-2.0090000000000039</v>
      </c>
      <c r="P284" s="61">
        <v>-10</v>
      </c>
      <c r="Q284" s="61">
        <v>0</v>
      </c>
      <c r="R284" s="1"/>
    </row>
    <row r="285" spans="2:18">
      <c r="B285">
        <v>24</v>
      </c>
      <c r="C285" s="65" t="s">
        <v>102</v>
      </c>
      <c r="D285" s="61">
        <v>0</v>
      </c>
      <c r="E285" s="61">
        <v>0</v>
      </c>
      <c r="F285" s="85">
        <f t="shared" si="24"/>
        <v>0</v>
      </c>
      <c r="G285" s="61">
        <v>40.283000000000001</v>
      </c>
      <c r="H285" s="61">
        <v>40.282999999999987</v>
      </c>
      <c r="I285" s="84">
        <f t="shared" si="25"/>
        <v>0</v>
      </c>
      <c r="J285" s="61">
        <v>23.11</v>
      </c>
      <c r="K285" s="61">
        <v>23.11</v>
      </c>
      <c r="L285" s="84">
        <f t="shared" si="26"/>
        <v>0</v>
      </c>
      <c r="M285" s="61">
        <v>17.724</v>
      </c>
      <c r="N285" s="61">
        <v>17.724000000000004</v>
      </c>
      <c r="O285" s="84">
        <f t="shared" si="27"/>
        <v>0</v>
      </c>
      <c r="P285" s="61">
        <v>0</v>
      </c>
      <c r="Q285" s="61">
        <v>0</v>
      </c>
      <c r="R285" s="1"/>
    </row>
    <row r="286" spans="2:18">
      <c r="B286">
        <v>25</v>
      </c>
      <c r="C286" s="59" t="s">
        <v>103</v>
      </c>
      <c r="D286" s="61">
        <v>28.065999999999999</v>
      </c>
      <c r="E286" s="61">
        <v>52.505999999999993</v>
      </c>
      <c r="F286" s="84">
        <f t="shared" si="24"/>
        <v>24.439999999999994</v>
      </c>
      <c r="G286" s="61">
        <v>219.39</v>
      </c>
      <c r="H286" s="61">
        <v>149.66800000000001</v>
      </c>
      <c r="I286" s="84">
        <f t="shared" si="25"/>
        <v>-69.72199999999998</v>
      </c>
      <c r="J286" s="61">
        <v>-28.696000000000002</v>
      </c>
      <c r="K286" s="61">
        <v>-0.6339999999999999</v>
      </c>
      <c r="L286" s="84">
        <f t="shared" si="26"/>
        <v>28.062000000000001</v>
      </c>
      <c r="M286" s="61">
        <v>32.21</v>
      </c>
      <c r="N286" s="61">
        <v>24.292000000000002</v>
      </c>
      <c r="O286" s="84">
        <f t="shared" si="27"/>
        <v>-7.9179999999999993</v>
      </c>
      <c r="P286" s="61">
        <v>0</v>
      </c>
      <c r="Q286" s="61">
        <v>0</v>
      </c>
      <c r="R286" s="1"/>
    </row>
    <row r="287" spans="2:18">
      <c r="B287">
        <v>26</v>
      </c>
      <c r="C287" s="59" t="s">
        <v>104</v>
      </c>
      <c r="D287" s="61">
        <v>0.157</v>
      </c>
      <c r="E287" s="61">
        <v>0.221</v>
      </c>
      <c r="F287" s="84">
        <f t="shared" si="24"/>
        <v>6.4000000000000001E-2</v>
      </c>
      <c r="G287" s="61">
        <v>151.38</v>
      </c>
      <c r="H287" s="61">
        <v>151.149</v>
      </c>
      <c r="I287" s="84">
        <f t="shared" si="25"/>
        <v>-0.23099999999999454</v>
      </c>
      <c r="J287" s="61">
        <v>21.811</v>
      </c>
      <c r="K287" s="61">
        <v>21.7</v>
      </c>
      <c r="L287" s="84">
        <f t="shared" si="26"/>
        <v>-0.11100000000000065</v>
      </c>
      <c r="M287" s="61">
        <v>47.046999999999997</v>
      </c>
      <c r="N287" s="61">
        <v>65.938000000000002</v>
      </c>
      <c r="O287" s="84">
        <f t="shared" si="27"/>
        <v>18.891000000000005</v>
      </c>
      <c r="P287" s="61">
        <v>0</v>
      </c>
      <c r="Q287" s="61">
        <v>0</v>
      </c>
      <c r="R287" s="1"/>
    </row>
    <row r="288" spans="2:18">
      <c r="B288">
        <v>27</v>
      </c>
      <c r="C288" s="59" t="s">
        <v>105</v>
      </c>
      <c r="D288" s="61">
        <v>38.722000000000001</v>
      </c>
      <c r="E288" s="61">
        <v>38.515999999999998</v>
      </c>
      <c r="F288" s="69">
        <f t="shared" si="24"/>
        <v>-0.20600000000000307</v>
      </c>
      <c r="G288" s="61">
        <v>50.503</v>
      </c>
      <c r="H288" s="61">
        <v>48.741999999999962</v>
      </c>
      <c r="I288" s="84">
        <f t="shared" si="25"/>
        <v>-1.7610000000000383</v>
      </c>
      <c r="J288" s="61">
        <v>62.011000000000003</v>
      </c>
      <c r="K288" s="61">
        <v>61.097999999999999</v>
      </c>
      <c r="L288" s="84">
        <f t="shared" si="26"/>
        <v>-0.91300000000000381</v>
      </c>
      <c r="M288" s="61">
        <v>11.375</v>
      </c>
      <c r="N288" s="61">
        <v>11.272000000000002</v>
      </c>
      <c r="O288" s="84">
        <f t="shared" si="27"/>
        <v>-0.10299999999999798</v>
      </c>
      <c r="P288" s="61">
        <v>0</v>
      </c>
      <c r="Q288" s="61">
        <v>0</v>
      </c>
      <c r="R288" s="1"/>
    </row>
    <row r="289" spans="2:18">
      <c r="B289">
        <v>28</v>
      </c>
      <c r="C289" s="59" t="s">
        <v>106</v>
      </c>
      <c r="D289" s="61">
        <v>44.456000000000003</v>
      </c>
      <c r="E289" s="61">
        <v>44.453000000000003</v>
      </c>
      <c r="F289" s="85">
        <f t="shared" si="24"/>
        <v>-3.0000000000001137E-3</v>
      </c>
      <c r="G289" s="61">
        <f>49.214+P289</f>
        <v>48.714999999999996</v>
      </c>
      <c r="H289" s="61">
        <v>49.233000000000004</v>
      </c>
      <c r="I289" s="84">
        <f t="shared" si="25"/>
        <v>0.51800000000000779</v>
      </c>
      <c r="J289" s="61">
        <v>43.261000000000003</v>
      </c>
      <c r="K289" s="61">
        <v>43.284000000000006</v>
      </c>
      <c r="L289" s="84">
        <f t="shared" si="26"/>
        <v>2.300000000000324E-2</v>
      </c>
      <c r="M289" s="61">
        <v>15.305999999999999</v>
      </c>
      <c r="N289" s="61">
        <v>15.292999999999999</v>
      </c>
      <c r="O289" s="84">
        <f t="shared" si="27"/>
        <v>-1.2999999999999901E-2</v>
      </c>
      <c r="P289" s="61">
        <v>-0.499</v>
      </c>
      <c r="Q289" s="61">
        <v>0</v>
      </c>
      <c r="R289" s="1"/>
    </row>
    <row r="290" spans="2:18">
      <c r="B290">
        <v>29</v>
      </c>
      <c r="C290" s="59" t="s">
        <v>107</v>
      </c>
      <c r="D290" s="61">
        <v>-157.89500000000001</v>
      </c>
      <c r="E290" s="61">
        <v>12.914999999999992</v>
      </c>
      <c r="F290" s="84">
        <f t="shared" si="24"/>
        <v>170.81</v>
      </c>
      <c r="G290" s="61">
        <v>-1.8280000000000001</v>
      </c>
      <c r="H290" s="61">
        <v>1.1649999999999991</v>
      </c>
      <c r="I290" s="84">
        <f t="shared" si="25"/>
        <v>2.9929999999999994</v>
      </c>
      <c r="J290" s="61">
        <v>-1.345</v>
      </c>
      <c r="K290" s="61">
        <v>4.7749999999999995</v>
      </c>
      <c r="L290" s="84">
        <f t="shared" si="26"/>
        <v>6.1199999999999992</v>
      </c>
      <c r="M290" s="61">
        <v>3.5000000000000003E-2</v>
      </c>
      <c r="N290" s="61">
        <v>1.5249999999999999</v>
      </c>
      <c r="O290" s="84">
        <f t="shared" si="27"/>
        <v>1.49</v>
      </c>
      <c r="P290" s="61">
        <v>0</v>
      </c>
      <c r="Q290" s="61">
        <v>0</v>
      </c>
      <c r="R290" s="1"/>
    </row>
    <row r="291" spans="2:18">
      <c r="B291">
        <v>30</v>
      </c>
      <c r="C291" s="59" t="s">
        <v>108</v>
      </c>
      <c r="D291" s="61">
        <v>20.033999999999999</v>
      </c>
      <c r="E291" s="61">
        <v>19.984000000000002</v>
      </c>
      <c r="F291" s="69">
        <f t="shared" si="24"/>
        <v>-4.9999999999997158E-2</v>
      </c>
      <c r="G291" s="61">
        <v>84.988</v>
      </c>
      <c r="H291" s="61">
        <v>84.798000000000002</v>
      </c>
      <c r="I291" s="84">
        <f t="shared" si="25"/>
        <v>-0.18999999999999773</v>
      </c>
      <c r="J291" s="61">
        <v>4.2460000000000004</v>
      </c>
      <c r="K291" s="61">
        <v>4.2460000000000004</v>
      </c>
      <c r="L291" s="84">
        <f t="shared" si="26"/>
        <v>0</v>
      </c>
      <c r="M291" s="61">
        <v>23.023</v>
      </c>
      <c r="N291" s="61">
        <v>22.912999999999997</v>
      </c>
      <c r="O291" s="84">
        <f t="shared" si="27"/>
        <v>-0.11000000000000298</v>
      </c>
      <c r="P291" s="61">
        <v>0</v>
      </c>
      <c r="Q291" s="61">
        <v>0</v>
      </c>
      <c r="R291" s="1"/>
    </row>
    <row r="292" spans="2:18">
      <c r="B292">
        <v>31</v>
      </c>
      <c r="C292" s="59" t="s">
        <v>109</v>
      </c>
      <c r="D292" s="61">
        <v>6.0570000000000004</v>
      </c>
      <c r="E292" s="61">
        <v>38.218000000000004</v>
      </c>
      <c r="F292" s="84">
        <f t="shared" si="24"/>
        <v>32.161000000000001</v>
      </c>
      <c r="G292" s="61">
        <v>13.818</v>
      </c>
      <c r="H292" s="61">
        <v>19.167000000000002</v>
      </c>
      <c r="I292" s="84">
        <f t="shared" si="25"/>
        <v>5.349000000000002</v>
      </c>
      <c r="J292" s="61">
        <v>-64.144999999999996</v>
      </c>
      <c r="K292" s="61">
        <v>0</v>
      </c>
      <c r="L292" s="84">
        <f t="shared" si="26"/>
        <v>64.144999999999996</v>
      </c>
      <c r="M292" s="61">
        <v>35.51</v>
      </c>
      <c r="N292" s="61">
        <v>29.709000000000003</v>
      </c>
      <c r="O292" s="84">
        <f t="shared" si="27"/>
        <v>-5.8009999999999948</v>
      </c>
      <c r="P292" s="61">
        <v>0</v>
      </c>
      <c r="Q292" s="61">
        <v>0</v>
      </c>
      <c r="R292" s="1"/>
    </row>
    <row r="293" spans="2:18">
      <c r="B293">
        <v>32</v>
      </c>
      <c r="C293" s="59" t="s">
        <v>110</v>
      </c>
      <c r="D293" s="61">
        <v>30.641999999999999</v>
      </c>
      <c r="E293" s="61">
        <v>30.757000000000001</v>
      </c>
      <c r="F293" s="84">
        <f t="shared" si="24"/>
        <v>0.11500000000000199</v>
      </c>
      <c r="G293" s="61">
        <v>31.738</v>
      </c>
      <c r="H293" s="61">
        <v>31.894000000000002</v>
      </c>
      <c r="I293" s="84">
        <f t="shared" si="25"/>
        <v>0.15600000000000236</v>
      </c>
      <c r="J293" s="61">
        <v>50.29</v>
      </c>
      <c r="K293" s="61">
        <v>50.230000000000004</v>
      </c>
      <c r="L293" s="84">
        <f t="shared" si="26"/>
        <v>-5.9999999999995168E-2</v>
      </c>
      <c r="M293" s="61">
        <v>2.4129999999999998</v>
      </c>
      <c r="N293" s="61">
        <v>2.5429999999999993</v>
      </c>
      <c r="O293" s="84">
        <f t="shared" si="27"/>
        <v>0.12999999999999945</v>
      </c>
      <c r="P293" s="61">
        <v>0</v>
      </c>
      <c r="Q293" s="61">
        <v>0</v>
      </c>
      <c r="R293" s="1"/>
    </row>
    <row r="294" spans="2:18">
      <c r="B294">
        <v>33</v>
      </c>
      <c r="C294" s="59" t="s">
        <v>111</v>
      </c>
      <c r="D294" s="61">
        <v>15.976000000000001</v>
      </c>
      <c r="E294" s="61">
        <v>15.976000000000006</v>
      </c>
      <c r="F294" s="85">
        <f t="shared" si="24"/>
        <v>0</v>
      </c>
      <c r="G294" s="61">
        <v>23.062999999999999</v>
      </c>
      <c r="H294" s="61">
        <v>23.063000000000009</v>
      </c>
      <c r="I294" s="84">
        <f t="shared" si="25"/>
        <v>0</v>
      </c>
      <c r="J294" s="61">
        <v>4.1459999999999999</v>
      </c>
      <c r="K294" s="61">
        <v>4.145999999999999</v>
      </c>
      <c r="L294" s="84">
        <f t="shared" si="26"/>
        <v>0</v>
      </c>
      <c r="M294" s="61">
        <v>21.59</v>
      </c>
      <c r="N294" s="61">
        <v>21.589999999999996</v>
      </c>
      <c r="O294" s="84">
        <f t="shared" si="27"/>
        <v>0</v>
      </c>
      <c r="P294" s="61">
        <v>0</v>
      </c>
      <c r="Q294" s="61">
        <v>0</v>
      </c>
      <c r="R294" s="1"/>
    </row>
    <row r="295" spans="2:18">
      <c r="B295">
        <v>34</v>
      </c>
      <c r="C295" s="59" t="s">
        <v>112</v>
      </c>
      <c r="D295" s="61">
        <v>32.462000000000003</v>
      </c>
      <c r="E295" s="61">
        <v>32.463000000000001</v>
      </c>
      <c r="F295" s="85">
        <f t="shared" si="24"/>
        <v>9.9999999999766942E-4</v>
      </c>
      <c r="G295" s="61">
        <v>7.508</v>
      </c>
      <c r="H295" s="61">
        <v>7.5089999999999986</v>
      </c>
      <c r="I295" s="84">
        <f t="shared" si="25"/>
        <v>9.999999999985576E-4</v>
      </c>
      <c r="J295" s="61">
        <v>37.744</v>
      </c>
      <c r="K295" s="61">
        <v>37.744</v>
      </c>
      <c r="L295" s="84">
        <f t="shared" si="26"/>
        <v>0</v>
      </c>
      <c r="M295" s="61">
        <v>16.699000000000002</v>
      </c>
      <c r="N295" s="61">
        <v>16.695</v>
      </c>
      <c r="O295" s="84">
        <f t="shared" si="27"/>
        <v>-4.0000000000013358E-3</v>
      </c>
      <c r="P295" s="61">
        <v>0</v>
      </c>
      <c r="Q295" s="61">
        <v>0</v>
      </c>
      <c r="R295" s="1"/>
    </row>
    <row r="298" spans="2:18">
      <c r="C298" s="58">
        <v>46163</v>
      </c>
    </row>
    <row r="299" spans="2:18">
      <c r="C299" s="32" t="s">
        <v>68</v>
      </c>
      <c r="D299" s="33">
        <v>161</v>
      </c>
      <c r="E299" s="33"/>
      <c r="F299" s="33"/>
      <c r="G299" s="33">
        <v>2054</v>
      </c>
      <c r="H299" s="34"/>
      <c r="I299" s="34"/>
      <c r="J299" s="34">
        <v>5550</v>
      </c>
      <c r="K299" s="34"/>
      <c r="L299" s="34"/>
      <c r="M299" s="34">
        <v>8899</v>
      </c>
      <c r="N299" s="1"/>
      <c r="O299" s="1"/>
      <c r="P299" s="34">
        <v>5550</v>
      </c>
      <c r="Q299" s="1"/>
      <c r="R299" s="1"/>
    </row>
    <row r="300" spans="2:18" s="36" customFormat="1">
      <c r="C300" s="32" t="s">
        <v>69</v>
      </c>
      <c r="D300" s="35">
        <v>100001</v>
      </c>
      <c r="E300" s="35"/>
      <c r="F300" s="35"/>
      <c r="G300" s="33">
        <v>100004</v>
      </c>
      <c r="H300" s="34"/>
      <c r="I300" s="34"/>
      <c r="J300" s="34">
        <v>100030</v>
      </c>
      <c r="K300" s="34"/>
      <c r="L300" s="34"/>
      <c r="M300" s="34">
        <v>100153</v>
      </c>
      <c r="N300" s="34"/>
      <c r="O300" s="34"/>
      <c r="P300" s="34">
        <v>100030</v>
      </c>
      <c r="Q300" s="34"/>
      <c r="R300" s="34"/>
    </row>
    <row r="301" spans="2:18">
      <c r="C301" s="37" t="s">
        <v>70</v>
      </c>
      <c r="D301" s="33" t="s">
        <v>71</v>
      </c>
      <c r="E301" s="33"/>
      <c r="F301" s="33"/>
      <c r="G301" s="33" t="s">
        <v>71</v>
      </c>
      <c r="H301" s="38"/>
      <c r="I301" s="38"/>
      <c r="J301" s="38" t="s">
        <v>71</v>
      </c>
      <c r="K301" s="38"/>
      <c r="L301" s="38"/>
      <c r="M301" s="38" t="s">
        <v>71</v>
      </c>
      <c r="N301" s="1"/>
      <c r="O301" s="1"/>
      <c r="P301" s="38" t="s">
        <v>71</v>
      </c>
      <c r="Q301" s="1"/>
      <c r="R301" s="1"/>
    </row>
    <row r="302" spans="2:18">
      <c r="C302" s="39" t="s">
        <v>72</v>
      </c>
      <c r="D302" s="126" t="s">
        <v>73</v>
      </c>
      <c r="E302" s="126"/>
      <c r="F302" s="126"/>
      <c r="G302" s="122" t="s">
        <v>74</v>
      </c>
      <c r="H302" s="122"/>
      <c r="I302" s="122"/>
      <c r="J302" s="127" t="s">
        <v>75</v>
      </c>
      <c r="K302" s="127"/>
      <c r="L302" s="127"/>
      <c r="M302" s="120" t="s">
        <v>76</v>
      </c>
      <c r="N302" s="120"/>
      <c r="O302" s="120"/>
      <c r="P302" s="128" t="s">
        <v>115</v>
      </c>
      <c r="Q302" s="128"/>
      <c r="R302" s="128"/>
    </row>
    <row r="303" spans="2:18" ht="46.8" customHeight="1">
      <c r="B303">
        <v>13</v>
      </c>
      <c r="C303" s="40" t="s">
        <v>61</v>
      </c>
      <c r="D303" s="41" t="s">
        <v>116</v>
      </c>
      <c r="E303" s="41" t="s">
        <v>77</v>
      </c>
      <c r="F303" s="41" t="s">
        <v>78</v>
      </c>
      <c r="G303" s="42" t="s">
        <v>116</v>
      </c>
      <c r="H303" s="42" t="s">
        <v>77</v>
      </c>
      <c r="I303" s="42" t="s">
        <v>78</v>
      </c>
      <c r="J303" s="43" t="s">
        <v>116</v>
      </c>
      <c r="K303" s="43" t="s">
        <v>77</v>
      </c>
      <c r="L303" s="43" t="s">
        <v>78</v>
      </c>
      <c r="M303" s="44" t="s">
        <v>116</v>
      </c>
      <c r="N303" s="44" t="s">
        <v>77</v>
      </c>
      <c r="O303" s="44" t="s">
        <v>78</v>
      </c>
      <c r="P303" s="66" t="s">
        <v>116</v>
      </c>
      <c r="Q303" s="66" t="s">
        <v>77</v>
      </c>
      <c r="R303" s="66" t="s">
        <v>78</v>
      </c>
    </row>
    <row r="304" spans="2:18">
      <c r="B304">
        <v>1</v>
      </c>
      <c r="C304" s="59" t="s">
        <v>79</v>
      </c>
      <c r="D304" s="89">
        <v>20.919</v>
      </c>
      <c r="E304" s="89">
        <v>20.915000000000006</v>
      </c>
      <c r="F304" s="84">
        <f t="shared" ref="F304:F337" si="28">E304-D304</f>
        <v>-3.9999999999942304E-3</v>
      </c>
      <c r="G304" s="89">
        <v>64.709999999999994</v>
      </c>
      <c r="H304" s="89">
        <v>64.711000000000013</v>
      </c>
      <c r="I304" s="84">
        <f t="shared" ref="I304:I337" si="29">H304-G304</f>
        <v>1.0000000000189857E-3</v>
      </c>
      <c r="J304" s="89">
        <v>27.986000000000001</v>
      </c>
      <c r="K304" s="89">
        <v>27.990000000000009</v>
      </c>
      <c r="L304" s="84">
        <f t="shared" ref="L304:L337" si="30">K304-J304</f>
        <v>4.0000000000084412E-3</v>
      </c>
      <c r="M304" s="89">
        <v>17.756</v>
      </c>
      <c r="N304" s="89">
        <v>17.759999999999991</v>
      </c>
      <c r="O304" s="84">
        <f t="shared" ref="O304:O337" si="31">N304-M304</f>
        <v>3.9999999999906777E-3</v>
      </c>
      <c r="P304" s="61">
        <v>0</v>
      </c>
      <c r="Q304" s="61">
        <v>0</v>
      </c>
      <c r="R304" s="1"/>
    </row>
    <row r="305" spans="2:18">
      <c r="B305">
        <v>2</v>
      </c>
      <c r="C305" s="59" t="s">
        <v>80</v>
      </c>
      <c r="D305" s="89">
        <v>0</v>
      </c>
      <c r="E305" s="89">
        <v>2.9849999999999994</v>
      </c>
      <c r="F305" s="84">
        <f t="shared" si="28"/>
        <v>2.9849999999999994</v>
      </c>
      <c r="G305" s="89">
        <v>12</v>
      </c>
      <c r="H305" s="89">
        <v>14.540000000000013</v>
      </c>
      <c r="I305" s="84">
        <f t="shared" si="29"/>
        <v>2.5400000000000134</v>
      </c>
      <c r="J305" s="89">
        <v>22.38</v>
      </c>
      <c r="K305" s="89">
        <v>1.8159999999999989</v>
      </c>
      <c r="L305" s="84">
        <f t="shared" si="30"/>
        <v>-20.564</v>
      </c>
      <c r="M305" s="89">
        <v>3.9180000000000001</v>
      </c>
      <c r="N305" s="89">
        <v>1.093</v>
      </c>
      <c r="O305" s="84">
        <f t="shared" si="31"/>
        <v>-2.8250000000000002</v>
      </c>
      <c r="P305" s="61">
        <v>0</v>
      </c>
      <c r="Q305" s="61">
        <v>0</v>
      </c>
      <c r="R305" s="1"/>
    </row>
    <row r="306" spans="2:18">
      <c r="B306">
        <v>3</v>
      </c>
      <c r="C306" s="59" t="s">
        <v>81</v>
      </c>
      <c r="D306" s="89">
        <v>0</v>
      </c>
      <c r="E306" s="89">
        <v>0</v>
      </c>
      <c r="F306" s="84">
        <f t="shared" si="28"/>
        <v>0</v>
      </c>
      <c r="G306" s="89">
        <v>75.643999999999977</v>
      </c>
      <c r="H306" s="89">
        <v>75.643999999999977</v>
      </c>
      <c r="I306" s="87">
        <f t="shared" si="29"/>
        <v>0</v>
      </c>
      <c r="J306" s="89">
        <v>22.395000000000003</v>
      </c>
      <c r="K306" s="89">
        <v>22.395000000000003</v>
      </c>
      <c r="L306" s="87">
        <f t="shared" si="30"/>
        <v>0</v>
      </c>
      <c r="M306" s="89">
        <v>7.38</v>
      </c>
      <c r="N306" s="89">
        <v>3.7359999999999989</v>
      </c>
      <c r="O306" s="84">
        <f t="shared" si="31"/>
        <v>-3.644000000000001</v>
      </c>
      <c r="P306" s="61">
        <v>0</v>
      </c>
      <c r="Q306" s="61">
        <v>0</v>
      </c>
      <c r="R306" s="1"/>
    </row>
    <row r="307" spans="2:18">
      <c r="B307">
        <v>4</v>
      </c>
      <c r="C307" s="59" t="s">
        <v>82</v>
      </c>
      <c r="D307" s="89">
        <v>32.68</v>
      </c>
      <c r="E307" s="89">
        <v>32.68</v>
      </c>
      <c r="F307" s="84">
        <f t="shared" si="28"/>
        <v>0</v>
      </c>
      <c r="G307" s="89">
        <v>147.59</v>
      </c>
      <c r="H307" s="89">
        <v>153.68299999999991</v>
      </c>
      <c r="I307" s="84">
        <f t="shared" si="29"/>
        <v>6.092999999999904</v>
      </c>
      <c r="J307" s="89">
        <v>0</v>
      </c>
      <c r="K307" s="89">
        <v>0</v>
      </c>
      <c r="L307" s="84">
        <f t="shared" si="30"/>
        <v>0</v>
      </c>
      <c r="M307" s="89">
        <v>110.58</v>
      </c>
      <c r="N307" s="89">
        <v>110.58</v>
      </c>
      <c r="O307" s="84">
        <f t="shared" si="31"/>
        <v>0</v>
      </c>
      <c r="P307" s="61">
        <v>0</v>
      </c>
      <c r="Q307" s="61">
        <v>0</v>
      </c>
      <c r="R307" s="1"/>
    </row>
    <row r="308" spans="2:18">
      <c r="B308">
        <v>5</v>
      </c>
      <c r="C308" s="59" t="s">
        <v>83</v>
      </c>
      <c r="D308" s="89">
        <v>8.8759999999999994</v>
      </c>
      <c r="E308" s="89">
        <v>8.8759999999999906</v>
      </c>
      <c r="F308" s="84">
        <f t="shared" si="28"/>
        <v>0</v>
      </c>
      <c r="G308" s="89">
        <v>39.442</v>
      </c>
      <c r="H308" s="89">
        <v>39.441999999999972</v>
      </c>
      <c r="I308" s="84">
        <f t="shared" si="29"/>
        <v>0</v>
      </c>
      <c r="J308" s="89">
        <v>48.944000000000003</v>
      </c>
      <c r="K308" s="89">
        <v>49.486000000000004</v>
      </c>
      <c r="L308" s="84">
        <f t="shared" si="30"/>
        <v>0.54200000000000159</v>
      </c>
      <c r="M308" s="89">
        <v>-6.8620000000000001</v>
      </c>
      <c r="N308" s="89">
        <v>0</v>
      </c>
      <c r="O308" s="84">
        <f t="shared" si="31"/>
        <v>6.8620000000000001</v>
      </c>
      <c r="P308" s="61">
        <v>0</v>
      </c>
      <c r="Q308" s="61">
        <v>0</v>
      </c>
      <c r="R308" s="1"/>
    </row>
    <row r="309" spans="2:18">
      <c r="B309">
        <v>6</v>
      </c>
      <c r="C309" s="59" t="s">
        <v>84</v>
      </c>
      <c r="D309" s="89">
        <v>24.524000000000001</v>
      </c>
      <c r="E309" s="89">
        <v>24.53</v>
      </c>
      <c r="F309" s="84">
        <f t="shared" si="28"/>
        <v>6.0000000000002274E-3</v>
      </c>
      <c r="G309" s="89">
        <v>47.905000000000001</v>
      </c>
      <c r="H309" s="89">
        <v>47.888000000000019</v>
      </c>
      <c r="I309" s="84">
        <f t="shared" si="29"/>
        <v>-1.6999999999981696E-2</v>
      </c>
      <c r="J309" s="89">
        <v>21.623000000000001</v>
      </c>
      <c r="K309" s="89">
        <v>21.719999999999992</v>
      </c>
      <c r="L309" s="84">
        <f t="shared" si="30"/>
        <v>9.6999999999990649E-2</v>
      </c>
      <c r="M309" s="89">
        <v>20.341999999999999</v>
      </c>
      <c r="N309" s="89">
        <v>20.341999999999999</v>
      </c>
      <c r="O309" s="84">
        <f t="shared" si="31"/>
        <v>0</v>
      </c>
      <c r="P309" s="61">
        <v>0</v>
      </c>
      <c r="Q309" s="61">
        <v>0</v>
      </c>
      <c r="R309" s="1"/>
    </row>
    <row r="310" spans="2:18">
      <c r="B310">
        <v>7</v>
      </c>
      <c r="C310" s="59" t="s">
        <v>85</v>
      </c>
      <c r="D310" s="89">
        <v>39.552999999999997</v>
      </c>
      <c r="E310" s="89">
        <v>40.199000000000005</v>
      </c>
      <c r="F310" s="84">
        <f t="shared" si="28"/>
        <v>0.6460000000000079</v>
      </c>
      <c r="G310" s="89">
        <v>46.456000000000003</v>
      </c>
      <c r="H310" s="89">
        <v>42.833000000000013</v>
      </c>
      <c r="I310" s="84">
        <f t="shared" si="29"/>
        <v>-3.6229999999999905</v>
      </c>
      <c r="J310" s="89">
        <v>26.91</v>
      </c>
      <c r="K310" s="89">
        <v>26.684999999999995</v>
      </c>
      <c r="L310" s="84">
        <f t="shared" si="30"/>
        <v>-0.22500000000000497</v>
      </c>
      <c r="M310" s="89">
        <v>9.1880000000000006</v>
      </c>
      <c r="N310" s="89">
        <v>8.394999999999996</v>
      </c>
      <c r="O310" s="84">
        <f t="shared" si="31"/>
        <v>-0.79300000000000459</v>
      </c>
      <c r="P310" s="61">
        <v>0</v>
      </c>
      <c r="Q310" s="61">
        <v>0</v>
      </c>
      <c r="R310" s="1"/>
    </row>
    <row r="311" spans="2:18">
      <c r="B311">
        <v>8</v>
      </c>
      <c r="C311" s="59" t="s">
        <v>86</v>
      </c>
      <c r="D311" s="89">
        <v>83.195999999999998</v>
      </c>
      <c r="E311" s="89">
        <v>25.663739999999997</v>
      </c>
      <c r="F311" s="84">
        <f t="shared" si="28"/>
        <v>-57.532260000000001</v>
      </c>
      <c r="G311" s="89">
        <v>6.569</v>
      </c>
      <c r="H311" s="89">
        <v>6.5730000000000075</v>
      </c>
      <c r="I311" s="84">
        <f t="shared" si="29"/>
        <v>4.0000000000075531E-3</v>
      </c>
      <c r="J311" s="89">
        <v>0</v>
      </c>
      <c r="K311" s="89">
        <v>0</v>
      </c>
      <c r="L311" s="84">
        <f t="shared" si="30"/>
        <v>0</v>
      </c>
      <c r="M311" s="89">
        <v>30.347000000000001</v>
      </c>
      <c r="N311" s="89">
        <v>20.251669999999994</v>
      </c>
      <c r="O311" s="84">
        <f t="shared" si="31"/>
        <v>-10.095330000000008</v>
      </c>
      <c r="P311" s="61">
        <v>0</v>
      </c>
      <c r="Q311" s="61">
        <v>0</v>
      </c>
      <c r="R311" s="1"/>
    </row>
    <row r="312" spans="2:18">
      <c r="B312">
        <v>9</v>
      </c>
      <c r="C312" s="59" t="s">
        <v>87</v>
      </c>
      <c r="D312" s="89">
        <v>17.943000000000001</v>
      </c>
      <c r="E312" s="89">
        <v>30.337000000000018</v>
      </c>
      <c r="F312" s="84">
        <f t="shared" si="28"/>
        <v>12.394000000000016</v>
      </c>
      <c r="G312" s="89">
        <v>21.683</v>
      </c>
      <c r="H312" s="89">
        <v>21.684999999999995</v>
      </c>
      <c r="I312" s="84">
        <f t="shared" si="29"/>
        <v>1.9999999999953388E-3</v>
      </c>
      <c r="J312" s="89">
        <v>0</v>
      </c>
      <c r="K312" s="89">
        <v>0</v>
      </c>
      <c r="L312" s="84">
        <f t="shared" si="30"/>
        <v>0</v>
      </c>
      <c r="M312" s="89">
        <v>23.271999999999998</v>
      </c>
      <c r="N312" s="89">
        <v>10.662000000000003</v>
      </c>
      <c r="O312" s="84">
        <f t="shared" si="31"/>
        <v>-12.609999999999996</v>
      </c>
      <c r="P312" s="61">
        <v>0</v>
      </c>
      <c r="Q312" s="61">
        <v>0</v>
      </c>
      <c r="R312" s="1"/>
    </row>
    <row r="313" spans="2:18">
      <c r="B313">
        <v>10</v>
      </c>
      <c r="C313" s="59" t="s">
        <v>88</v>
      </c>
      <c r="D313" s="89">
        <v>8.1120000000000001</v>
      </c>
      <c r="E313" s="89">
        <v>6.9380000000000166</v>
      </c>
      <c r="F313" s="84">
        <f t="shared" si="28"/>
        <v>-1.1739999999999835</v>
      </c>
      <c r="G313" s="89">
        <v>44.207999999999998</v>
      </c>
      <c r="H313" s="89">
        <v>83.551999999999992</v>
      </c>
      <c r="I313" s="84">
        <f t="shared" si="29"/>
        <v>39.343999999999994</v>
      </c>
      <c r="J313" s="89">
        <v>0</v>
      </c>
      <c r="K313" s="89">
        <v>0</v>
      </c>
      <c r="L313" s="84">
        <f t="shared" si="30"/>
        <v>0</v>
      </c>
      <c r="M313" s="89">
        <v>1.1499999999999999</v>
      </c>
      <c r="N313" s="89">
        <v>1.3939999999999984</v>
      </c>
      <c r="O313" s="84">
        <f t="shared" si="31"/>
        <v>0.24399999999999844</v>
      </c>
      <c r="P313" s="61">
        <v>0</v>
      </c>
      <c r="Q313" s="61">
        <v>0</v>
      </c>
      <c r="R313" s="1"/>
    </row>
    <row r="314" spans="2:18">
      <c r="B314">
        <v>11</v>
      </c>
      <c r="C314" s="59" t="s">
        <v>89</v>
      </c>
      <c r="D314" s="89">
        <v>30.1</v>
      </c>
      <c r="E314" s="89">
        <v>30.099999999999994</v>
      </c>
      <c r="F314" s="87">
        <f t="shared" si="28"/>
        <v>0</v>
      </c>
      <c r="G314" s="89">
        <v>28.388000000000002</v>
      </c>
      <c r="H314" s="89">
        <v>28.388000000000034</v>
      </c>
      <c r="I314" s="87">
        <f t="shared" si="29"/>
        <v>3.1974423109204508E-14</v>
      </c>
      <c r="J314" s="89">
        <v>0</v>
      </c>
      <c r="K314" s="89">
        <v>0</v>
      </c>
      <c r="L314" s="84">
        <f t="shared" si="30"/>
        <v>0</v>
      </c>
      <c r="M314" s="89">
        <v>28.423999999999999</v>
      </c>
      <c r="N314" s="89">
        <v>28.423999999999999</v>
      </c>
      <c r="O314" s="84">
        <f t="shared" si="31"/>
        <v>0</v>
      </c>
      <c r="P314" s="61">
        <v>0</v>
      </c>
      <c r="Q314" s="61">
        <v>0</v>
      </c>
      <c r="R314" s="1"/>
    </row>
    <row r="315" spans="2:18">
      <c r="B315">
        <v>12</v>
      </c>
      <c r="C315" s="59" t="s">
        <v>90</v>
      </c>
      <c r="D315" s="89">
        <v>40.493000000000002</v>
      </c>
      <c r="E315" s="89">
        <v>40.492999999999981</v>
      </c>
      <c r="F315" s="84">
        <f t="shared" si="28"/>
        <v>0</v>
      </c>
      <c r="G315" s="89">
        <v>27.998999999999999</v>
      </c>
      <c r="H315" s="89">
        <v>27.998999999999967</v>
      </c>
      <c r="I315" s="84">
        <f t="shared" si="29"/>
        <v>-3.1974423109204508E-14</v>
      </c>
      <c r="J315" s="89">
        <v>23.875</v>
      </c>
      <c r="K315" s="89">
        <v>23.874999999999996</v>
      </c>
      <c r="L315" s="84">
        <f t="shared" si="30"/>
        <v>0</v>
      </c>
      <c r="M315" s="89">
        <v>14.393000000000001</v>
      </c>
      <c r="N315" s="89">
        <v>14.393000000000008</v>
      </c>
      <c r="O315" s="84">
        <f t="shared" si="31"/>
        <v>0</v>
      </c>
      <c r="P315" s="61">
        <v>0</v>
      </c>
      <c r="Q315" s="61">
        <v>0</v>
      </c>
      <c r="R315" s="1"/>
    </row>
    <row r="316" spans="2:18">
      <c r="B316">
        <v>13</v>
      </c>
      <c r="C316" s="59" t="s">
        <v>91</v>
      </c>
      <c r="D316" s="89">
        <v>26.131</v>
      </c>
      <c r="E316" s="89">
        <v>26.131</v>
      </c>
      <c r="F316" s="84">
        <f t="shared" si="28"/>
        <v>0</v>
      </c>
      <c r="G316" s="89">
        <v>2.3279999999999998</v>
      </c>
      <c r="H316" s="89">
        <v>2.3279999999999998</v>
      </c>
      <c r="I316" s="84">
        <f t="shared" si="29"/>
        <v>0</v>
      </c>
      <c r="J316" s="89">
        <v>32.088000000000001</v>
      </c>
      <c r="K316" s="89">
        <v>32.088000000000001</v>
      </c>
      <c r="L316" s="84">
        <f t="shared" si="30"/>
        <v>0</v>
      </c>
      <c r="M316" s="89">
        <v>8.8840000000000003</v>
      </c>
      <c r="N316" s="89">
        <v>8.8840000000000003</v>
      </c>
      <c r="O316" s="84">
        <f t="shared" si="31"/>
        <v>0</v>
      </c>
      <c r="P316" s="61">
        <v>0</v>
      </c>
      <c r="Q316" s="61">
        <v>0</v>
      </c>
      <c r="R316" s="1"/>
    </row>
    <row r="317" spans="2:18">
      <c r="B317">
        <v>14</v>
      </c>
      <c r="C317" s="59" t="s">
        <v>92</v>
      </c>
      <c r="D317" s="89">
        <v>-243.899</v>
      </c>
      <c r="E317" s="89">
        <v>6.1190000000000282</v>
      </c>
      <c r="F317" s="84">
        <f t="shared" si="28"/>
        <v>250.01800000000003</v>
      </c>
      <c r="G317" s="89">
        <v>95.478999999999999</v>
      </c>
      <c r="H317" s="89">
        <v>97.995900000000006</v>
      </c>
      <c r="I317" s="84">
        <f t="shared" si="29"/>
        <v>2.5169000000000068</v>
      </c>
      <c r="J317" s="89">
        <v>0</v>
      </c>
      <c r="K317" s="89">
        <v>0</v>
      </c>
      <c r="L317" s="84">
        <f t="shared" si="30"/>
        <v>0</v>
      </c>
      <c r="M317" s="89">
        <v>76.894000000000005</v>
      </c>
      <c r="N317" s="89">
        <v>80.878</v>
      </c>
      <c r="O317" s="84">
        <f t="shared" si="31"/>
        <v>3.9839999999999947</v>
      </c>
      <c r="P317" s="61">
        <v>0</v>
      </c>
      <c r="Q317" s="61">
        <v>0</v>
      </c>
      <c r="R317" s="1"/>
    </row>
    <row r="318" spans="2:18">
      <c r="B318">
        <v>15</v>
      </c>
      <c r="C318" s="59" t="s">
        <v>93</v>
      </c>
      <c r="D318" s="89">
        <v>15.468</v>
      </c>
      <c r="E318" s="89">
        <v>15.467999999999989</v>
      </c>
      <c r="F318" s="84">
        <f t="shared" si="28"/>
        <v>0</v>
      </c>
      <c r="G318" s="89">
        <v>15.052</v>
      </c>
      <c r="H318" s="89">
        <v>15.051999999999996</v>
      </c>
      <c r="I318" s="84">
        <f t="shared" si="29"/>
        <v>0</v>
      </c>
      <c r="J318" s="89">
        <v>0</v>
      </c>
      <c r="K318" s="89">
        <v>0</v>
      </c>
      <c r="L318" s="84">
        <f t="shared" si="30"/>
        <v>0</v>
      </c>
      <c r="M318" s="89">
        <v>27.617999999999999</v>
      </c>
      <c r="N318" s="89">
        <v>27.617999999999999</v>
      </c>
      <c r="O318" s="84">
        <f t="shared" si="31"/>
        <v>0</v>
      </c>
      <c r="P318" s="61">
        <v>0</v>
      </c>
      <c r="Q318" s="61">
        <v>0</v>
      </c>
      <c r="R318" s="1"/>
    </row>
    <row r="319" spans="2:18">
      <c r="B319">
        <v>16</v>
      </c>
      <c r="C319" s="59" t="s">
        <v>94</v>
      </c>
      <c r="D319" s="89">
        <v>36.365000000000002</v>
      </c>
      <c r="E319" s="89">
        <v>36.670999999999985</v>
      </c>
      <c r="F319" s="84">
        <f t="shared" si="28"/>
        <v>0.30599999999998317</v>
      </c>
      <c r="G319" s="89">
        <v>60.572000000000003</v>
      </c>
      <c r="H319" s="89">
        <v>60.752000000000038</v>
      </c>
      <c r="I319" s="84">
        <f t="shared" si="29"/>
        <v>0.18000000000003524</v>
      </c>
      <c r="J319" s="89">
        <v>23.111999999999998</v>
      </c>
      <c r="K319" s="89">
        <v>23.388000000000005</v>
      </c>
      <c r="L319" s="84">
        <f t="shared" si="30"/>
        <v>0.27600000000000691</v>
      </c>
      <c r="M319" s="89">
        <v>106.867</v>
      </c>
      <c r="N319" s="89">
        <v>106.95500000000003</v>
      </c>
      <c r="O319" s="84">
        <f t="shared" si="31"/>
        <v>8.8000000000022283E-2</v>
      </c>
      <c r="P319" s="61">
        <v>0</v>
      </c>
      <c r="Q319" s="61">
        <v>0</v>
      </c>
      <c r="R319" s="1"/>
    </row>
    <row r="320" spans="2:18">
      <c r="B320">
        <v>17</v>
      </c>
      <c r="C320" s="59" t="s">
        <v>95</v>
      </c>
      <c r="D320" s="89">
        <v>19.05</v>
      </c>
      <c r="E320" s="89">
        <v>19.150000000000002</v>
      </c>
      <c r="F320" s="84">
        <f t="shared" si="28"/>
        <v>0.10000000000000142</v>
      </c>
      <c r="G320" s="89">
        <v>92.73</v>
      </c>
      <c r="H320" s="89">
        <v>92.730000000000018</v>
      </c>
      <c r="I320" s="84">
        <f t="shared" si="29"/>
        <v>0</v>
      </c>
      <c r="J320" s="89">
        <v>54.640999999999998</v>
      </c>
      <c r="K320" s="89">
        <v>54.640999999999998</v>
      </c>
      <c r="L320" s="84">
        <f t="shared" si="30"/>
        <v>0</v>
      </c>
      <c r="M320" s="89">
        <v>31.015000000000001</v>
      </c>
      <c r="N320" s="89">
        <v>31.015000000000001</v>
      </c>
      <c r="O320" s="84">
        <f t="shared" si="31"/>
        <v>0</v>
      </c>
      <c r="P320" s="61">
        <v>0</v>
      </c>
      <c r="Q320" s="61">
        <v>0</v>
      </c>
      <c r="R320" s="1"/>
    </row>
    <row r="321" spans="2:18">
      <c r="B321">
        <v>18</v>
      </c>
      <c r="C321" s="59" t="s">
        <v>96</v>
      </c>
      <c r="D321" s="89">
        <v>27.173999999999999</v>
      </c>
      <c r="E321" s="89">
        <v>27.112000000000002</v>
      </c>
      <c r="F321" s="84">
        <f t="shared" si="28"/>
        <v>-6.1999999999997613E-2</v>
      </c>
      <c r="G321" s="89">
        <v>24.398</v>
      </c>
      <c r="H321" s="89">
        <v>24.397999999999996</v>
      </c>
      <c r="I321" s="84">
        <f t="shared" si="29"/>
        <v>0</v>
      </c>
      <c r="J321" s="89">
        <v>11.393000000000001</v>
      </c>
      <c r="K321" s="89">
        <v>11.393000000000001</v>
      </c>
      <c r="L321" s="84">
        <f t="shared" si="30"/>
        <v>0</v>
      </c>
      <c r="M321" s="89">
        <v>0</v>
      </c>
      <c r="N321" s="89">
        <v>0</v>
      </c>
      <c r="O321" s="84">
        <f t="shared" si="31"/>
        <v>0</v>
      </c>
      <c r="P321" s="61">
        <v>0</v>
      </c>
      <c r="Q321" s="61">
        <v>0</v>
      </c>
      <c r="R321" s="1"/>
    </row>
    <row r="322" spans="2:18">
      <c r="B322">
        <v>19</v>
      </c>
      <c r="C322" s="59" t="s">
        <v>97</v>
      </c>
      <c r="D322" s="89">
        <v>13.584</v>
      </c>
      <c r="E322" s="89">
        <v>13.534000000000002</v>
      </c>
      <c r="F322" s="84">
        <f t="shared" si="28"/>
        <v>-4.9999999999997158E-2</v>
      </c>
      <c r="G322" s="89">
        <v>129.142</v>
      </c>
      <c r="H322" s="89">
        <v>128.31400000000002</v>
      </c>
      <c r="I322" s="84">
        <f t="shared" si="29"/>
        <v>-0.82799999999997453</v>
      </c>
      <c r="J322" s="89">
        <v>31.169</v>
      </c>
      <c r="K322" s="89">
        <v>30.960000000000004</v>
      </c>
      <c r="L322" s="84">
        <f t="shared" si="30"/>
        <v>-0.20899999999999608</v>
      </c>
      <c r="M322" s="89">
        <v>0</v>
      </c>
      <c r="N322" s="89">
        <v>0</v>
      </c>
      <c r="O322" s="84">
        <f t="shared" si="31"/>
        <v>0</v>
      </c>
      <c r="P322" s="61">
        <v>0</v>
      </c>
      <c r="Q322" s="61">
        <v>0</v>
      </c>
      <c r="R322" s="1"/>
    </row>
    <row r="323" spans="2:18">
      <c r="B323">
        <v>20</v>
      </c>
      <c r="C323" s="59" t="s">
        <v>98</v>
      </c>
      <c r="D323" s="89">
        <v>15.635999999999999</v>
      </c>
      <c r="E323" s="89">
        <v>15.635999999999999</v>
      </c>
      <c r="F323" s="84">
        <f t="shared" si="28"/>
        <v>0</v>
      </c>
      <c r="G323" s="89">
        <v>28.981999999999999</v>
      </c>
      <c r="H323" s="89">
        <v>28.982000000000003</v>
      </c>
      <c r="I323" s="84">
        <f t="shared" si="29"/>
        <v>0</v>
      </c>
      <c r="J323" s="89">
        <v>29.106000000000002</v>
      </c>
      <c r="K323" s="89">
        <v>29.105999999999998</v>
      </c>
      <c r="L323" s="84">
        <f t="shared" si="30"/>
        <v>0</v>
      </c>
      <c r="M323" s="89">
        <v>32.423999999999999</v>
      </c>
      <c r="N323" s="89">
        <v>32.423999999999999</v>
      </c>
      <c r="O323" s="84">
        <f t="shared" si="31"/>
        <v>0</v>
      </c>
      <c r="P323" s="61">
        <v>0</v>
      </c>
      <c r="Q323" s="61">
        <v>0</v>
      </c>
      <c r="R323" s="1"/>
    </row>
    <row r="324" spans="2:18">
      <c r="B324">
        <v>21</v>
      </c>
      <c r="C324" s="59" t="s">
        <v>99</v>
      </c>
      <c r="D324" s="89">
        <v>11.994999999999999</v>
      </c>
      <c r="E324" s="89">
        <v>11.994999999999997</v>
      </c>
      <c r="F324" s="84">
        <f t="shared" si="28"/>
        <v>0</v>
      </c>
      <c r="G324" s="89">
        <v>8.82</v>
      </c>
      <c r="H324" s="89">
        <v>8.8199999999999967</v>
      </c>
      <c r="I324" s="84">
        <f t="shared" si="29"/>
        <v>0</v>
      </c>
      <c r="J324" s="89">
        <v>26.555</v>
      </c>
      <c r="K324" s="89">
        <v>26.554999999999996</v>
      </c>
      <c r="L324" s="84">
        <f t="shared" si="30"/>
        <v>0</v>
      </c>
      <c r="M324" s="89">
        <v>21.754999999999999</v>
      </c>
      <c r="N324" s="89">
        <v>21.754999999999999</v>
      </c>
      <c r="O324" s="84">
        <f t="shared" si="31"/>
        <v>0</v>
      </c>
      <c r="P324" s="61">
        <v>0</v>
      </c>
      <c r="Q324" s="61">
        <v>0</v>
      </c>
      <c r="R324" s="1"/>
    </row>
    <row r="325" spans="2:18">
      <c r="B325">
        <v>22</v>
      </c>
      <c r="C325" s="59" t="s">
        <v>100</v>
      </c>
      <c r="D325" s="89">
        <v>6.95</v>
      </c>
      <c r="E325" s="89">
        <v>6.9499999999999993</v>
      </c>
      <c r="F325" s="84">
        <f t="shared" si="28"/>
        <v>0</v>
      </c>
      <c r="G325" s="89">
        <v>55.895000000000003</v>
      </c>
      <c r="H325" s="89">
        <v>55.985000000000014</v>
      </c>
      <c r="I325" s="84">
        <f t="shared" si="29"/>
        <v>9.0000000000010516E-2</v>
      </c>
      <c r="J325" s="89">
        <v>19.245000000000001</v>
      </c>
      <c r="K325" s="89">
        <v>19.245000000000001</v>
      </c>
      <c r="L325" s="84">
        <f t="shared" si="30"/>
        <v>0</v>
      </c>
      <c r="M325" s="89">
        <v>7.79</v>
      </c>
      <c r="N325" s="89">
        <v>7.7899999999999983</v>
      </c>
      <c r="O325" s="84">
        <f t="shared" si="31"/>
        <v>0</v>
      </c>
      <c r="P325" s="61">
        <v>0</v>
      </c>
      <c r="Q325" s="61">
        <v>0</v>
      </c>
      <c r="R325" s="1"/>
    </row>
    <row r="326" spans="2:18">
      <c r="B326">
        <v>23</v>
      </c>
      <c r="C326" s="59" t="s">
        <v>101</v>
      </c>
      <c r="D326" s="89">
        <v>57.454999999999998</v>
      </c>
      <c r="E326" s="89">
        <v>57.454999999999998</v>
      </c>
      <c r="F326" s="84">
        <f t="shared" si="28"/>
        <v>0</v>
      </c>
      <c r="G326" s="89">
        <v>106.95</v>
      </c>
      <c r="H326" s="89">
        <v>106.94999999999999</v>
      </c>
      <c r="I326" s="84">
        <f t="shared" si="29"/>
        <v>0</v>
      </c>
      <c r="J326" s="89">
        <v>62.895000000000003</v>
      </c>
      <c r="K326" s="89">
        <v>62.89500000000001</v>
      </c>
      <c r="L326" s="84">
        <f t="shared" si="30"/>
        <v>0</v>
      </c>
      <c r="M326" s="89">
        <v>4.8550000000000004</v>
      </c>
      <c r="N326" s="89">
        <v>4.8550000000000004</v>
      </c>
      <c r="O326" s="84">
        <f t="shared" si="31"/>
        <v>0</v>
      </c>
      <c r="P326" s="61">
        <v>0</v>
      </c>
      <c r="Q326" s="61">
        <v>0</v>
      </c>
      <c r="R326" s="1"/>
    </row>
    <row r="327" spans="2:18">
      <c r="B327">
        <v>24</v>
      </c>
      <c r="C327" s="65" t="s">
        <v>102</v>
      </c>
      <c r="D327" s="89">
        <v>12.118</v>
      </c>
      <c r="E327" s="89">
        <v>12.328000000000003</v>
      </c>
      <c r="F327" s="84">
        <f t="shared" si="28"/>
        <v>0.21000000000000263</v>
      </c>
      <c r="G327" s="89">
        <v>37.494999999999997</v>
      </c>
      <c r="H327" s="89">
        <v>37.705999999999989</v>
      </c>
      <c r="I327" s="84">
        <f t="shared" si="29"/>
        <v>0.21099999999999142</v>
      </c>
      <c r="J327" s="89">
        <v>9.8070000000000004</v>
      </c>
      <c r="K327" s="89">
        <v>9.8990000000000009</v>
      </c>
      <c r="L327" s="84">
        <f t="shared" si="30"/>
        <v>9.2000000000000526E-2</v>
      </c>
      <c r="M327" s="89">
        <v>10.664999999999999</v>
      </c>
      <c r="N327" s="89">
        <v>10.763000000000002</v>
      </c>
      <c r="O327" s="84">
        <f t="shared" si="31"/>
        <v>9.800000000000253E-2</v>
      </c>
      <c r="P327" s="61">
        <v>0</v>
      </c>
      <c r="Q327" s="61">
        <v>0</v>
      </c>
      <c r="R327" s="1"/>
    </row>
    <row r="328" spans="2:18">
      <c r="B328">
        <v>25</v>
      </c>
      <c r="C328" s="59" t="s">
        <v>103</v>
      </c>
      <c r="D328" s="89">
        <v>2.883</v>
      </c>
      <c r="E328" s="89">
        <v>3.1139999999999901</v>
      </c>
      <c r="F328" s="84">
        <f t="shared" si="28"/>
        <v>0.2309999999999901</v>
      </c>
      <c r="G328" s="89">
        <v>219.85499999999999</v>
      </c>
      <c r="H328" s="89">
        <v>220.065</v>
      </c>
      <c r="I328" s="84">
        <f t="shared" si="29"/>
        <v>0.21000000000000796</v>
      </c>
      <c r="J328" s="89">
        <v>-20.904</v>
      </c>
      <c r="K328" s="89">
        <v>7.6320000000000014</v>
      </c>
      <c r="L328" s="84">
        <f t="shared" si="30"/>
        <v>28.536000000000001</v>
      </c>
      <c r="M328" s="89">
        <v>29.977</v>
      </c>
      <c r="N328" s="89">
        <v>30.086000000000002</v>
      </c>
      <c r="O328" s="84">
        <f t="shared" si="31"/>
        <v>0.10900000000000176</v>
      </c>
      <c r="P328" s="61">
        <v>0</v>
      </c>
      <c r="Q328" s="61">
        <v>0</v>
      </c>
      <c r="R328" s="1"/>
    </row>
    <row r="329" spans="2:18">
      <c r="B329">
        <v>26</v>
      </c>
      <c r="C329" s="59" t="s">
        <v>104</v>
      </c>
      <c r="D329" s="89">
        <v>3.6509999999999998</v>
      </c>
      <c r="E329" s="89">
        <v>3.7150000000000034</v>
      </c>
      <c r="F329" s="84">
        <f t="shared" si="28"/>
        <v>6.400000000000361E-2</v>
      </c>
      <c r="G329" s="89">
        <v>139.31899999999999</v>
      </c>
      <c r="H329" s="89">
        <v>139.08799999999999</v>
      </c>
      <c r="I329" s="84">
        <f t="shared" si="29"/>
        <v>-0.23099999999999454</v>
      </c>
      <c r="J329" s="89">
        <v>14.4</v>
      </c>
      <c r="K329" s="89">
        <v>14.289000000000001</v>
      </c>
      <c r="L329" s="84">
        <f t="shared" si="30"/>
        <v>-0.11099999999999888</v>
      </c>
      <c r="M329" s="89">
        <v>42.045000000000002</v>
      </c>
      <c r="N329" s="89">
        <v>60.936</v>
      </c>
      <c r="O329" s="84">
        <f t="shared" si="31"/>
        <v>18.890999999999998</v>
      </c>
      <c r="P329" s="61">
        <v>0</v>
      </c>
      <c r="Q329" s="61">
        <v>0</v>
      </c>
      <c r="R329" s="1"/>
    </row>
    <row r="330" spans="2:18">
      <c r="B330">
        <v>27</v>
      </c>
      <c r="C330" s="59" t="s">
        <v>105</v>
      </c>
      <c r="D330" s="89">
        <v>11.532</v>
      </c>
      <c r="E330" s="89">
        <v>11.326000000000004</v>
      </c>
      <c r="F330" s="84">
        <f t="shared" si="28"/>
        <v>-0.20599999999999596</v>
      </c>
      <c r="G330" s="89">
        <v>78.688000000000002</v>
      </c>
      <c r="H330" s="89">
        <v>76.926999999999992</v>
      </c>
      <c r="I330" s="84">
        <f t="shared" si="29"/>
        <v>-1.7610000000000099</v>
      </c>
      <c r="J330" s="89">
        <v>49.97</v>
      </c>
      <c r="K330" s="89">
        <v>49.057000000000002</v>
      </c>
      <c r="L330" s="84">
        <f t="shared" si="30"/>
        <v>-0.9129999999999967</v>
      </c>
      <c r="M330" s="89">
        <v>8.4130000000000003</v>
      </c>
      <c r="N330" s="89">
        <v>8.3099999999999987</v>
      </c>
      <c r="O330" s="84">
        <f t="shared" si="31"/>
        <v>-0.10300000000000153</v>
      </c>
      <c r="P330" s="61">
        <v>0</v>
      </c>
      <c r="Q330" s="61">
        <v>0</v>
      </c>
      <c r="R330" s="1"/>
    </row>
    <row r="331" spans="2:18">
      <c r="B331">
        <v>28</v>
      </c>
      <c r="C331" s="59" t="s">
        <v>106</v>
      </c>
      <c r="D331" s="89">
        <v>3.1E-2</v>
      </c>
      <c r="E331" s="89">
        <v>2.7999999999998693E-2</v>
      </c>
      <c r="F331" s="84">
        <f t="shared" si="28"/>
        <v>-3.0000000000013072E-3</v>
      </c>
      <c r="G331" s="89">
        <v>7.6609999999999996</v>
      </c>
      <c r="H331" s="89">
        <v>7.68</v>
      </c>
      <c r="I331" s="84">
        <f t="shared" si="29"/>
        <v>1.9000000000000128E-2</v>
      </c>
      <c r="J331" s="89">
        <v>9.1029999999999998</v>
      </c>
      <c r="K331" s="89">
        <v>9.1259999999999994</v>
      </c>
      <c r="L331" s="84">
        <f t="shared" si="30"/>
        <v>2.2999999999999687E-2</v>
      </c>
      <c r="M331" s="89">
        <v>11.025</v>
      </c>
      <c r="N331" s="89">
        <v>11.012</v>
      </c>
      <c r="O331" s="84">
        <f t="shared" si="31"/>
        <v>-1.2999999999999901E-2</v>
      </c>
      <c r="P331" s="61">
        <v>0</v>
      </c>
      <c r="Q331" s="61">
        <v>0</v>
      </c>
      <c r="R331" s="1"/>
    </row>
    <row r="332" spans="2:18">
      <c r="B332">
        <v>29</v>
      </c>
      <c r="C332" s="59" t="s">
        <v>107</v>
      </c>
      <c r="D332" s="89">
        <v>-5.67</v>
      </c>
      <c r="E332" s="89">
        <v>17.135000000000002</v>
      </c>
      <c r="F332" s="84">
        <f t="shared" si="28"/>
        <v>22.805</v>
      </c>
      <c r="G332" s="89">
        <v>2.9630000000000001</v>
      </c>
      <c r="H332" s="89">
        <v>6.45</v>
      </c>
      <c r="I332" s="84">
        <f t="shared" si="29"/>
        <v>3.4870000000000001</v>
      </c>
      <c r="J332" s="89">
        <v>3.34</v>
      </c>
      <c r="K332" s="89">
        <v>2.6149999999999998</v>
      </c>
      <c r="L332" s="84">
        <f t="shared" si="30"/>
        <v>-0.72500000000000009</v>
      </c>
      <c r="M332" s="89">
        <v>-0.63500000000000001</v>
      </c>
      <c r="N332" s="89">
        <v>0.84499999999999986</v>
      </c>
      <c r="O332" s="84">
        <f t="shared" si="31"/>
        <v>1.48</v>
      </c>
      <c r="P332" s="61">
        <v>0</v>
      </c>
      <c r="Q332" s="61">
        <v>0</v>
      </c>
      <c r="R332" s="1"/>
    </row>
    <row r="333" spans="2:18">
      <c r="B333">
        <v>30</v>
      </c>
      <c r="C333" s="59" t="s">
        <v>108</v>
      </c>
      <c r="D333" s="89">
        <v>7.8719999999999999</v>
      </c>
      <c r="E333" s="89">
        <v>8.0470000000000006</v>
      </c>
      <c r="F333" s="84">
        <f t="shared" si="28"/>
        <v>0.17500000000000071</v>
      </c>
      <c r="G333" s="89">
        <v>71.061000000000007</v>
      </c>
      <c r="H333" s="89">
        <v>71.2</v>
      </c>
      <c r="I333" s="84">
        <f t="shared" si="29"/>
        <v>0.13899999999999579</v>
      </c>
      <c r="J333" s="89">
        <v>0</v>
      </c>
      <c r="K333" s="89">
        <v>0</v>
      </c>
      <c r="L333" s="84">
        <f t="shared" si="30"/>
        <v>0</v>
      </c>
      <c r="M333" s="89">
        <v>17.279</v>
      </c>
      <c r="N333" s="89">
        <v>17.492999999999999</v>
      </c>
      <c r="O333" s="84">
        <f t="shared" si="31"/>
        <v>0.21399999999999864</v>
      </c>
      <c r="P333" s="61">
        <v>0</v>
      </c>
      <c r="Q333" s="61">
        <v>0</v>
      </c>
      <c r="R333" s="1"/>
    </row>
    <row r="334" spans="2:18">
      <c r="B334">
        <v>31</v>
      </c>
      <c r="C334" s="59" t="s">
        <v>109</v>
      </c>
      <c r="D334" s="89">
        <v>17.84</v>
      </c>
      <c r="E334" s="89">
        <v>18.059000000000001</v>
      </c>
      <c r="F334" s="84">
        <f t="shared" si="28"/>
        <v>0.21900000000000119</v>
      </c>
      <c r="G334" s="89">
        <v>13.04</v>
      </c>
      <c r="H334" s="89">
        <v>16.914999999999999</v>
      </c>
      <c r="I334" s="84">
        <f t="shared" si="29"/>
        <v>3.875</v>
      </c>
      <c r="J334" s="89">
        <v>-3.81</v>
      </c>
      <c r="K334" s="89">
        <v>-3.81</v>
      </c>
      <c r="L334" s="84">
        <f t="shared" si="30"/>
        <v>0</v>
      </c>
      <c r="M334" s="89">
        <v>14.61</v>
      </c>
      <c r="N334" s="89">
        <v>14.837999999999999</v>
      </c>
      <c r="O334" s="84">
        <f t="shared" si="31"/>
        <v>0.22799999999999976</v>
      </c>
      <c r="P334" s="61">
        <v>0</v>
      </c>
      <c r="Q334" s="61">
        <v>0</v>
      </c>
      <c r="R334" s="1"/>
    </row>
    <row r="335" spans="2:18">
      <c r="B335">
        <v>32</v>
      </c>
      <c r="C335" s="59" t="s">
        <v>110</v>
      </c>
      <c r="D335" s="89">
        <v>5.8150000000000004</v>
      </c>
      <c r="E335" s="89">
        <v>5.8150000000000013</v>
      </c>
      <c r="F335" s="84">
        <f t="shared" si="28"/>
        <v>0</v>
      </c>
      <c r="G335" s="89">
        <v>0</v>
      </c>
      <c r="H335" s="89">
        <v>0</v>
      </c>
      <c r="I335" s="84">
        <f t="shared" si="29"/>
        <v>0</v>
      </c>
      <c r="J335" s="89">
        <v>49.55</v>
      </c>
      <c r="K335" s="89">
        <v>49.550000000000004</v>
      </c>
      <c r="L335" s="84">
        <f t="shared" si="30"/>
        <v>0</v>
      </c>
      <c r="M335" s="89">
        <v>6.3550000000000004</v>
      </c>
      <c r="N335" s="89">
        <v>6.3549999999999978</v>
      </c>
      <c r="O335" s="84">
        <f t="shared" si="31"/>
        <v>0</v>
      </c>
      <c r="P335" s="61">
        <v>0</v>
      </c>
      <c r="Q335" s="61">
        <v>0</v>
      </c>
      <c r="R335" s="1"/>
    </row>
    <row r="336" spans="2:18">
      <c r="B336">
        <v>33</v>
      </c>
      <c r="C336" s="59" t="s">
        <v>111</v>
      </c>
      <c r="D336" s="89">
        <v>6.4320000000000004</v>
      </c>
      <c r="E336" s="89">
        <v>6.4319999999999951</v>
      </c>
      <c r="F336" s="84">
        <f t="shared" si="28"/>
        <v>0</v>
      </c>
      <c r="G336" s="89">
        <v>20.626999999999999</v>
      </c>
      <c r="H336" s="89">
        <v>20.627000000000002</v>
      </c>
      <c r="I336" s="84">
        <f t="shared" si="29"/>
        <v>0</v>
      </c>
      <c r="J336" s="89">
        <v>25.468</v>
      </c>
      <c r="K336" s="89">
        <v>25.468</v>
      </c>
      <c r="L336" s="84">
        <f t="shared" si="30"/>
        <v>0</v>
      </c>
      <c r="M336" s="89">
        <v>11.926</v>
      </c>
      <c r="N336" s="89">
        <v>11.925999999999998</v>
      </c>
      <c r="O336" s="84">
        <f t="shared" si="31"/>
        <v>0</v>
      </c>
      <c r="P336" s="61">
        <v>0</v>
      </c>
      <c r="Q336" s="61">
        <v>0</v>
      </c>
      <c r="R336" s="1"/>
    </row>
    <row r="337" spans="2:18">
      <c r="B337">
        <v>34</v>
      </c>
      <c r="C337" s="59" t="s">
        <v>112</v>
      </c>
      <c r="D337" s="89">
        <v>25.164999999999999</v>
      </c>
      <c r="E337" s="89">
        <v>25.165999999999997</v>
      </c>
      <c r="F337" s="84">
        <f t="shared" si="28"/>
        <v>9.9999999999766942E-4</v>
      </c>
      <c r="G337" s="89">
        <v>9.33</v>
      </c>
      <c r="H337" s="89">
        <v>9.3309999999999995</v>
      </c>
      <c r="I337" s="84">
        <f t="shared" si="29"/>
        <v>9.9999999999944578E-4</v>
      </c>
      <c r="J337" s="89">
        <v>36.369</v>
      </c>
      <c r="K337" s="89">
        <v>36.369000000000007</v>
      </c>
      <c r="L337" s="84">
        <f t="shared" si="30"/>
        <v>0</v>
      </c>
      <c r="M337" s="89">
        <v>14.012</v>
      </c>
      <c r="N337" s="89">
        <v>14.008000000000003</v>
      </c>
      <c r="O337" s="84">
        <f t="shared" si="31"/>
        <v>-3.9999999999977831E-3</v>
      </c>
      <c r="P337" s="61">
        <v>0</v>
      </c>
      <c r="Q337" s="61">
        <v>0</v>
      </c>
      <c r="R337" s="1"/>
    </row>
    <row r="340" spans="2:18">
      <c r="C340" s="58">
        <v>46164</v>
      </c>
    </row>
    <row r="341" spans="2:18">
      <c r="C341" s="32" t="s">
        <v>68</v>
      </c>
      <c r="D341" s="33">
        <v>161</v>
      </c>
      <c r="E341" s="33"/>
      <c r="F341" s="33"/>
      <c r="G341" s="33">
        <v>2054</v>
      </c>
      <c r="H341" s="34"/>
      <c r="I341" s="34"/>
      <c r="J341" s="34">
        <v>5550</v>
      </c>
      <c r="K341" s="34"/>
      <c r="L341" s="34"/>
      <c r="M341" s="34">
        <v>8899</v>
      </c>
      <c r="N341" s="1"/>
      <c r="O341" s="1"/>
      <c r="P341" s="34">
        <v>5550</v>
      </c>
      <c r="Q341" s="1"/>
      <c r="R341" s="1"/>
    </row>
    <row r="342" spans="2:18" s="36" customFormat="1">
      <c r="C342" s="32" t="s">
        <v>69</v>
      </c>
      <c r="D342" s="35">
        <v>100001</v>
      </c>
      <c r="E342" s="35"/>
      <c r="F342" s="35"/>
      <c r="G342" s="33">
        <v>100004</v>
      </c>
      <c r="H342" s="34"/>
      <c r="I342" s="34"/>
      <c r="J342" s="34">
        <v>100030</v>
      </c>
      <c r="K342" s="34"/>
      <c r="L342" s="34"/>
      <c r="M342" s="34">
        <v>100153</v>
      </c>
      <c r="N342" s="34"/>
      <c r="O342" s="34"/>
      <c r="P342" s="34">
        <v>100030</v>
      </c>
      <c r="Q342" s="34"/>
      <c r="R342" s="34"/>
    </row>
    <row r="343" spans="2:18">
      <c r="C343" s="37" t="s">
        <v>70</v>
      </c>
      <c r="D343" s="33" t="s">
        <v>71</v>
      </c>
      <c r="E343" s="33"/>
      <c r="F343" s="33"/>
      <c r="G343" s="33" t="s">
        <v>71</v>
      </c>
      <c r="H343" s="38"/>
      <c r="I343" s="38"/>
      <c r="J343" s="38" t="s">
        <v>71</v>
      </c>
      <c r="K343" s="38"/>
      <c r="L343" s="38"/>
      <c r="M343" s="38" t="s">
        <v>71</v>
      </c>
      <c r="N343" s="1"/>
      <c r="O343" s="1"/>
      <c r="P343" s="38" t="s">
        <v>71</v>
      </c>
      <c r="Q343" s="1"/>
      <c r="R343" s="1"/>
    </row>
    <row r="344" spans="2:18">
      <c r="C344" s="39" t="s">
        <v>72</v>
      </c>
      <c r="D344" s="126" t="s">
        <v>73</v>
      </c>
      <c r="E344" s="126"/>
      <c r="F344" s="126"/>
      <c r="G344" s="122" t="s">
        <v>74</v>
      </c>
      <c r="H344" s="122"/>
      <c r="I344" s="122"/>
      <c r="J344" s="127" t="s">
        <v>75</v>
      </c>
      <c r="K344" s="127"/>
      <c r="L344" s="127"/>
      <c r="M344" s="120" t="s">
        <v>76</v>
      </c>
      <c r="N344" s="120"/>
      <c r="O344" s="120"/>
      <c r="P344" s="128" t="s">
        <v>115</v>
      </c>
      <c r="Q344" s="128"/>
      <c r="R344" s="128"/>
    </row>
    <row r="345" spans="2:18" ht="46.8" customHeight="1">
      <c r="B345">
        <v>13</v>
      </c>
      <c r="C345" s="40" t="s">
        <v>61</v>
      </c>
      <c r="D345" s="41" t="s">
        <v>116</v>
      </c>
      <c r="E345" s="41" t="s">
        <v>77</v>
      </c>
      <c r="F345" s="41" t="s">
        <v>78</v>
      </c>
      <c r="G345" s="42" t="s">
        <v>116</v>
      </c>
      <c r="H345" s="42" t="s">
        <v>77</v>
      </c>
      <c r="I345" s="42" t="s">
        <v>78</v>
      </c>
      <c r="J345" s="43" t="s">
        <v>116</v>
      </c>
      <c r="K345" s="43" t="s">
        <v>77</v>
      </c>
      <c r="L345" s="43" t="s">
        <v>78</v>
      </c>
      <c r="M345" s="44" t="s">
        <v>116</v>
      </c>
      <c r="N345" s="44" t="s">
        <v>77</v>
      </c>
      <c r="O345" s="44" t="s">
        <v>78</v>
      </c>
      <c r="P345" s="66" t="s">
        <v>116</v>
      </c>
      <c r="Q345" s="66" t="s">
        <v>77</v>
      </c>
      <c r="R345" s="66" t="s">
        <v>78</v>
      </c>
    </row>
    <row r="346" spans="2:18">
      <c r="B346">
        <v>1</v>
      </c>
      <c r="C346" s="59" t="s">
        <v>79</v>
      </c>
      <c r="D346" s="89">
        <v>12.177</v>
      </c>
      <c r="E346" s="89">
        <v>12.180000000000007</v>
      </c>
      <c r="F346" s="84">
        <f t="shared" ref="F346:F379" si="32">E346-D346</f>
        <v>3.0000000000072191E-3</v>
      </c>
      <c r="G346" s="90">
        <v>78.893000000000001</v>
      </c>
      <c r="H346" s="89">
        <v>78.889999999999986</v>
      </c>
      <c r="I346" s="84">
        <f t="shared" ref="I346:I379" si="33">H346-G346</f>
        <v>-3.0000000000143245E-3</v>
      </c>
      <c r="J346" s="89">
        <v>22.462</v>
      </c>
      <c r="K346" s="89">
        <v>22.46</v>
      </c>
      <c r="L346" s="84">
        <f t="shared" ref="L346:L379" si="34">K346-J346</f>
        <v>-1.9999999999988916E-3</v>
      </c>
      <c r="M346" s="89">
        <v>27.783000000000001</v>
      </c>
      <c r="N346" s="89">
        <v>27.779999999999994</v>
      </c>
      <c r="O346" s="84">
        <f t="shared" ref="O346:O379" si="35">N346-M346</f>
        <v>-3.0000000000072191E-3</v>
      </c>
      <c r="P346" s="61">
        <v>0</v>
      </c>
      <c r="Q346" s="61">
        <v>0</v>
      </c>
      <c r="R346" s="1"/>
    </row>
    <row r="347" spans="2:18">
      <c r="B347">
        <v>2</v>
      </c>
      <c r="C347" s="59" t="s">
        <v>80</v>
      </c>
      <c r="D347" s="89">
        <v>5.8929999999999998</v>
      </c>
      <c r="E347" s="89">
        <v>7.8140000000000001</v>
      </c>
      <c r="F347" s="84">
        <f t="shared" si="32"/>
        <v>1.9210000000000003</v>
      </c>
      <c r="G347" s="90">
        <v>30.594999999999999</v>
      </c>
      <c r="H347" s="89">
        <v>30.765000000000015</v>
      </c>
      <c r="I347" s="84">
        <f t="shared" si="33"/>
        <v>0.17000000000001592</v>
      </c>
      <c r="J347" s="89">
        <v>22.802</v>
      </c>
      <c r="K347" s="89">
        <v>22.578000000000003</v>
      </c>
      <c r="L347" s="84">
        <f t="shared" si="34"/>
        <v>-0.22399999999999665</v>
      </c>
      <c r="M347" s="89">
        <v>24.228000000000002</v>
      </c>
      <c r="N347" s="89">
        <v>61.302999999999997</v>
      </c>
      <c r="O347" s="84">
        <f t="shared" si="35"/>
        <v>37.074999999999996</v>
      </c>
      <c r="P347" s="61">
        <v>0</v>
      </c>
      <c r="Q347" s="61">
        <v>0</v>
      </c>
      <c r="R347" s="1"/>
    </row>
    <row r="348" spans="2:18">
      <c r="B348">
        <v>3</v>
      </c>
      <c r="C348" s="59" t="s">
        <v>81</v>
      </c>
      <c r="D348" s="89">
        <v>0</v>
      </c>
      <c r="E348" s="89">
        <v>0</v>
      </c>
      <c r="F348" s="84">
        <f t="shared" si="32"/>
        <v>0</v>
      </c>
      <c r="G348" s="90">
        <v>81.944999999999993</v>
      </c>
      <c r="H348" s="89">
        <v>81.944999999999993</v>
      </c>
      <c r="I348" s="87">
        <f t="shared" si="33"/>
        <v>0</v>
      </c>
      <c r="J348" s="89">
        <v>22.814</v>
      </c>
      <c r="K348" s="89">
        <v>22.814</v>
      </c>
      <c r="L348" s="87">
        <f t="shared" si="34"/>
        <v>0</v>
      </c>
      <c r="M348" s="89">
        <v>0</v>
      </c>
      <c r="N348" s="89">
        <v>0</v>
      </c>
      <c r="O348" s="84">
        <f t="shared" si="35"/>
        <v>0</v>
      </c>
      <c r="P348" s="61">
        <v>0</v>
      </c>
      <c r="Q348" s="61">
        <v>0</v>
      </c>
      <c r="R348" s="1"/>
    </row>
    <row r="349" spans="2:18">
      <c r="B349">
        <v>4</v>
      </c>
      <c r="C349" s="59" t="s">
        <v>82</v>
      </c>
      <c r="D349" s="89">
        <v>51.85</v>
      </c>
      <c r="E349" s="89">
        <v>51.849999999999994</v>
      </c>
      <c r="F349" s="84">
        <f t="shared" si="32"/>
        <v>0</v>
      </c>
      <c r="G349" s="90">
        <v>103.46</v>
      </c>
      <c r="H349" s="89">
        <v>103.45999999999997</v>
      </c>
      <c r="I349" s="84">
        <f t="shared" si="33"/>
        <v>0</v>
      </c>
      <c r="J349" s="89">
        <v>0</v>
      </c>
      <c r="K349" s="89">
        <v>0</v>
      </c>
      <c r="L349" s="84">
        <f t="shared" si="34"/>
        <v>0</v>
      </c>
      <c r="M349" s="89">
        <v>108.24</v>
      </c>
      <c r="N349" s="89">
        <v>108.24</v>
      </c>
      <c r="O349" s="84">
        <f t="shared" si="35"/>
        <v>0</v>
      </c>
      <c r="P349" s="61">
        <v>0</v>
      </c>
      <c r="Q349" s="61">
        <v>0</v>
      </c>
      <c r="R349" s="1"/>
    </row>
    <row r="350" spans="2:18">
      <c r="B350">
        <v>5</v>
      </c>
      <c r="C350" s="59" t="s">
        <v>83</v>
      </c>
      <c r="D350" s="89">
        <v>42.466000000000001</v>
      </c>
      <c r="E350" s="89">
        <v>16.448000000000022</v>
      </c>
      <c r="F350" s="84">
        <f t="shared" si="32"/>
        <v>-26.017999999999979</v>
      </c>
      <c r="G350" s="90">
        <v>79.459999999999994</v>
      </c>
      <c r="H350" s="89">
        <v>69.382000000000019</v>
      </c>
      <c r="I350" s="84">
        <f t="shared" si="33"/>
        <v>-10.077999999999975</v>
      </c>
      <c r="J350" s="89">
        <v>55.203000000000003</v>
      </c>
      <c r="K350" s="89">
        <v>49.468999999999994</v>
      </c>
      <c r="L350" s="84">
        <f t="shared" si="34"/>
        <v>-5.7340000000000089</v>
      </c>
      <c r="M350" s="89">
        <v>27.145</v>
      </c>
      <c r="N350" s="89">
        <v>25.344999999999999</v>
      </c>
      <c r="O350" s="84">
        <f t="shared" si="35"/>
        <v>-1.8000000000000007</v>
      </c>
      <c r="P350" s="61">
        <v>0</v>
      </c>
      <c r="Q350" s="61">
        <v>0</v>
      </c>
      <c r="R350" s="1"/>
    </row>
    <row r="351" spans="2:18">
      <c r="B351">
        <v>6</v>
      </c>
      <c r="C351" s="59" t="s">
        <v>84</v>
      </c>
      <c r="D351" s="89">
        <v>47.713999999999999</v>
      </c>
      <c r="E351" s="89">
        <v>47.72</v>
      </c>
      <c r="F351" s="84">
        <f t="shared" si="32"/>
        <v>6.0000000000002274E-3</v>
      </c>
      <c r="G351" s="90">
        <v>86.412999999999997</v>
      </c>
      <c r="H351" s="89">
        <v>86.396000000000001</v>
      </c>
      <c r="I351" s="84">
        <f t="shared" si="33"/>
        <v>-1.6999999999995907E-2</v>
      </c>
      <c r="J351" s="89">
        <v>49.671999999999997</v>
      </c>
      <c r="K351" s="89">
        <v>49.77</v>
      </c>
      <c r="L351" s="84">
        <f t="shared" si="34"/>
        <v>9.8000000000006082E-2</v>
      </c>
      <c r="M351" s="89">
        <v>16.103999999999999</v>
      </c>
      <c r="N351" s="89">
        <v>16.102</v>
      </c>
      <c r="O351" s="84">
        <f t="shared" si="35"/>
        <v>-1.9999999999988916E-3</v>
      </c>
      <c r="P351" s="61">
        <v>0</v>
      </c>
      <c r="Q351" s="61">
        <v>0</v>
      </c>
      <c r="R351" s="1"/>
    </row>
    <row r="352" spans="2:18">
      <c r="B352">
        <v>7</v>
      </c>
      <c r="C352" s="59" t="s">
        <v>85</v>
      </c>
      <c r="D352" s="89">
        <v>26.702999999999999</v>
      </c>
      <c r="E352" s="89">
        <v>26.448999999999998</v>
      </c>
      <c r="F352" s="84">
        <f t="shared" si="32"/>
        <v>-0.25400000000000134</v>
      </c>
      <c r="G352" s="90">
        <v>7.657</v>
      </c>
      <c r="H352" s="89">
        <v>3.2139999999999986</v>
      </c>
      <c r="I352" s="84">
        <f t="shared" si="33"/>
        <v>-4.4430000000000014</v>
      </c>
      <c r="J352" s="89">
        <v>18.016999999999999</v>
      </c>
      <c r="K352" s="89">
        <v>17.792000000000002</v>
      </c>
      <c r="L352" s="84">
        <f t="shared" si="34"/>
        <v>-0.22499999999999787</v>
      </c>
      <c r="M352" s="89">
        <v>28.951000000000001</v>
      </c>
      <c r="N352" s="89">
        <v>28.158000000000001</v>
      </c>
      <c r="O352" s="84">
        <f t="shared" si="35"/>
        <v>-0.79299999999999926</v>
      </c>
      <c r="P352" s="61">
        <v>0</v>
      </c>
      <c r="Q352" s="61">
        <v>0</v>
      </c>
      <c r="R352" s="1"/>
    </row>
    <row r="353" spans="2:18">
      <c r="B353">
        <v>8</v>
      </c>
      <c r="C353" s="59" t="s">
        <v>86</v>
      </c>
      <c r="D353" s="89">
        <v>51.101999999999997</v>
      </c>
      <c r="E353" s="89">
        <v>51.103999999999999</v>
      </c>
      <c r="F353" s="84">
        <f t="shared" si="32"/>
        <v>2.0000000000024443E-3</v>
      </c>
      <c r="G353" s="90">
        <v>34.914000000000001</v>
      </c>
      <c r="H353" s="89">
        <v>10.452</v>
      </c>
      <c r="I353" s="84">
        <f t="shared" si="33"/>
        <v>-24.462000000000003</v>
      </c>
      <c r="J353" s="89">
        <v>0</v>
      </c>
      <c r="K353" s="89">
        <v>0</v>
      </c>
      <c r="L353" s="84">
        <f t="shared" si="34"/>
        <v>0</v>
      </c>
      <c r="M353" s="89">
        <v>19.643000000000001</v>
      </c>
      <c r="N353" s="89">
        <v>19.641999999999999</v>
      </c>
      <c r="O353" s="84">
        <f t="shared" si="35"/>
        <v>-1.0000000000012221E-3</v>
      </c>
      <c r="P353" s="61">
        <v>0</v>
      </c>
      <c r="Q353" s="61">
        <v>0</v>
      </c>
      <c r="R353" s="1"/>
    </row>
    <row r="354" spans="2:18">
      <c r="B354">
        <v>9</v>
      </c>
      <c r="C354" s="59" t="s">
        <v>87</v>
      </c>
      <c r="D354" s="89">
        <v>3.3140000000000001</v>
      </c>
      <c r="E354" s="89">
        <v>3.31</v>
      </c>
      <c r="F354" s="84">
        <f t="shared" si="32"/>
        <v>-4.0000000000000036E-3</v>
      </c>
      <c r="G354" s="90">
        <v>11.76</v>
      </c>
      <c r="H354" s="89">
        <v>11.762</v>
      </c>
      <c r="I354" s="84">
        <f t="shared" si="33"/>
        <v>2.0000000000006679E-3</v>
      </c>
      <c r="J354" s="89">
        <v>0</v>
      </c>
      <c r="K354" s="89">
        <v>0</v>
      </c>
      <c r="L354" s="84">
        <f t="shared" si="34"/>
        <v>0</v>
      </c>
      <c r="M354" s="89">
        <v>8.3059999999999992</v>
      </c>
      <c r="N354" s="89">
        <v>8.3140000000000001</v>
      </c>
      <c r="O354" s="84">
        <f t="shared" si="35"/>
        <v>8.0000000000008953E-3</v>
      </c>
      <c r="P354" s="61">
        <v>0</v>
      </c>
      <c r="Q354" s="61">
        <v>0</v>
      </c>
      <c r="R354" s="1"/>
    </row>
    <row r="355" spans="2:18">
      <c r="B355">
        <v>10</v>
      </c>
      <c r="C355" s="59" t="s">
        <v>88</v>
      </c>
      <c r="D355" s="89">
        <v>10.811999999999999</v>
      </c>
      <c r="E355" s="89">
        <v>5.33</v>
      </c>
      <c r="F355" s="84">
        <f t="shared" si="32"/>
        <v>-5.4819999999999993</v>
      </c>
      <c r="G355" s="90">
        <v>50.286000000000001</v>
      </c>
      <c r="H355" s="89">
        <v>50.290999999999997</v>
      </c>
      <c r="I355" s="84">
        <f t="shared" si="33"/>
        <v>4.9999999999954525E-3</v>
      </c>
      <c r="J355" s="89">
        <v>0</v>
      </c>
      <c r="K355" s="89">
        <v>0</v>
      </c>
      <c r="L355" s="84">
        <f t="shared" si="34"/>
        <v>0</v>
      </c>
      <c r="M355" s="89">
        <v>4.9320000000000004</v>
      </c>
      <c r="N355" s="89">
        <v>5.33</v>
      </c>
      <c r="O355" s="84">
        <f t="shared" si="35"/>
        <v>0.39799999999999969</v>
      </c>
      <c r="P355" s="61">
        <v>0</v>
      </c>
      <c r="Q355" s="61">
        <v>0</v>
      </c>
      <c r="R355" s="1"/>
    </row>
    <row r="356" spans="2:18">
      <c r="B356">
        <v>11</v>
      </c>
      <c r="C356" s="59" t="s">
        <v>89</v>
      </c>
      <c r="D356" s="89">
        <v>59.375</v>
      </c>
      <c r="E356" s="89">
        <v>59.375</v>
      </c>
      <c r="F356" s="87">
        <f t="shared" si="32"/>
        <v>0</v>
      </c>
      <c r="G356" s="90">
        <v>141.11199999999999</v>
      </c>
      <c r="H356" s="89">
        <v>141.11199999999999</v>
      </c>
      <c r="I356" s="87">
        <f t="shared" si="33"/>
        <v>0</v>
      </c>
      <c r="J356" s="89">
        <v>0</v>
      </c>
      <c r="K356" s="89">
        <v>0</v>
      </c>
      <c r="L356" s="84">
        <f t="shared" si="34"/>
        <v>0</v>
      </c>
      <c r="M356" s="89">
        <v>41.44</v>
      </c>
      <c r="N356" s="89">
        <v>41.44</v>
      </c>
      <c r="O356" s="84">
        <f t="shared" si="35"/>
        <v>0</v>
      </c>
      <c r="P356" s="61">
        <v>0</v>
      </c>
      <c r="Q356" s="61">
        <v>0</v>
      </c>
      <c r="R356" s="1"/>
    </row>
    <row r="357" spans="2:18">
      <c r="B357">
        <v>12</v>
      </c>
      <c r="C357" s="59" t="s">
        <v>90</v>
      </c>
      <c r="D357" s="89">
        <v>29.041</v>
      </c>
      <c r="E357" s="89">
        <v>29.041</v>
      </c>
      <c r="F357" s="84">
        <f t="shared" si="32"/>
        <v>0</v>
      </c>
      <c r="G357" s="90">
        <v>43.302999999999997</v>
      </c>
      <c r="H357" s="89">
        <v>43.302999999999997</v>
      </c>
      <c r="I357" s="84">
        <f t="shared" si="33"/>
        <v>0</v>
      </c>
      <c r="J357" s="89">
        <v>8.3460000000000001</v>
      </c>
      <c r="K357" s="89">
        <v>8.3460000000000001</v>
      </c>
      <c r="L357" s="84">
        <f t="shared" si="34"/>
        <v>0</v>
      </c>
      <c r="M357" s="89">
        <v>16.213000000000001</v>
      </c>
      <c r="N357" s="89">
        <v>16.213000000000001</v>
      </c>
      <c r="O357" s="84">
        <f t="shared" si="35"/>
        <v>0</v>
      </c>
      <c r="P357" s="61">
        <v>0</v>
      </c>
      <c r="Q357" s="61">
        <v>0</v>
      </c>
      <c r="R357" s="1"/>
    </row>
    <row r="358" spans="2:18">
      <c r="B358">
        <v>13</v>
      </c>
      <c r="C358" s="59" t="s">
        <v>91</v>
      </c>
      <c r="D358" s="89">
        <v>53.57</v>
      </c>
      <c r="E358" s="89">
        <v>53.57</v>
      </c>
      <c r="F358" s="84">
        <f t="shared" si="32"/>
        <v>0</v>
      </c>
      <c r="G358" s="90">
        <v>6.7640000000000002</v>
      </c>
      <c r="H358" s="89">
        <v>6.7640000000000002</v>
      </c>
      <c r="I358" s="84">
        <f t="shared" si="33"/>
        <v>0</v>
      </c>
      <c r="J358" s="89">
        <v>22.594000000000001</v>
      </c>
      <c r="K358" s="89">
        <v>22.594000000000001</v>
      </c>
      <c r="L358" s="84">
        <f t="shared" si="34"/>
        <v>0</v>
      </c>
      <c r="M358" s="89">
        <v>18.344000000000001</v>
      </c>
      <c r="N358" s="89">
        <v>18.344000000000001</v>
      </c>
      <c r="O358" s="84">
        <f t="shared" si="35"/>
        <v>0</v>
      </c>
      <c r="P358" s="61">
        <v>0</v>
      </c>
      <c r="Q358" s="61">
        <v>0</v>
      </c>
      <c r="R358" s="1"/>
    </row>
    <row r="359" spans="2:18">
      <c r="B359">
        <v>14</v>
      </c>
      <c r="C359" s="59" t="s">
        <v>92</v>
      </c>
      <c r="D359" s="89">
        <v>10.175000000000001</v>
      </c>
      <c r="E359" s="89">
        <v>15.39</v>
      </c>
      <c r="F359" s="84">
        <f t="shared" si="32"/>
        <v>5.2149999999999999</v>
      </c>
      <c r="G359" s="90">
        <v>93.320999999999998</v>
      </c>
      <c r="H359" s="89">
        <v>96.197999999999993</v>
      </c>
      <c r="I359" s="84">
        <f t="shared" si="33"/>
        <v>2.8769999999999953</v>
      </c>
      <c r="J359" s="89">
        <v>0</v>
      </c>
      <c r="K359" s="89">
        <v>0</v>
      </c>
      <c r="L359" s="84">
        <f t="shared" si="34"/>
        <v>0</v>
      </c>
      <c r="M359" s="89">
        <v>55.887999999999998</v>
      </c>
      <c r="N359" s="89">
        <v>57.548000000000002</v>
      </c>
      <c r="O359" s="84">
        <f t="shared" si="35"/>
        <v>1.6600000000000037</v>
      </c>
      <c r="P359" s="61">
        <v>0</v>
      </c>
      <c r="Q359" s="61">
        <v>0</v>
      </c>
      <c r="R359" s="1"/>
    </row>
    <row r="360" spans="2:18">
      <c r="B360">
        <v>15</v>
      </c>
      <c r="C360" s="59" t="s">
        <v>93</v>
      </c>
      <c r="D360" s="89">
        <v>16.826000000000001</v>
      </c>
      <c r="E360" s="89">
        <v>16.826000000000001</v>
      </c>
      <c r="F360" s="84">
        <f t="shared" si="32"/>
        <v>0</v>
      </c>
      <c r="G360" s="90">
        <v>17.417999999999999</v>
      </c>
      <c r="H360" s="89">
        <v>17.417999999999999</v>
      </c>
      <c r="I360" s="84">
        <f t="shared" si="33"/>
        <v>0</v>
      </c>
      <c r="J360" s="89">
        <v>0</v>
      </c>
      <c r="K360" s="89">
        <v>0</v>
      </c>
      <c r="L360" s="84">
        <f t="shared" si="34"/>
        <v>0</v>
      </c>
      <c r="M360" s="89">
        <v>19.486000000000001</v>
      </c>
      <c r="N360" s="89">
        <v>19.486000000000001</v>
      </c>
      <c r="O360" s="84">
        <f t="shared" si="35"/>
        <v>0</v>
      </c>
      <c r="P360" s="61">
        <v>0</v>
      </c>
      <c r="Q360" s="61">
        <v>0</v>
      </c>
      <c r="R360" s="1"/>
    </row>
    <row r="361" spans="2:18">
      <c r="B361">
        <v>16</v>
      </c>
      <c r="C361" s="59" t="s">
        <v>94</v>
      </c>
      <c r="D361" s="89">
        <v>32.645000000000003</v>
      </c>
      <c r="E361" s="89">
        <v>32.645000000000003</v>
      </c>
      <c r="F361" s="84">
        <f t="shared" si="32"/>
        <v>0</v>
      </c>
      <c r="G361" s="90">
        <v>45.567</v>
      </c>
      <c r="H361" s="89">
        <v>45.567</v>
      </c>
      <c r="I361" s="84">
        <f t="shared" si="33"/>
        <v>0</v>
      </c>
      <c r="J361" s="89">
        <v>14.465999999999999</v>
      </c>
      <c r="K361" s="89">
        <v>14.465999999999999</v>
      </c>
      <c r="L361" s="84">
        <f t="shared" si="34"/>
        <v>0</v>
      </c>
      <c r="M361" s="89">
        <v>103.849</v>
      </c>
      <c r="N361" s="89">
        <v>103.849</v>
      </c>
      <c r="O361" s="84">
        <f t="shared" si="35"/>
        <v>0</v>
      </c>
      <c r="P361" s="61">
        <v>0</v>
      </c>
      <c r="Q361" s="61">
        <v>0</v>
      </c>
      <c r="R361" s="1"/>
    </row>
    <row r="362" spans="2:18">
      <c r="B362">
        <v>17</v>
      </c>
      <c r="C362" s="59" t="s">
        <v>95</v>
      </c>
      <c r="D362" s="89">
        <v>16.673999999999999</v>
      </c>
      <c r="E362" s="89">
        <v>16.673999999999999</v>
      </c>
      <c r="F362" s="84">
        <f t="shared" si="32"/>
        <v>0</v>
      </c>
      <c r="G362" s="90">
        <v>124.449</v>
      </c>
      <c r="H362" s="89">
        <v>124.449</v>
      </c>
      <c r="I362" s="84">
        <f t="shared" si="33"/>
        <v>0</v>
      </c>
      <c r="J362" s="89">
        <v>71.509</v>
      </c>
      <c r="K362" s="89">
        <v>71.509</v>
      </c>
      <c r="L362" s="84">
        <f t="shared" si="34"/>
        <v>0</v>
      </c>
      <c r="M362" s="89">
        <v>43.814999999999998</v>
      </c>
      <c r="N362" s="89">
        <v>43.814999999999998</v>
      </c>
      <c r="O362" s="84">
        <f t="shared" si="35"/>
        <v>0</v>
      </c>
      <c r="P362" s="61">
        <v>0</v>
      </c>
      <c r="Q362" s="61">
        <v>0</v>
      </c>
      <c r="R362" s="1"/>
    </row>
    <row r="363" spans="2:18">
      <c r="B363">
        <v>18</v>
      </c>
      <c r="C363" s="59" t="s">
        <v>96</v>
      </c>
      <c r="D363" s="89">
        <v>11.173999999999999</v>
      </c>
      <c r="E363" s="89">
        <v>11.173999999999999</v>
      </c>
      <c r="F363" s="84">
        <f t="shared" si="32"/>
        <v>0</v>
      </c>
      <c r="G363" s="90">
        <v>15.025</v>
      </c>
      <c r="H363" s="89">
        <v>15.025</v>
      </c>
      <c r="I363" s="84">
        <f t="shared" si="33"/>
        <v>0</v>
      </c>
      <c r="J363" s="89">
        <v>18.556999999999999</v>
      </c>
      <c r="K363" s="89">
        <v>18.556999999999999</v>
      </c>
      <c r="L363" s="84">
        <f t="shared" si="34"/>
        <v>0</v>
      </c>
      <c r="M363" s="89">
        <v>0.35</v>
      </c>
      <c r="N363" s="89">
        <v>0.35</v>
      </c>
      <c r="O363" s="84">
        <f t="shared" si="35"/>
        <v>0</v>
      </c>
      <c r="P363" s="61">
        <v>0</v>
      </c>
      <c r="Q363" s="61">
        <v>0</v>
      </c>
      <c r="R363" s="1"/>
    </row>
    <row r="364" spans="2:18">
      <c r="B364">
        <v>19</v>
      </c>
      <c r="C364" s="59" t="s">
        <v>97</v>
      </c>
      <c r="D364" s="89">
        <v>29.774000000000001</v>
      </c>
      <c r="E364" s="89">
        <v>30.510999999999999</v>
      </c>
      <c r="F364" s="84">
        <f t="shared" si="32"/>
        <v>0.73699999999999832</v>
      </c>
      <c r="G364" s="90">
        <v>156.74199999999999</v>
      </c>
      <c r="H364" s="89">
        <v>156.60499999999999</v>
      </c>
      <c r="I364" s="84">
        <f t="shared" si="33"/>
        <v>-0.13700000000000045</v>
      </c>
      <c r="J364" s="89">
        <v>24.428999999999998</v>
      </c>
      <c r="K364" s="89">
        <v>25.210999999999999</v>
      </c>
      <c r="L364" s="84">
        <f t="shared" si="34"/>
        <v>0.78200000000000003</v>
      </c>
      <c r="M364" s="89">
        <v>12.679</v>
      </c>
      <c r="N364" s="89">
        <v>12.177</v>
      </c>
      <c r="O364" s="84">
        <f t="shared" si="35"/>
        <v>-0.50200000000000067</v>
      </c>
      <c r="P364" s="61">
        <v>0</v>
      </c>
      <c r="Q364" s="61">
        <v>0</v>
      </c>
      <c r="R364" s="1"/>
    </row>
    <row r="365" spans="2:18">
      <c r="B365">
        <v>20</v>
      </c>
      <c r="C365" s="59" t="s">
        <v>98</v>
      </c>
      <c r="D365" s="89">
        <v>26.361000000000001</v>
      </c>
      <c r="E365" s="89">
        <v>26.361000000000001</v>
      </c>
      <c r="F365" s="84">
        <f t="shared" si="32"/>
        <v>0</v>
      </c>
      <c r="G365" s="90">
        <v>19.073</v>
      </c>
      <c r="H365" s="89">
        <v>18.893000000000001</v>
      </c>
      <c r="I365" s="84">
        <f t="shared" si="33"/>
        <v>-0.17999999999999972</v>
      </c>
      <c r="J365" s="89">
        <v>20.38</v>
      </c>
      <c r="K365" s="89">
        <v>20.38</v>
      </c>
      <c r="L365" s="84">
        <f t="shared" si="34"/>
        <v>0</v>
      </c>
      <c r="M365" s="89">
        <v>26.268999999999998</v>
      </c>
      <c r="N365" s="89">
        <v>26.268999999999998</v>
      </c>
      <c r="O365" s="84">
        <f t="shared" si="35"/>
        <v>0</v>
      </c>
      <c r="P365" s="61">
        <v>0</v>
      </c>
      <c r="Q365" s="61">
        <v>0</v>
      </c>
      <c r="R365" s="1"/>
    </row>
    <row r="366" spans="2:18">
      <c r="B366">
        <v>21</v>
      </c>
      <c r="C366" s="59" t="s">
        <v>99</v>
      </c>
      <c r="D366" s="89">
        <v>22.155000000000001</v>
      </c>
      <c r="E366" s="89">
        <v>22.155000000000005</v>
      </c>
      <c r="F366" s="84">
        <f t="shared" si="32"/>
        <v>0</v>
      </c>
      <c r="G366" s="90">
        <v>28.37</v>
      </c>
      <c r="H366" s="89">
        <v>28.37</v>
      </c>
      <c r="I366" s="84">
        <f t="shared" si="33"/>
        <v>0</v>
      </c>
      <c r="J366" s="89">
        <v>18.86</v>
      </c>
      <c r="K366" s="89">
        <v>18.86</v>
      </c>
      <c r="L366" s="84">
        <f t="shared" si="34"/>
        <v>0</v>
      </c>
      <c r="M366" s="89">
        <v>15.994999999999999</v>
      </c>
      <c r="N366" s="89">
        <v>15.994999999999997</v>
      </c>
      <c r="O366" s="84">
        <f t="shared" si="35"/>
        <v>0</v>
      </c>
      <c r="P366" s="61">
        <v>0</v>
      </c>
      <c r="Q366" s="61">
        <v>0</v>
      </c>
      <c r="R366" s="1"/>
    </row>
    <row r="367" spans="2:18">
      <c r="B367">
        <v>22</v>
      </c>
      <c r="C367" s="59" t="s">
        <v>100</v>
      </c>
      <c r="D367" s="89">
        <v>22.684999999999999</v>
      </c>
      <c r="E367" s="89">
        <v>22.684999999999999</v>
      </c>
      <c r="F367" s="84">
        <f t="shared" si="32"/>
        <v>0</v>
      </c>
      <c r="G367" s="90">
        <v>68.314999999999998</v>
      </c>
      <c r="H367" s="89">
        <v>68.405000000000001</v>
      </c>
      <c r="I367" s="84">
        <f t="shared" si="33"/>
        <v>9.0000000000003411E-2</v>
      </c>
      <c r="J367" s="89">
        <v>16.47</v>
      </c>
      <c r="K367" s="89">
        <v>16.47</v>
      </c>
      <c r="L367" s="84">
        <f t="shared" si="34"/>
        <v>0</v>
      </c>
      <c r="M367" s="89">
        <v>5.82</v>
      </c>
      <c r="N367" s="89">
        <v>5.82</v>
      </c>
      <c r="O367" s="84">
        <f t="shared" si="35"/>
        <v>0</v>
      </c>
      <c r="P367" s="61">
        <v>0</v>
      </c>
      <c r="Q367" s="61">
        <v>0</v>
      </c>
      <c r="R367" s="1"/>
    </row>
    <row r="368" spans="2:18">
      <c r="B368">
        <v>23</v>
      </c>
      <c r="C368" s="59" t="s">
        <v>101</v>
      </c>
      <c r="D368" s="89">
        <v>55.07</v>
      </c>
      <c r="E368" s="89">
        <v>54.975000000000001</v>
      </c>
      <c r="F368" s="84">
        <f t="shared" si="32"/>
        <v>-9.4999999999998863E-2</v>
      </c>
      <c r="G368" s="90">
        <v>132.58000000000001</v>
      </c>
      <c r="H368" s="89">
        <v>132.51</v>
      </c>
      <c r="I368" s="84">
        <f t="shared" si="33"/>
        <v>-7.00000000000216E-2</v>
      </c>
      <c r="J368" s="89">
        <v>54.65</v>
      </c>
      <c r="K368" s="89">
        <v>54.545000000000002</v>
      </c>
      <c r="L368" s="84">
        <f t="shared" si="34"/>
        <v>-0.10499999999999687</v>
      </c>
      <c r="M368" s="89">
        <v>1.31</v>
      </c>
      <c r="N368" s="89">
        <v>2.3149999999999999</v>
      </c>
      <c r="O368" s="84">
        <f t="shared" si="35"/>
        <v>1.0049999999999999</v>
      </c>
      <c r="P368" s="61">
        <v>0</v>
      </c>
      <c r="Q368" s="61">
        <v>0</v>
      </c>
      <c r="R368" s="1"/>
    </row>
    <row r="369" spans="2:18">
      <c r="B369">
        <v>24</v>
      </c>
      <c r="C369" s="65" t="s">
        <v>102</v>
      </c>
      <c r="D369" s="89">
        <v>21.55</v>
      </c>
      <c r="E369" s="89">
        <v>22.050999999999998</v>
      </c>
      <c r="F369" s="84">
        <f t="shared" si="32"/>
        <v>0.50099999999999767</v>
      </c>
      <c r="G369" s="90">
        <v>35.274999999999999</v>
      </c>
      <c r="H369" s="89">
        <v>35.594999999999999</v>
      </c>
      <c r="I369" s="84">
        <f t="shared" si="33"/>
        <v>0.32000000000000028</v>
      </c>
      <c r="J369" s="89">
        <v>19.393000000000001</v>
      </c>
      <c r="K369" s="89">
        <v>19.734999999999999</v>
      </c>
      <c r="L369" s="84">
        <f t="shared" si="34"/>
        <v>0.34199999999999875</v>
      </c>
      <c r="M369" s="89">
        <v>3.8490000000000002</v>
      </c>
      <c r="N369" s="89">
        <v>3.9590000000000001</v>
      </c>
      <c r="O369" s="84">
        <f t="shared" si="35"/>
        <v>0.10999999999999988</v>
      </c>
      <c r="P369" s="61">
        <v>0</v>
      </c>
      <c r="Q369" s="61">
        <v>0</v>
      </c>
      <c r="R369" s="1"/>
    </row>
    <row r="370" spans="2:18">
      <c r="B370">
        <v>25</v>
      </c>
      <c r="C370" s="59" t="s">
        <v>103</v>
      </c>
      <c r="D370" s="89">
        <v>-8.8770000000000007</v>
      </c>
      <c r="E370" s="89">
        <v>20.853000000000002</v>
      </c>
      <c r="F370" s="84">
        <f t="shared" si="32"/>
        <v>29.730000000000004</v>
      </c>
      <c r="G370" s="90">
        <v>218.315</v>
      </c>
      <c r="H370" s="89">
        <v>218.41499999999999</v>
      </c>
      <c r="I370" s="84">
        <f t="shared" si="33"/>
        <v>9.9999999999994316E-2</v>
      </c>
      <c r="J370" s="89">
        <v>-2.66</v>
      </c>
      <c r="K370" s="89">
        <v>25.725999999999999</v>
      </c>
      <c r="L370" s="84">
        <f t="shared" si="34"/>
        <v>28.385999999999999</v>
      </c>
      <c r="M370" s="89">
        <v>25.193000000000001</v>
      </c>
      <c r="N370" s="89">
        <v>25.285</v>
      </c>
      <c r="O370" s="84">
        <f t="shared" si="35"/>
        <v>9.1999999999998749E-2</v>
      </c>
      <c r="P370" s="61">
        <v>0</v>
      </c>
      <c r="Q370" s="61">
        <v>0</v>
      </c>
      <c r="R370" s="1"/>
    </row>
    <row r="371" spans="2:18">
      <c r="B371">
        <v>26</v>
      </c>
      <c r="C371" s="59" t="s">
        <v>104</v>
      </c>
      <c r="D371" s="89">
        <v>5.3760000000000003</v>
      </c>
      <c r="E371" s="89">
        <v>5.3760000000000003</v>
      </c>
      <c r="F371" s="84">
        <f t="shared" si="32"/>
        <v>0</v>
      </c>
      <c r="G371" s="90">
        <v>163.07900000000001</v>
      </c>
      <c r="H371" s="89">
        <v>163.07900000000001</v>
      </c>
      <c r="I371" s="84">
        <f t="shared" si="33"/>
        <v>0</v>
      </c>
      <c r="J371" s="89">
        <v>1.9750000000000001</v>
      </c>
      <c r="K371" s="89">
        <v>1.718</v>
      </c>
      <c r="L371" s="84">
        <f t="shared" si="34"/>
        <v>-0.25700000000000012</v>
      </c>
      <c r="M371" s="89">
        <v>59.8</v>
      </c>
      <c r="N371" s="89">
        <v>59.872999999999998</v>
      </c>
      <c r="O371" s="84">
        <f t="shared" si="35"/>
        <v>7.3000000000000398E-2</v>
      </c>
      <c r="P371" s="61">
        <v>0</v>
      </c>
      <c r="Q371" s="61">
        <v>0</v>
      </c>
      <c r="R371" s="1"/>
    </row>
    <row r="372" spans="2:18">
      <c r="B372">
        <v>27</v>
      </c>
      <c r="C372" s="59" t="s">
        <v>105</v>
      </c>
      <c r="D372" s="89">
        <v>53.252000000000002</v>
      </c>
      <c r="E372" s="89">
        <v>53.082999999999998</v>
      </c>
      <c r="F372" s="84">
        <f t="shared" si="32"/>
        <v>-0.16900000000000404</v>
      </c>
      <c r="G372" s="90">
        <v>48.612000000000002</v>
      </c>
      <c r="H372" s="89">
        <v>48.789000000000001</v>
      </c>
      <c r="I372" s="84">
        <f t="shared" si="33"/>
        <v>0.1769999999999996</v>
      </c>
      <c r="J372" s="89">
        <v>73.022000000000006</v>
      </c>
      <c r="K372" s="89">
        <v>72.052000000000007</v>
      </c>
      <c r="L372" s="84">
        <f t="shared" si="34"/>
        <v>-0.96999999999999886</v>
      </c>
      <c r="M372" s="89">
        <v>5.593</v>
      </c>
      <c r="N372" s="89">
        <v>5.4580000000000002</v>
      </c>
      <c r="O372" s="84">
        <f t="shared" si="35"/>
        <v>-0.13499999999999979</v>
      </c>
      <c r="P372" s="61">
        <v>0</v>
      </c>
      <c r="Q372" s="61">
        <v>0</v>
      </c>
      <c r="R372" s="1"/>
    </row>
    <row r="373" spans="2:18">
      <c r="B373">
        <v>28</v>
      </c>
      <c r="C373" s="59" t="s">
        <v>106</v>
      </c>
      <c r="D373" s="89">
        <v>35.814</v>
      </c>
      <c r="E373" s="89">
        <v>35.987000000000002</v>
      </c>
      <c r="F373" s="84">
        <f t="shared" si="32"/>
        <v>0.17300000000000182</v>
      </c>
      <c r="G373" s="90">
        <v>12.532</v>
      </c>
      <c r="H373" s="89">
        <v>12.65</v>
      </c>
      <c r="I373" s="84">
        <f t="shared" si="33"/>
        <v>0.11800000000000033</v>
      </c>
      <c r="J373" s="89">
        <v>31.835000000000001</v>
      </c>
      <c r="K373" s="89">
        <v>31.858000000000001</v>
      </c>
      <c r="L373" s="84">
        <f t="shared" si="34"/>
        <v>2.2999999999999687E-2</v>
      </c>
      <c r="M373" s="89">
        <v>16.669</v>
      </c>
      <c r="N373" s="89">
        <v>16.655999999999999</v>
      </c>
      <c r="O373" s="84">
        <f t="shared" si="35"/>
        <v>-1.3000000000001677E-2</v>
      </c>
      <c r="P373" s="61">
        <v>0</v>
      </c>
      <c r="Q373" s="61">
        <v>0</v>
      </c>
      <c r="R373" s="1"/>
    </row>
    <row r="374" spans="2:18">
      <c r="B374">
        <v>29</v>
      </c>
      <c r="C374" s="59" t="s">
        <v>107</v>
      </c>
      <c r="D374" s="89">
        <v>-3.1850000000000001</v>
      </c>
      <c r="E374" s="89">
        <v>21.565000000000001</v>
      </c>
      <c r="F374" s="84">
        <f t="shared" si="32"/>
        <v>24.75</v>
      </c>
      <c r="G374" s="90">
        <v>-2.9809999999999999</v>
      </c>
      <c r="H374" s="89">
        <v>5.17</v>
      </c>
      <c r="I374" s="84">
        <f t="shared" si="33"/>
        <v>8.1509999999999998</v>
      </c>
      <c r="J374" s="89">
        <v>-0.185</v>
      </c>
      <c r="K374" s="89">
        <v>12.065</v>
      </c>
      <c r="L374" s="84">
        <f t="shared" si="34"/>
        <v>12.25</v>
      </c>
      <c r="M374" s="89">
        <v>0.84499999999999997</v>
      </c>
      <c r="N374" s="89">
        <v>0.84499999999999997</v>
      </c>
      <c r="O374" s="84">
        <f t="shared" si="35"/>
        <v>0</v>
      </c>
      <c r="P374" s="61">
        <v>0</v>
      </c>
      <c r="Q374" s="61">
        <v>0</v>
      </c>
      <c r="R374" s="1"/>
    </row>
    <row r="375" spans="2:18">
      <c r="B375">
        <v>30</v>
      </c>
      <c r="C375" s="59" t="s">
        <v>108</v>
      </c>
      <c r="D375" s="89">
        <v>0.27800000000000002</v>
      </c>
      <c r="E375" s="89">
        <v>0.38700000000000001</v>
      </c>
      <c r="F375" s="84">
        <f t="shared" si="32"/>
        <v>0.10899999999999999</v>
      </c>
      <c r="G375" s="90">
        <v>72.299000000000007</v>
      </c>
      <c r="H375" s="89">
        <v>73.052000000000007</v>
      </c>
      <c r="I375" s="84">
        <f t="shared" si="33"/>
        <v>0.75300000000000011</v>
      </c>
      <c r="J375" s="89">
        <v>0</v>
      </c>
      <c r="K375" s="89">
        <v>0</v>
      </c>
      <c r="L375" s="84">
        <f t="shared" si="34"/>
        <v>0</v>
      </c>
      <c r="M375" s="89">
        <v>12.377000000000001</v>
      </c>
      <c r="N375" s="89">
        <v>12.377000000000001</v>
      </c>
      <c r="O375" s="84">
        <f t="shared" si="35"/>
        <v>0</v>
      </c>
      <c r="P375" s="61">
        <v>0</v>
      </c>
      <c r="Q375" s="61">
        <v>0</v>
      </c>
      <c r="R375" s="1"/>
    </row>
    <row r="376" spans="2:18">
      <c r="B376">
        <v>31</v>
      </c>
      <c r="C376" s="59" t="s">
        <v>109</v>
      </c>
      <c r="D376" s="89">
        <v>12.18</v>
      </c>
      <c r="E376" s="89">
        <v>12.18</v>
      </c>
      <c r="F376" s="84">
        <f t="shared" si="32"/>
        <v>0</v>
      </c>
      <c r="G376" s="90">
        <v>24.76</v>
      </c>
      <c r="H376" s="89">
        <v>24.727</v>
      </c>
      <c r="I376" s="84">
        <f t="shared" si="33"/>
        <v>-3.3000000000001251E-2</v>
      </c>
      <c r="J376" s="89">
        <v>16.38</v>
      </c>
      <c r="K376" s="89">
        <v>20.190000000000001</v>
      </c>
      <c r="L376" s="84">
        <f t="shared" si="34"/>
        <v>3.8100000000000023</v>
      </c>
      <c r="M376" s="89">
        <v>13.04</v>
      </c>
      <c r="N376" s="89">
        <v>13.04</v>
      </c>
      <c r="O376" s="84">
        <f t="shared" si="35"/>
        <v>0</v>
      </c>
      <c r="P376" s="61">
        <v>0</v>
      </c>
      <c r="Q376" s="61">
        <v>0</v>
      </c>
      <c r="R376" s="1"/>
    </row>
    <row r="377" spans="2:18">
      <c r="B377">
        <v>32</v>
      </c>
      <c r="C377" s="59" t="s">
        <v>110</v>
      </c>
      <c r="D377" s="89">
        <v>4.8970000000000002</v>
      </c>
      <c r="E377" s="89">
        <v>4.8970000000000002</v>
      </c>
      <c r="F377" s="84">
        <f t="shared" si="32"/>
        <v>0</v>
      </c>
      <c r="G377" s="90">
        <v>1.905</v>
      </c>
      <c r="H377" s="89">
        <v>1.905</v>
      </c>
      <c r="I377" s="84">
        <f t="shared" si="33"/>
        <v>0</v>
      </c>
      <c r="J377" s="89">
        <v>25.61</v>
      </c>
      <c r="K377" s="89">
        <v>25.61</v>
      </c>
      <c r="L377" s="84">
        <f t="shared" si="34"/>
        <v>0</v>
      </c>
      <c r="M377" s="89">
        <v>0.11899999999999999</v>
      </c>
      <c r="N377" s="89">
        <v>0.11899999999999999</v>
      </c>
      <c r="O377" s="84">
        <f t="shared" si="35"/>
        <v>0</v>
      </c>
      <c r="P377" s="61">
        <v>0</v>
      </c>
      <c r="Q377" s="61">
        <v>0</v>
      </c>
      <c r="R377" s="1"/>
    </row>
    <row r="378" spans="2:18">
      <c r="B378">
        <v>33</v>
      </c>
      <c r="C378" s="59" t="s">
        <v>111</v>
      </c>
      <c r="D378" s="89">
        <v>1.482</v>
      </c>
      <c r="E378" s="89">
        <v>1.482</v>
      </c>
      <c r="F378" s="84">
        <f t="shared" si="32"/>
        <v>0</v>
      </c>
      <c r="G378" s="90">
        <v>29.728999999999999</v>
      </c>
      <c r="H378" s="89">
        <v>29.728999999999999</v>
      </c>
      <c r="I378" s="84">
        <f t="shared" si="33"/>
        <v>0</v>
      </c>
      <c r="J378" s="89">
        <v>6.3490000000000002</v>
      </c>
      <c r="K378" s="89">
        <v>6.3490000000000002</v>
      </c>
      <c r="L378" s="84">
        <f t="shared" si="34"/>
        <v>0</v>
      </c>
      <c r="M378" s="89">
        <v>6.4969999999999999</v>
      </c>
      <c r="N378" s="89">
        <v>6.4969999999999999</v>
      </c>
      <c r="O378" s="84">
        <f t="shared" si="35"/>
        <v>0</v>
      </c>
      <c r="P378" s="61">
        <v>0</v>
      </c>
      <c r="Q378" s="61">
        <v>0</v>
      </c>
      <c r="R378" s="1"/>
    </row>
    <row r="379" spans="2:18">
      <c r="B379">
        <v>34</v>
      </c>
      <c r="C379" s="59" t="s">
        <v>112</v>
      </c>
      <c r="D379" s="89">
        <v>22.852</v>
      </c>
      <c r="E379" s="89">
        <v>22.853000000000002</v>
      </c>
      <c r="F379" s="84">
        <f t="shared" si="32"/>
        <v>1.0000000000012221E-3</v>
      </c>
      <c r="G379" s="90">
        <v>2.798</v>
      </c>
      <c r="H379" s="89">
        <v>2.7989999999999999</v>
      </c>
      <c r="I379" s="84">
        <f t="shared" si="33"/>
        <v>9.9999999999988987E-4</v>
      </c>
      <c r="J379" s="89">
        <v>33.427</v>
      </c>
      <c r="K379" s="89">
        <v>33.427</v>
      </c>
      <c r="L379" s="84">
        <f t="shared" si="34"/>
        <v>0</v>
      </c>
      <c r="M379" s="89">
        <v>12.622</v>
      </c>
      <c r="N379" s="89">
        <v>12.618</v>
      </c>
      <c r="O379" s="84">
        <f t="shared" si="35"/>
        <v>-3.9999999999995595E-3</v>
      </c>
      <c r="P379" s="61">
        <v>0</v>
      </c>
      <c r="Q379" s="61">
        <v>0</v>
      </c>
      <c r="R379" s="1"/>
    </row>
    <row r="380" spans="2:18">
      <c r="G380" s="91">
        <v>72.299000000000007</v>
      </c>
    </row>
    <row r="381" spans="2:18">
      <c r="G381" s="91">
        <v>24.76</v>
      </c>
    </row>
    <row r="382" spans="2:18">
      <c r="C382" s="58">
        <v>46169</v>
      </c>
    </row>
    <row r="383" spans="2:18">
      <c r="C383" s="32" t="s">
        <v>68</v>
      </c>
      <c r="D383" s="33">
        <v>161</v>
      </c>
      <c r="E383" s="33"/>
      <c r="F383" s="33"/>
      <c r="G383" s="33">
        <v>2054</v>
      </c>
      <c r="H383" s="34"/>
      <c r="I383" s="34"/>
      <c r="J383" s="34">
        <v>5550</v>
      </c>
      <c r="K383" s="34"/>
      <c r="L383" s="34"/>
      <c r="M383" s="34">
        <v>8899</v>
      </c>
      <c r="N383" s="1"/>
      <c r="O383" s="1"/>
      <c r="P383" s="34">
        <v>5550</v>
      </c>
      <c r="Q383" s="1"/>
      <c r="R383" s="1"/>
    </row>
    <row r="384" spans="2:18">
      <c r="B384" s="36"/>
      <c r="C384" s="32" t="s">
        <v>69</v>
      </c>
      <c r="D384" s="35">
        <v>100001</v>
      </c>
      <c r="E384" s="35"/>
      <c r="F384" s="35"/>
      <c r="G384" s="33">
        <v>100004</v>
      </c>
      <c r="H384" s="34"/>
      <c r="I384" s="34"/>
      <c r="J384" s="34">
        <v>100030</v>
      </c>
      <c r="K384" s="34"/>
      <c r="L384" s="34"/>
      <c r="M384" s="34">
        <v>100153</v>
      </c>
      <c r="N384" s="34"/>
      <c r="O384" s="34"/>
      <c r="P384" s="34">
        <v>100030</v>
      </c>
      <c r="Q384" s="34"/>
      <c r="R384" s="34"/>
    </row>
    <row r="385" spans="2:18">
      <c r="C385" s="37" t="s">
        <v>70</v>
      </c>
      <c r="D385" s="33" t="s">
        <v>71</v>
      </c>
      <c r="E385" s="33"/>
      <c r="F385" s="33"/>
      <c r="G385" s="33" t="s">
        <v>71</v>
      </c>
      <c r="H385" s="38"/>
      <c r="I385" s="38"/>
      <c r="J385" s="38" t="s">
        <v>71</v>
      </c>
      <c r="K385" s="38"/>
      <c r="L385" s="38"/>
      <c r="M385" s="38" t="s">
        <v>71</v>
      </c>
      <c r="N385" s="1"/>
      <c r="O385" s="1"/>
      <c r="P385" s="38" t="s">
        <v>71</v>
      </c>
      <c r="Q385" s="1"/>
      <c r="R385" s="1"/>
    </row>
    <row r="386" spans="2:18">
      <c r="C386" s="39" t="s">
        <v>72</v>
      </c>
      <c r="D386" s="126" t="s">
        <v>73</v>
      </c>
      <c r="E386" s="126"/>
      <c r="F386" s="126"/>
      <c r="G386" s="122" t="s">
        <v>74</v>
      </c>
      <c r="H386" s="122"/>
      <c r="I386" s="122"/>
      <c r="J386" s="127" t="s">
        <v>75</v>
      </c>
      <c r="K386" s="127"/>
      <c r="L386" s="127"/>
      <c r="M386" s="120" t="s">
        <v>76</v>
      </c>
      <c r="N386" s="120"/>
      <c r="O386" s="120"/>
      <c r="P386" s="128" t="s">
        <v>115</v>
      </c>
      <c r="Q386" s="128"/>
      <c r="R386" s="128"/>
    </row>
    <row r="387" spans="2:18" ht="43.2">
      <c r="B387">
        <v>13</v>
      </c>
      <c r="C387" s="40" t="s">
        <v>61</v>
      </c>
      <c r="D387" s="41" t="s">
        <v>116</v>
      </c>
      <c r="E387" s="41" t="s">
        <v>77</v>
      </c>
      <c r="F387" s="41" t="s">
        <v>78</v>
      </c>
      <c r="G387" s="42" t="s">
        <v>116</v>
      </c>
      <c r="H387" s="42" t="s">
        <v>77</v>
      </c>
      <c r="I387" s="42" t="s">
        <v>78</v>
      </c>
      <c r="J387" s="43" t="s">
        <v>116</v>
      </c>
      <c r="K387" s="43" t="s">
        <v>77</v>
      </c>
      <c r="L387" s="43" t="s">
        <v>78</v>
      </c>
      <c r="M387" s="44" t="s">
        <v>116</v>
      </c>
      <c r="N387" s="44" t="s">
        <v>77</v>
      </c>
      <c r="O387" s="44" t="s">
        <v>78</v>
      </c>
      <c r="P387" s="66" t="s">
        <v>116</v>
      </c>
      <c r="Q387" s="66" t="s">
        <v>77</v>
      </c>
      <c r="R387" s="66" t="s">
        <v>78</v>
      </c>
    </row>
    <row r="388" spans="2:18">
      <c r="B388">
        <v>31</v>
      </c>
      <c r="C388" s="95" t="s">
        <v>109</v>
      </c>
      <c r="D388" s="89">
        <v>-26.803000000000001</v>
      </c>
      <c r="E388" s="89">
        <v>74.501999999999995</v>
      </c>
      <c r="F388" s="88">
        <f t="shared" ref="F388:F421" si="36">E388-D388</f>
        <v>101.30499999999999</v>
      </c>
      <c r="G388" s="89">
        <v>-57.829000000000001</v>
      </c>
      <c r="H388" s="89">
        <v>31.44</v>
      </c>
      <c r="I388" s="88">
        <f t="shared" ref="I388:I421" si="37">H388-G388</f>
        <v>89.269000000000005</v>
      </c>
      <c r="J388" s="89">
        <v>-16.04</v>
      </c>
      <c r="K388" s="89">
        <v>7.1870000000000003</v>
      </c>
      <c r="L388" s="88">
        <f t="shared" ref="L388:L421" si="38">K388-J388</f>
        <v>23.227</v>
      </c>
      <c r="M388" s="89">
        <v>10.231</v>
      </c>
      <c r="N388" s="89">
        <v>35.994999999999997</v>
      </c>
      <c r="O388" s="88">
        <f t="shared" ref="O388:O421" si="39">N388-M388</f>
        <v>25.763999999999996</v>
      </c>
      <c r="P388" s="61">
        <v>0</v>
      </c>
      <c r="Q388" s="61">
        <v>0</v>
      </c>
      <c r="R388" s="1"/>
    </row>
    <row r="389" spans="2:18">
      <c r="B389">
        <v>2</v>
      </c>
      <c r="C389" s="95" t="s">
        <v>80</v>
      </c>
      <c r="D389" s="89">
        <v>87.561000000000007</v>
      </c>
      <c r="E389" s="89">
        <v>97.475999999999999</v>
      </c>
      <c r="F389" s="88">
        <f t="shared" si="36"/>
        <v>9.914999999999992</v>
      </c>
      <c r="G389" s="89">
        <v>184.11199999999999</v>
      </c>
      <c r="H389" s="89">
        <v>219.66300000000001</v>
      </c>
      <c r="I389" s="88">
        <f t="shared" si="37"/>
        <v>35.551000000000016</v>
      </c>
      <c r="J389" s="89">
        <v>70.695999999999998</v>
      </c>
      <c r="K389" s="89">
        <v>70.471999999999994</v>
      </c>
      <c r="L389" s="69">
        <f t="shared" si="38"/>
        <v>-0.22400000000000375</v>
      </c>
      <c r="M389" s="89">
        <v>37.619</v>
      </c>
      <c r="N389" s="89">
        <v>58.881</v>
      </c>
      <c r="O389" s="88">
        <f t="shared" si="39"/>
        <v>21.262</v>
      </c>
      <c r="P389" s="61">
        <v>0</v>
      </c>
      <c r="Q389" s="61">
        <v>0</v>
      </c>
      <c r="R389" s="1"/>
    </row>
    <row r="390" spans="2:18">
      <c r="B390">
        <v>14</v>
      </c>
      <c r="C390" s="95" t="s">
        <v>92</v>
      </c>
      <c r="D390" s="89">
        <v>-5.4690000000000003</v>
      </c>
      <c r="E390" s="89">
        <v>19.228000000000002</v>
      </c>
      <c r="F390" s="88">
        <f t="shared" si="36"/>
        <v>24.697000000000003</v>
      </c>
      <c r="G390" s="89">
        <v>50.31</v>
      </c>
      <c r="H390" s="89">
        <v>14.223000000000001</v>
      </c>
      <c r="I390" s="69">
        <f t="shared" si="37"/>
        <v>-36.087000000000003</v>
      </c>
      <c r="J390" s="89">
        <v>-5.1479999999999997</v>
      </c>
      <c r="K390" s="89">
        <v>0</v>
      </c>
      <c r="L390" s="88">
        <f t="shared" si="38"/>
        <v>5.1479999999999997</v>
      </c>
      <c r="M390" s="89">
        <v>56.798999999999999</v>
      </c>
      <c r="N390" s="89">
        <v>56.798999999999999</v>
      </c>
      <c r="O390" s="85">
        <f t="shared" si="39"/>
        <v>0</v>
      </c>
      <c r="P390" s="61">
        <v>0</v>
      </c>
      <c r="Q390" s="61">
        <v>0</v>
      </c>
      <c r="R390" s="1"/>
    </row>
    <row r="391" spans="2:18">
      <c r="B391">
        <v>19</v>
      </c>
      <c r="C391" s="95" t="s">
        <v>97</v>
      </c>
      <c r="D391" s="89">
        <v>18.544</v>
      </c>
      <c r="E391" s="89">
        <v>19.946999999999996</v>
      </c>
      <c r="F391" s="88">
        <f t="shared" si="36"/>
        <v>1.4029999999999951</v>
      </c>
      <c r="G391" s="89">
        <v>170.46799999999999</v>
      </c>
      <c r="H391" s="89">
        <v>130.65799999999999</v>
      </c>
      <c r="I391" s="69">
        <f t="shared" si="37"/>
        <v>-39.81</v>
      </c>
      <c r="J391" s="89">
        <v>-11.189</v>
      </c>
      <c r="K391" s="89">
        <v>0</v>
      </c>
      <c r="L391" s="88">
        <f t="shared" si="38"/>
        <v>11.189</v>
      </c>
      <c r="M391" s="89">
        <v>10.6</v>
      </c>
      <c r="N391" s="89">
        <v>15.26</v>
      </c>
      <c r="O391" s="88">
        <f t="shared" si="39"/>
        <v>4.66</v>
      </c>
      <c r="P391" s="61">
        <v>0</v>
      </c>
      <c r="Q391" s="61">
        <v>0</v>
      </c>
      <c r="R391" s="1"/>
    </row>
    <row r="392" spans="2:18">
      <c r="B392">
        <v>7</v>
      </c>
      <c r="C392" s="95" t="s">
        <v>85</v>
      </c>
      <c r="D392" s="89">
        <v>65.963999999999999</v>
      </c>
      <c r="E392" s="89">
        <v>98.911999999999992</v>
      </c>
      <c r="F392" s="88">
        <f t="shared" si="36"/>
        <v>32.947999999999993</v>
      </c>
      <c r="G392" s="89">
        <v>0.77600000000000002</v>
      </c>
      <c r="H392" s="89">
        <v>88.344000000000165</v>
      </c>
      <c r="I392" s="88">
        <f t="shared" si="37"/>
        <v>87.568000000000168</v>
      </c>
      <c r="J392" s="89">
        <v>20.41</v>
      </c>
      <c r="K392" s="89">
        <v>22.234999999999999</v>
      </c>
      <c r="L392" s="88">
        <f t="shared" si="38"/>
        <v>1.8249999999999993</v>
      </c>
      <c r="M392" s="89">
        <v>48.71</v>
      </c>
      <c r="N392" s="89">
        <v>52.619000000000007</v>
      </c>
      <c r="O392" s="88">
        <f t="shared" si="39"/>
        <v>3.909000000000006</v>
      </c>
      <c r="P392" s="61">
        <v>0</v>
      </c>
      <c r="Q392" s="61">
        <v>0</v>
      </c>
      <c r="R392" s="1"/>
    </row>
    <row r="393" spans="2:18">
      <c r="B393">
        <v>20</v>
      </c>
      <c r="C393" s="59" t="s">
        <v>98</v>
      </c>
      <c r="D393" s="89">
        <v>35.140999999999998</v>
      </c>
      <c r="E393" s="89">
        <v>35.140999999999998</v>
      </c>
      <c r="F393" s="85">
        <f t="shared" si="36"/>
        <v>0</v>
      </c>
      <c r="G393" s="89">
        <v>4.58</v>
      </c>
      <c r="H393" s="89">
        <v>6.48</v>
      </c>
      <c r="I393" s="88">
        <f t="shared" si="37"/>
        <v>1.9000000000000004</v>
      </c>
      <c r="J393" s="89">
        <v>31.341000000000001</v>
      </c>
      <c r="K393" s="89">
        <v>31.341000000000001</v>
      </c>
      <c r="L393" s="85">
        <f t="shared" si="38"/>
        <v>0</v>
      </c>
      <c r="M393" s="89">
        <v>11.877000000000001</v>
      </c>
      <c r="N393" s="89">
        <v>14.324999999999999</v>
      </c>
      <c r="O393" s="88">
        <f t="shared" si="39"/>
        <v>2.4479999999999986</v>
      </c>
      <c r="P393" s="61">
        <v>0</v>
      </c>
      <c r="Q393" s="61">
        <v>0</v>
      </c>
      <c r="R393" s="1"/>
    </row>
    <row r="394" spans="2:18">
      <c r="B394">
        <v>5</v>
      </c>
      <c r="C394" s="59" t="s">
        <v>83</v>
      </c>
      <c r="D394" s="89">
        <v>15.246</v>
      </c>
      <c r="E394" s="89">
        <v>15.246</v>
      </c>
      <c r="F394" s="85">
        <f t="shared" si="36"/>
        <v>0</v>
      </c>
      <c r="G394" s="89">
        <v>127.348</v>
      </c>
      <c r="H394" s="89">
        <v>128.13800000000001</v>
      </c>
      <c r="I394" s="88">
        <f t="shared" si="37"/>
        <v>0.79000000000000625</v>
      </c>
      <c r="J394" s="89">
        <v>9.2140000000000004</v>
      </c>
      <c r="K394" s="89">
        <v>9.2140000000000004</v>
      </c>
      <c r="L394" s="85">
        <f t="shared" si="38"/>
        <v>0</v>
      </c>
      <c r="M394" s="89">
        <v>40</v>
      </c>
      <c r="N394" s="89">
        <v>40</v>
      </c>
      <c r="O394" s="85">
        <f t="shared" si="39"/>
        <v>0</v>
      </c>
      <c r="P394" s="61">
        <v>0</v>
      </c>
      <c r="Q394" s="61">
        <v>0</v>
      </c>
      <c r="R394" s="1"/>
    </row>
    <row r="395" spans="2:18">
      <c r="B395">
        <v>27</v>
      </c>
      <c r="C395" s="95" t="s">
        <v>105</v>
      </c>
      <c r="D395" s="89">
        <v>17.526</v>
      </c>
      <c r="E395" s="89">
        <v>17.321000000000002</v>
      </c>
      <c r="F395" s="69">
        <f t="shared" si="36"/>
        <v>-0.20499999999999829</v>
      </c>
      <c r="G395" s="89">
        <v>58.548999999999999</v>
      </c>
      <c r="H395" s="89">
        <v>60.210999999999999</v>
      </c>
      <c r="I395" s="88">
        <f t="shared" si="37"/>
        <v>1.661999999999999</v>
      </c>
      <c r="J395" s="89">
        <v>74.078999999999994</v>
      </c>
      <c r="K395" s="89">
        <v>72.882000000000005</v>
      </c>
      <c r="L395" s="69">
        <f t="shared" si="38"/>
        <v>-1.1969999999999885</v>
      </c>
      <c r="M395" s="89">
        <v>13.885</v>
      </c>
      <c r="N395" s="89">
        <v>15.739000000000001</v>
      </c>
      <c r="O395" s="88">
        <f t="shared" si="39"/>
        <v>1.854000000000001</v>
      </c>
      <c r="P395" s="61">
        <v>0</v>
      </c>
      <c r="Q395" s="61">
        <v>0</v>
      </c>
      <c r="R395" s="1"/>
    </row>
    <row r="396" spans="2:18">
      <c r="B396">
        <v>32</v>
      </c>
      <c r="C396" s="95" t="s">
        <v>110</v>
      </c>
      <c r="D396" s="89">
        <v>-12.936</v>
      </c>
      <c r="E396" s="89">
        <v>0</v>
      </c>
      <c r="F396" s="88">
        <f t="shared" si="36"/>
        <v>12.936</v>
      </c>
      <c r="G396" s="89">
        <v>-15.03</v>
      </c>
      <c r="H396" s="89">
        <v>9.1850000000000005</v>
      </c>
      <c r="I396" s="88">
        <f t="shared" si="37"/>
        <v>24.215</v>
      </c>
      <c r="J396" s="89">
        <v>43.594999999999999</v>
      </c>
      <c r="K396" s="89">
        <v>43.594999999999999</v>
      </c>
      <c r="L396" s="85">
        <f t="shared" si="38"/>
        <v>0</v>
      </c>
      <c r="M396" s="89">
        <v>-1.0049999999999999</v>
      </c>
      <c r="N396" s="89">
        <v>0</v>
      </c>
      <c r="O396" s="88">
        <f t="shared" si="39"/>
        <v>1.0049999999999999</v>
      </c>
      <c r="P396" s="61">
        <v>0</v>
      </c>
      <c r="Q396" s="61">
        <v>0</v>
      </c>
      <c r="R396" s="1"/>
    </row>
    <row r="397" spans="2:18">
      <c r="B397">
        <v>6</v>
      </c>
      <c r="C397" s="59" t="s">
        <v>84</v>
      </c>
      <c r="D397" s="89">
        <v>45.085999999999999</v>
      </c>
      <c r="E397" s="89">
        <v>45.09</v>
      </c>
      <c r="F397" s="85">
        <f t="shared" si="36"/>
        <v>4.0000000000048885E-3</v>
      </c>
      <c r="G397" s="89">
        <v>75.361999999999995</v>
      </c>
      <c r="H397" s="89">
        <v>75.36</v>
      </c>
      <c r="I397" s="85">
        <f t="shared" si="37"/>
        <v>-1.9999999999953388E-3</v>
      </c>
      <c r="J397" s="89">
        <v>134.767</v>
      </c>
      <c r="K397" s="89">
        <v>134.86799999999999</v>
      </c>
      <c r="L397" s="88">
        <f t="shared" si="38"/>
        <v>0.10099999999999909</v>
      </c>
      <c r="M397" s="89">
        <v>26.474</v>
      </c>
      <c r="N397" s="89">
        <v>26.47</v>
      </c>
      <c r="O397" s="85">
        <f t="shared" si="39"/>
        <v>-4.0000000000013358E-3</v>
      </c>
      <c r="P397" s="61">
        <v>0</v>
      </c>
      <c r="Q397" s="61">
        <v>0</v>
      </c>
      <c r="R397" s="1"/>
    </row>
    <row r="398" spans="2:18">
      <c r="B398">
        <v>28</v>
      </c>
      <c r="C398" s="95" t="s">
        <v>106</v>
      </c>
      <c r="D398" s="89">
        <v>72.564999999999998</v>
      </c>
      <c r="E398" s="89">
        <v>72.581999999999994</v>
      </c>
      <c r="F398" s="88">
        <f t="shared" si="36"/>
        <v>1.6999999999995907E-2</v>
      </c>
      <c r="G398" s="89">
        <v>55.369</v>
      </c>
      <c r="H398" s="89">
        <v>55.37</v>
      </c>
      <c r="I398" s="85">
        <f t="shared" si="37"/>
        <v>9.9999999999766942E-4</v>
      </c>
      <c r="J398" s="89">
        <v>14.157</v>
      </c>
      <c r="K398" s="89">
        <v>14.164</v>
      </c>
      <c r="L398" s="88">
        <f t="shared" si="38"/>
        <v>6.9999999999996732E-3</v>
      </c>
      <c r="M398" s="89">
        <v>27.696999999999999</v>
      </c>
      <c r="N398" s="89">
        <v>27.692</v>
      </c>
      <c r="O398" s="85">
        <f t="shared" si="39"/>
        <v>-4.9999999999990052E-3</v>
      </c>
      <c r="P398" s="61">
        <v>0</v>
      </c>
      <c r="Q398" s="61">
        <v>0</v>
      </c>
      <c r="R398" s="1"/>
    </row>
    <row r="399" spans="2:18">
      <c r="B399">
        <v>8</v>
      </c>
      <c r="C399" s="59" t="s">
        <v>86</v>
      </c>
      <c r="D399" s="89">
        <v>62.902999999999999</v>
      </c>
      <c r="E399" s="89">
        <v>62.905000000000001</v>
      </c>
      <c r="F399" s="85">
        <f t="shared" si="36"/>
        <v>2.0000000000024443E-3</v>
      </c>
      <c r="G399" s="89">
        <v>29.716000000000001</v>
      </c>
      <c r="H399" s="89">
        <v>11.611999999999995</v>
      </c>
      <c r="I399" s="69">
        <f t="shared" si="37"/>
        <v>-18.104000000000006</v>
      </c>
      <c r="J399" s="89">
        <v>2</v>
      </c>
      <c r="K399" s="89">
        <v>0</v>
      </c>
      <c r="L399" s="69">
        <f t="shared" si="38"/>
        <v>-2</v>
      </c>
      <c r="M399" s="89">
        <v>4.7E-2</v>
      </c>
      <c r="N399" s="89">
        <v>0.70200000000000018</v>
      </c>
      <c r="O399" s="88">
        <f t="shared" si="39"/>
        <v>0.65500000000000014</v>
      </c>
      <c r="P399" s="61">
        <v>0</v>
      </c>
      <c r="Q399" s="61">
        <v>0</v>
      </c>
      <c r="R399" s="1"/>
    </row>
    <row r="400" spans="2:18">
      <c r="B400">
        <v>34</v>
      </c>
      <c r="C400" s="59" t="s">
        <v>112</v>
      </c>
      <c r="D400" s="89">
        <v>20.361999999999998</v>
      </c>
      <c r="E400" s="89">
        <v>20.362999999999996</v>
      </c>
      <c r="F400" s="85">
        <f t="shared" si="36"/>
        <v>9.9999999999766942E-4</v>
      </c>
      <c r="G400" s="89">
        <v>16.492000000000001</v>
      </c>
      <c r="H400" s="89">
        <v>16.453000000000003</v>
      </c>
      <c r="I400" s="69">
        <f t="shared" si="37"/>
        <v>-3.8999999999997925E-2</v>
      </c>
      <c r="J400" s="89">
        <v>4.3920000000000003</v>
      </c>
      <c r="K400" s="89">
        <v>4.3919999999999995</v>
      </c>
      <c r="L400" s="85">
        <f t="shared" si="38"/>
        <v>0</v>
      </c>
      <c r="M400" s="89">
        <v>4.0730000000000004</v>
      </c>
      <c r="N400" s="89">
        <v>4.0690000000000008</v>
      </c>
      <c r="O400" s="85">
        <f t="shared" si="39"/>
        <v>-3.9999999999995595E-3</v>
      </c>
      <c r="P400" s="61">
        <v>0</v>
      </c>
      <c r="Q400" s="61">
        <v>0</v>
      </c>
      <c r="R400" s="1"/>
    </row>
    <row r="401" spans="2:18">
      <c r="B401">
        <v>16</v>
      </c>
      <c r="C401" s="59" t="s">
        <v>94</v>
      </c>
      <c r="D401" s="89">
        <v>5.63</v>
      </c>
      <c r="E401" s="89">
        <v>5.6300000000000168</v>
      </c>
      <c r="F401" s="85">
        <f t="shared" si="36"/>
        <v>1.6875389974302379E-14</v>
      </c>
      <c r="G401" s="89">
        <v>218.49799999999999</v>
      </c>
      <c r="H401" s="89">
        <v>218.49799999999988</v>
      </c>
      <c r="I401" s="85">
        <f t="shared" si="37"/>
        <v>0</v>
      </c>
      <c r="J401" s="89">
        <v>0</v>
      </c>
      <c r="K401" s="89">
        <v>3.9482306313232129E-15</v>
      </c>
      <c r="L401" s="85">
        <f t="shared" si="38"/>
        <v>3.9482306313232129E-15</v>
      </c>
      <c r="M401" s="89">
        <v>38.25</v>
      </c>
      <c r="N401" s="89">
        <v>38.250000000000028</v>
      </c>
      <c r="O401" s="85">
        <f t="shared" si="39"/>
        <v>0</v>
      </c>
      <c r="P401" s="61">
        <v>0</v>
      </c>
      <c r="Q401" s="61">
        <v>0</v>
      </c>
      <c r="R401" s="1"/>
    </row>
    <row r="402" spans="2:18">
      <c r="B402">
        <v>9</v>
      </c>
      <c r="C402" s="95" t="s">
        <v>87</v>
      </c>
      <c r="D402" s="89">
        <v>3.9550000000000001</v>
      </c>
      <c r="E402" s="89">
        <v>3.9670000000000001</v>
      </c>
      <c r="F402" s="88">
        <f t="shared" si="36"/>
        <v>1.2000000000000011E-2</v>
      </c>
      <c r="G402" s="89">
        <v>30.219000000000001</v>
      </c>
      <c r="H402" s="89">
        <v>30.225999999999999</v>
      </c>
      <c r="I402" s="88">
        <f t="shared" si="37"/>
        <v>6.9999999999978968E-3</v>
      </c>
      <c r="J402" s="89">
        <v>36.008000000000003</v>
      </c>
      <c r="K402" s="89">
        <v>36.008000000000003</v>
      </c>
      <c r="L402" s="85">
        <f t="shared" si="38"/>
        <v>0</v>
      </c>
      <c r="M402" s="89">
        <v>11.614000000000001</v>
      </c>
      <c r="N402" s="89">
        <v>12.135999999999999</v>
      </c>
      <c r="O402" s="88">
        <f t="shared" si="39"/>
        <v>0.52199999999999847</v>
      </c>
      <c r="P402" s="61">
        <v>0</v>
      </c>
      <c r="Q402" s="61">
        <v>0</v>
      </c>
      <c r="R402" s="1"/>
    </row>
    <row r="403" spans="2:18">
      <c r="B403">
        <v>24</v>
      </c>
      <c r="C403" s="65" t="s">
        <v>102</v>
      </c>
      <c r="D403" s="89">
        <v>21.722999999999999</v>
      </c>
      <c r="E403" s="89">
        <v>21.722999999999978</v>
      </c>
      <c r="F403" s="85">
        <f t="shared" si="36"/>
        <v>0</v>
      </c>
      <c r="G403" s="89">
        <v>2.823</v>
      </c>
      <c r="H403" s="89">
        <v>2.8229999999999862</v>
      </c>
      <c r="I403" s="85">
        <f t="shared" si="37"/>
        <v>-1.3766765505351941E-14</v>
      </c>
      <c r="J403" s="89">
        <v>5.3109999999999999</v>
      </c>
      <c r="K403" s="89">
        <v>5.3109999999999982</v>
      </c>
      <c r="L403" s="85">
        <f t="shared" si="38"/>
        <v>0</v>
      </c>
      <c r="M403" s="89">
        <v>16.504000000000001</v>
      </c>
      <c r="N403" s="89">
        <v>16.503999999999998</v>
      </c>
      <c r="O403" s="85">
        <f t="shared" si="39"/>
        <v>0</v>
      </c>
      <c r="P403" s="61">
        <v>0</v>
      </c>
      <c r="Q403" s="61">
        <v>0</v>
      </c>
      <c r="R403" s="1"/>
    </row>
    <row r="404" spans="2:18">
      <c r="B404">
        <v>3</v>
      </c>
      <c r="C404" s="59" t="s">
        <v>81</v>
      </c>
      <c r="D404" s="89">
        <v>16.033999999999999</v>
      </c>
      <c r="E404" s="89">
        <v>16.033999999999999</v>
      </c>
      <c r="F404" s="85">
        <f t="shared" si="36"/>
        <v>0</v>
      </c>
      <c r="G404" s="89">
        <v>51.923000000000002</v>
      </c>
      <c r="H404" s="89">
        <v>51.923000000000002</v>
      </c>
      <c r="I404" s="86">
        <f t="shared" si="37"/>
        <v>0</v>
      </c>
      <c r="J404" s="89">
        <v>24.898</v>
      </c>
      <c r="K404" s="89">
        <v>24.898</v>
      </c>
      <c r="L404" s="86">
        <f t="shared" si="38"/>
        <v>0</v>
      </c>
      <c r="M404" s="89">
        <v>2.5249999999999999</v>
      </c>
      <c r="N404" s="89">
        <v>2.5249999999999999</v>
      </c>
      <c r="O404" s="85">
        <f t="shared" si="39"/>
        <v>0</v>
      </c>
      <c r="P404" s="61">
        <v>0</v>
      </c>
      <c r="Q404" s="61">
        <v>0</v>
      </c>
      <c r="R404" s="1"/>
    </row>
    <row r="405" spans="2:18">
      <c r="B405">
        <v>4</v>
      </c>
      <c r="C405" s="59" t="s">
        <v>82</v>
      </c>
      <c r="D405" s="89">
        <v>6.415</v>
      </c>
      <c r="E405" s="89">
        <v>6.415</v>
      </c>
      <c r="F405" s="85">
        <f t="shared" si="36"/>
        <v>0</v>
      </c>
      <c r="G405" s="89">
        <v>87.04</v>
      </c>
      <c r="H405" s="89">
        <v>87.04</v>
      </c>
      <c r="I405" s="85">
        <f t="shared" si="37"/>
        <v>0</v>
      </c>
      <c r="J405" s="89">
        <v>0</v>
      </c>
      <c r="K405" s="89">
        <v>0</v>
      </c>
      <c r="L405" s="85">
        <f t="shared" si="38"/>
        <v>0</v>
      </c>
      <c r="M405" s="89">
        <v>79.239999999999995</v>
      </c>
      <c r="N405" s="89">
        <v>79.239999999999995</v>
      </c>
      <c r="O405" s="85">
        <f t="shared" si="39"/>
        <v>0</v>
      </c>
      <c r="P405" s="61">
        <v>0</v>
      </c>
      <c r="Q405" s="61">
        <v>0</v>
      </c>
      <c r="R405" s="1"/>
    </row>
    <row r="406" spans="2:18">
      <c r="B406">
        <v>11</v>
      </c>
      <c r="C406" s="59" t="s">
        <v>89</v>
      </c>
      <c r="D406" s="89">
        <v>145.964</v>
      </c>
      <c r="E406" s="89">
        <v>145.964</v>
      </c>
      <c r="F406" s="86">
        <f t="shared" si="36"/>
        <v>0</v>
      </c>
      <c r="G406" s="89">
        <v>70.378</v>
      </c>
      <c r="H406" s="89">
        <v>70.378</v>
      </c>
      <c r="I406" s="86">
        <f t="shared" si="37"/>
        <v>0</v>
      </c>
      <c r="J406" s="89">
        <v>0</v>
      </c>
      <c r="K406" s="89">
        <v>0</v>
      </c>
      <c r="L406" s="85">
        <f t="shared" si="38"/>
        <v>0</v>
      </c>
      <c r="M406" s="89">
        <v>76.337999999999994</v>
      </c>
      <c r="N406" s="89">
        <v>76.337999999999994</v>
      </c>
      <c r="O406" s="85">
        <f t="shared" si="39"/>
        <v>0</v>
      </c>
      <c r="P406" s="61">
        <v>0</v>
      </c>
      <c r="Q406" s="61">
        <v>0</v>
      </c>
      <c r="R406" s="1"/>
    </row>
    <row r="407" spans="2:18">
      <c r="B407">
        <v>12</v>
      </c>
      <c r="C407" s="59" t="s">
        <v>90</v>
      </c>
      <c r="D407" s="89">
        <v>0</v>
      </c>
      <c r="E407" s="89">
        <v>0</v>
      </c>
      <c r="F407" s="85">
        <f t="shared" si="36"/>
        <v>0</v>
      </c>
      <c r="G407" s="89">
        <v>67.543999999999997</v>
      </c>
      <c r="H407" s="89">
        <v>67.544000000000011</v>
      </c>
      <c r="I407" s="85">
        <f t="shared" si="37"/>
        <v>0</v>
      </c>
      <c r="J407" s="89">
        <v>0</v>
      </c>
      <c r="K407" s="89">
        <v>0</v>
      </c>
      <c r="L407" s="85">
        <f t="shared" si="38"/>
        <v>0</v>
      </c>
      <c r="M407" s="89">
        <v>23.213999999999999</v>
      </c>
      <c r="N407" s="89">
        <v>23.213999999999999</v>
      </c>
      <c r="O407" s="85">
        <f t="shared" si="39"/>
        <v>0</v>
      </c>
      <c r="P407" s="61">
        <v>0</v>
      </c>
      <c r="Q407" s="61">
        <v>0</v>
      </c>
      <c r="R407" s="1"/>
    </row>
    <row r="408" spans="2:18">
      <c r="B408">
        <v>13</v>
      </c>
      <c r="C408" s="59" t="s">
        <v>91</v>
      </c>
      <c r="D408" s="89">
        <v>19.71</v>
      </c>
      <c r="E408" s="89">
        <v>19.71</v>
      </c>
      <c r="F408" s="85">
        <f t="shared" si="36"/>
        <v>0</v>
      </c>
      <c r="G408" s="89">
        <v>84.102000000000004</v>
      </c>
      <c r="H408" s="89">
        <v>84.10199999999999</v>
      </c>
      <c r="I408" s="85">
        <f t="shared" si="37"/>
        <v>0</v>
      </c>
      <c r="J408" s="89">
        <v>17.134</v>
      </c>
      <c r="K408" s="89">
        <v>17.134</v>
      </c>
      <c r="L408" s="85">
        <f t="shared" si="38"/>
        <v>0</v>
      </c>
      <c r="M408" s="89">
        <v>40.465000000000003</v>
      </c>
      <c r="N408" s="89">
        <v>40.465000000000003</v>
      </c>
      <c r="O408" s="85">
        <f t="shared" si="39"/>
        <v>0</v>
      </c>
      <c r="P408" s="61">
        <v>0</v>
      </c>
      <c r="Q408" s="61">
        <v>0</v>
      </c>
      <c r="R408" s="1"/>
    </row>
    <row r="409" spans="2:18">
      <c r="B409">
        <v>15</v>
      </c>
      <c r="C409" s="59" t="s">
        <v>93</v>
      </c>
      <c r="D409" s="89">
        <v>8.8740000000000006</v>
      </c>
      <c r="E409" s="89">
        <v>8.8740000000000006</v>
      </c>
      <c r="F409" s="85">
        <f t="shared" si="36"/>
        <v>0</v>
      </c>
      <c r="G409" s="89">
        <v>22.968</v>
      </c>
      <c r="H409" s="89">
        <v>22.968</v>
      </c>
      <c r="I409" s="85">
        <f t="shared" si="37"/>
        <v>0</v>
      </c>
      <c r="J409" s="89">
        <v>0</v>
      </c>
      <c r="K409" s="89">
        <v>0</v>
      </c>
      <c r="L409" s="85">
        <f t="shared" si="38"/>
        <v>0</v>
      </c>
      <c r="M409" s="89">
        <v>19.456</v>
      </c>
      <c r="N409" s="89">
        <v>19.456</v>
      </c>
      <c r="O409" s="85">
        <f t="shared" si="39"/>
        <v>0</v>
      </c>
      <c r="P409" s="61">
        <v>0</v>
      </c>
      <c r="Q409" s="61">
        <v>0</v>
      </c>
      <c r="R409" s="1"/>
    </row>
    <row r="410" spans="2:18">
      <c r="B410">
        <v>17</v>
      </c>
      <c r="C410" s="59" t="s">
        <v>95</v>
      </c>
      <c r="D410" s="89">
        <v>48.774999999999999</v>
      </c>
      <c r="E410" s="89">
        <v>48.774999999999999</v>
      </c>
      <c r="F410" s="85">
        <f t="shared" si="36"/>
        <v>0</v>
      </c>
      <c r="G410" s="89">
        <v>102.64700000000001</v>
      </c>
      <c r="H410" s="89">
        <v>102.64700000000001</v>
      </c>
      <c r="I410" s="85">
        <f t="shared" si="37"/>
        <v>0</v>
      </c>
      <c r="J410" s="89">
        <v>48.055999999999997</v>
      </c>
      <c r="K410" s="89">
        <v>48.055999999999997</v>
      </c>
      <c r="L410" s="85">
        <f t="shared" si="38"/>
        <v>0</v>
      </c>
      <c r="M410" s="89">
        <v>18.655000000000001</v>
      </c>
      <c r="N410" s="89">
        <v>18.655000000000001</v>
      </c>
      <c r="O410" s="85">
        <f t="shared" si="39"/>
        <v>0</v>
      </c>
      <c r="P410" s="61">
        <v>0</v>
      </c>
      <c r="Q410" s="61">
        <v>0</v>
      </c>
      <c r="R410" s="1"/>
    </row>
    <row r="411" spans="2:18">
      <c r="B411">
        <v>18</v>
      </c>
      <c r="C411" s="59" t="s">
        <v>96</v>
      </c>
      <c r="D411" s="89">
        <v>13.797000000000001</v>
      </c>
      <c r="E411" s="89">
        <v>13.797000000000001</v>
      </c>
      <c r="F411" s="85">
        <f t="shared" si="36"/>
        <v>0</v>
      </c>
      <c r="G411" s="89">
        <v>32.296999999999997</v>
      </c>
      <c r="H411" s="89">
        <v>32.296999999999997</v>
      </c>
      <c r="I411" s="85">
        <f t="shared" si="37"/>
        <v>0</v>
      </c>
      <c r="J411" s="89">
        <v>32.369999999999997</v>
      </c>
      <c r="K411" s="89">
        <v>32.369999999999997</v>
      </c>
      <c r="L411" s="85">
        <f t="shared" si="38"/>
        <v>0</v>
      </c>
      <c r="M411" s="89">
        <v>5.3550000000000004</v>
      </c>
      <c r="N411" s="89">
        <v>5.3550000000000004</v>
      </c>
      <c r="O411" s="85">
        <f t="shared" si="39"/>
        <v>0</v>
      </c>
      <c r="P411" s="61">
        <v>0</v>
      </c>
      <c r="Q411" s="61">
        <v>0</v>
      </c>
      <c r="R411" s="1"/>
    </row>
    <row r="412" spans="2:18">
      <c r="B412">
        <v>22</v>
      </c>
      <c r="C412" s="59" t="s">
        <v>100</v>
      </c>
      <c r="D412" s="89">
        <v>9.2349999999999994</v>
      </c>
      <c r="E412" s="89">
        <v>9.2349999999999994</v>
      </c>
      <c r="F412" s="85">
        <f t="shared" si="36"/>
        <v>0</v>
      </c>
      <c r="G412" s="89">
        <v>87.24</v>
      </c>
      <c r="H412" s="89">
        <v>87.24</v>
      </c>
      <c r="I412" s="85">
        <f t="shared" si="37"/>
        <v>0</v>
      </c>
      <c r="J412" s="89">
        <v>6.8550000000000004</v>
      </c>
      <c r="K412" s="89">
        <v>6.8550000000000004</v>
      </c>
      <c r="L412" s="85">
        <f t="shared" si="38"/>
        <v>0</v>
      </c>
      <c r="M412" s="89">
        <v>5.24</v>
      </c>
      <c r="N412" s="89">
        <v>5.24</v>
      </c>
      <c r="O412" s="85">
        <f t="shared" si="39"/>
        <v>0</v>
      </c>
      <c r="P412" s="61">
        <v>0</v>
      </c>
      <c r="Q412" s="61">
        <v>0</v>
      </c>
      <c r="R412" s="1"/>
    </row>
    <row r="413" spans="2:18">
      <c r="B413">
        <v>25</v>
      </c>
      <c r="C413" s="59" t="s">
        <v>103</v>
      </c>
      <c r="D413" s="89">
        <v>4.1479999999999997</v>
      </c>
      <c r="E413" s="89">
        <v>4.1479999999999997</v>
      </c>
      <c r="F413" s="85">
        <f t="shared" si="36"/>
        <v>0</v>
      </c>
      <c r="G413" s="89">
        <v>124.38200000000001</v>
      </c>
      <c r="H413" s="89">
        <v>124.38200000000001</v>
      </c>
      <c r="I413" s="85">
        <f t="shared" si="37"/>
        <v>0</v>
      </c>
      <c r="J413" s="89">
        <v>26.114000000000001</v>
      </c>
      <c r="K413" s="89">
        <v>26.114000000000001</v>
      </c>
      <c r="L413" s="85">
        <f t="shared" si="38"/>
        <v>0</v>
      </c>
      <c r="M413" s="89">
        <v>4.9939999999999998</v>
      </c>
      <c r="N413" s="89">
        <v>4.9939999999999998</v>
      </c>
      <c r="O413" s="85">
        <f t="shared" si="39"/>
        <v>0</v>
      </c>
      <c r="P413" s="61">
        <v>0</v>
      </c>
      <c r="Q413" s="61">
        <v>0</v>
      </c>
      <c r="R413" s="1"/>
    </row>
    <row r="414" spans="2:18">
      <c r="B414">
        <v>33</v>
      </c>
      <c r="C414" s="59" t="s">
        <v>111</v>
      </c>
      <c r="D414" s="89">
        <v>19.158999999999999</v>
      </c>
      <c r="E414" s="89">
        <v>19.158999999999999</v>
      </c>
      <c r="F414" s="85">
        <f t="shared" si="36"/>
        <v>0</v>
      </c>
      <c r="G414" s="89">
        <v>18.427</v>
      </c>
      <c r="H414" s="89">
        <v>18.427</v>
      </c>
      <c r="I414" s="85">
        <f t="shared" si="37"/>
        <v>0</v>
      </c>
      <c r="J414" s="89">
        <v>44.723999999999997</v>
      </c>
      <c r="K414" s="89">
        <v>44.723999999999997</v>
      </c>
      <c r="L414" s="85">
        <f t="shared" si="38"/>
        <v>0</v>
      </c>
      <c r="M414" s="89">
        <v>11.554</v>
      </c>
      <c r="N414" s="89">
        <v>11.554</v>
      </c>
      <c r="O414" s="85">
        <f t="shared" si="39"/>
        <v>0</v>
      </c>
      <c r="P414" s="61">
        <v>0</v>
      </c>
      <c r="Q414" s="61">
        <v>0</v>
      </c>
      <c r="R414" s="1"/>
    </row>
    <row r="415" spans="2:18">
      <c r="B415">
        <v>21</v>
      </c>
      <c r="C415" s="95" t="s">
        <v>99</v>
      </c>
      <c r="D415" s="89">
        <v>17.931999999999999</v>
      </c>
      <c r="E415" s="89">
        <v>18.255000000000003</v>
      </c>
      <c r="F415" s="88">
        <f t="shared" si="36"/>
        <v>0.32300000000000395</v>
      </c>
      <c r="G415" s="89">
        <v>94.474999999999994</v>
      </c>
      <c r="H415" s="89">
        <v>94.474999999999994</v>
      </c>
      <c r="I415" s="85">
        <f t="shared" si="37"/>
        <v>0</v>
      </c>
      <c r="J415" s="89">
        <v>6.4720000000000004</v>
      </c>
      <c r="K415" s="89">
        <v>6.7799999999999994</v>
      </c>
      <c r="L415" s="88">
        <f t="shared" si="38"/>
        <v>0.30799999999999894</v>
      </c>
      <c r="M415" s="89">
        <v>8.4629999999999992</v>
      </c>
      <c r="N415" s="89">
        <v>8.58</v>
      </c>
      <c r="O415" s="88">
        <f t="shared" si="39"/>
        <v>0.11700000000000088</v>
      </c>
      <c r="P415" s="61">
        <v>0</v>
      </c>
      <c r="Q415" s="61">
        <v>0</v>
      </c>
      <c r="R415" s="1"/>
    </row>
    <row r="416" spans="2:18">
      <c r="B416">
        <v>1</v>
      </c>
      <c r="C416" s="59" t="s">
        <v>79</v>
      </c>
      <c r="D416" s="89">
        <v>26.332999999999998</v>
      </c>
      <c r="E416" s="89">
        <v>26.332999999999998</v>
      </c>
      <c r="F416" s="85">
        <f t="shared" si="36"/>
        <v>0</v>
      </c>
      <c r="G416" s="89">
        <v>18.568000000000001</v>
      </c>
      <c r="H416" s="89">
        <v>18.569000000000003</v>
      </c>
      <c r="I416" s="85">
        <f t="shared" si="37"/>
        <v>1.0000000000012221E-3</v>
      </c>
      <c r="J416" s="89">
        <v>42.351999999999997</v>
      </c>
      <c r="K416" s="89">
        <v>42.35199999999999</v>
      </c>
      <c r="L416" s="85">
        <f t="shared" si="38"/>
        <v>0</v>
      </c>
      <c r="M416" s="89">
        <v>63.353999999999999</v>
      </c>
      <c r="N416" s="89">
        <v>63.359000000000009</v>
      </c>
      <c r="O416" s="88">
        <f t="shared" si="39"/>
        <v>5.0000000000096634E-3</v>
      </c>
      <c r="P416" s="61">
        <v>0</v>
      </c>
      <c r="Q416" s="61">
        <v>0</v>
      </c>
      <c r="R416" s="1"/>
    </row>
    <row r="417" spans="2:18">
      <c r="B417">
        <v>30</v>
      </c>
      <c r="C417" s="59" t="s">
        <v>108</v>
      </c>
      <c r="D417" s="89">
        <v>47.558</v>
      </c>
      <c r="E417" s="89">
        <v>47.558</v>
      </c>
      <c r="F417" s="85">
        <f t="shared" si="36"/>
        <v>0</v>
      </c>
      <c r="G417" s="89">
        <v>22.257999999999999</v>
      </c>
      <c r="H417" s="89">
        <v>22.257999999999999</v>
      </c>
      <c r="I417" s="85">
        <f t="shared" si="37"/>
        <v>0</v>
      </c>
      <c r="J417" s="89">
        <v>17.902000000000001</v>
      </c>
      <c r="K417" s="89">
        <v>17.712</v>
      </c>
      <c r="L417" s="69">
        <f t="shared" si="38"/>
        <v>-0.19000000000000128</v>
      </c>
      <c r="M417" s="89">
        <v>3.004</v>
      </c>
      <c r="N417" s="89">
        <v>3.004</v>
      </c>
      <c r="O417" s="85">
        <f t="shared" si="39"/>
        <v>0</v>
      </c>
      <c r="P417" s="61">
        <v>0</v>
      </c>
      <c r="Q417" s="61">
        <v>0</v>
      </c>
      <c r="R417" s="1"/>
    </row>
    <row r="418" spans="2:18">
      <c r="B418">
        <v>29</v>
      </c>
      <c r="C418" s="95" t="s">
        <v>107</v>
      </c>
      <c r="D418" s="89">
        <v>19.295000000000002</v>
      </c>
      <c r="E418" s="89">
        <v>22.305</v>
      </c>
      <c r="F418" s="88">
        <f t="shared" si="36"/>
        <v>3.009999999999998</v>
      </c>
      <c r="G418" s="89">
        <v>7.8250000000000002</v>
      </c>
      <c r="H418" s="89">
        <v>7.91</v>
      </c>
      <c r="I418" s="88">
        <f t="shared" si="37"/>
        <v>8.4999999999999964E-2</v>
      </c>
      <c r="J418" s="89">
        <v>10.029999999999999</v>
      </c>
      <c r="K418" s="89">
        <v>10.26</v>
      </c>
      <c r="L418" s="88">
        <f t="shared" si="38"/>
        <v>0.23000000000000043</v>
      </c>
      <c r="M418" s="89">
        <v>1.5249999999999999</v>
      </c>
      <c r="N418" s="89">
        <v>1.53</v>
      </c>
      <c r="O418" s="88">
        <f t="shared" si="39"/>
        <v>5.0000000000001155E-3</v>
      </c>
      <c r="P418" s="61">
        <v>0</v>
      </c>
      <c r="Q418" s="61">
        <v>0</v>
      </c>
      <c r="R418" s="1"/>
    </row>
    <row r="419" spans="2:18">
      <c r="B419">
        <v>10</v>
      </c>
      <c r="C419" s="95" t="s">
        <v>88</v>
      </c>
      <c r="D419" s="89">
        <v>19.594999999999999</v>
      </c>
      <c r="E419" s="89">
        <v>8.8580000000000005</v>
      </c>
      <c r="F419" s="69">
        <f t="shared" si="36"/>
        <v>-10.736999999999998</v>
      </c>
      <c r="G419" s="89">
        <v>89.518000000000001</v>
      </c>
      <c r="H419" s="89">
        <v>60.792000000000009</v>
      </c>
      <c r="I419" s="69">
        <f t="shared" si="37"/>
        <v>-28.725999999999992</v>
      </c>
      <c r="J419" s="89">
        <v>0</v>
      </c>
      <c r="K419" s="89">
        <v>0</v>
      </c>
      <c r="L419" s="85">
        <f t="shared" si="38"/>
        <v>0</v>
      </c>
      <c r="M419" s="89">
        <v>7.468</v>
      </c>
      <c r="N419" s="89">
        <v>7.468</v>
      </c>
      <c r="O419" s="85">
        <f t="shared" si="39"/>
        <v>0</v>
      </c>
      <c r="P419" s="61">
        <v>0</v>
      </c>
      <c r="Q419" s="61">
        <v>0</v>
      </c>
      <c r="R419" s="1"/>
    </row>
    <row r="420" spans="2:18">
      <c r="B420">
        <v>26</v>
      </c>
      <c r="C420" s="95" t="s">
        <v>104</v>
      </c>
      <c r="D420" s="89">
        <v>26.324999999999999</v>
      </c>
      <c r="E420" s="89">
        <v>26.088000000000001</v>
      </c>
      <c r="F420" s="69">
        <f t="shared" si="36"/>
        <v>-0.23699999999999832</v>
      </c>
      <c r="G420" s="89">
        <v>202.333</v>
      </c>
      <c r="H420" s="89">
        <v>200.22200000000001</v>
      </c>
      <c r="I420" s="69">
        <f t="shared" si="37"/>
        <v>-2.11099999999999</v>
      </c>
      <c r="J420" s="89">
        <v>0</v>
      </c>
      <c r="K420" s="89">
        <v>0</v>
      </c>
      <c r="L420" s="85">
        <f t="shared" si="38"/>
        <v>0</v>
      </c>
      <c r="M420" s="89">
        <v>65.313999999999993</v>
      </c>
      <c r="N420" s="89">
        <v>65.212999999999994</v>
      </c>
      <c r="O420" s="69">
        <f t="shared" si="39"/>
        <v>-0.10099999999999909</v>
      </c>
      <c r="P420" s="61">
        <v>0</v>
      </c>
      <c r="Q420" s="61">
        <v>0</v>
      </c>
      <c r="R420" s="1"/>
    </row>
    <row r="421" spans="2:18">
      <c r="B421">
        <v>23</v>
      </c>
      <c r="C421" s="95" t="s">
        <v>101</v>
      </c>
      <c r="D421" s="89">
        <v>28.204999999999998</v>
      </c>
      <c r="E421" s="89">
        <v>7.46</v>
      </c>
      <c r="F421" s="69">
        <f t="shared" si="36"/>
        <v>-20.744999999999997</v>
      </c>
      <c r="G421" s="89">
        <v>99.234999999999999</v>
      </c>
      <c r="H421" s="89">
        <v>74.209999999999994</v>
      </c>
      <c r="I421" s="69">
        <f t="shared" si="37"/>
        <v>-25.025000000000006</v>
      </c>
      <c r="J421" s="89">
        <v>62.914999999999999</v>
      </c>
      <c r="K421" s="89">
        <v>62.784999999999997</v>
      </c>
      <c r="L421" s="69">
        <f t="shared" si="38"/>
        <v>-0.13000000000000256</v>
      </c>
      <c r="M421" s="89">
        <v>20.175000000000001</v>
      </c>
      <c r="N421" s="89">
        <v>5.8449999999999998</v>
      </c>
      <c r="O421" s="69">
        <f t="shared" si="39"/>
        <v>-14.330000000000002</v>
      </c>
      <c r="P421" s="61">
        <v>0</v>
      </c>
      <c r="Q421" s="61">
        <v>0</v>
      </c>
      <c r="R421" s="1"/>
    </row>
    <row r="422" spans="2:18">
      <c r="D422" s="50">
        <v>52.45</v>
      </c>
      <c r="E422" s="50">
        <v>52.255000000000003</v>
      </c>
      <c r="G422" s="50">
        <v>10.805</v>
      </c>
      <c r="H422">
        <v>10.855</v>
      </c>
      <c r="J422">
        <v>1.2210000000000001</v>
      </c>
      <c r="K422">
        <v>1.2210000000000001</v>
      </c>
      <c r="M422">
        <v>26.213000000000001</v>
      </c>
      <c r="N422">
        <v>25.76</v>
      </c>
    </row>
    <row r="423" spans="2:18">
      <c r="D423" s="50">
        <v>956.80199999999979</v>
      </c>
      <c r="G423" s="50">
        <v>2245.7279999999996</v>
      </c>
      <c r="J423">
        <v>754.63600000000019</v>
      </c>
      <c r="M423">
        <v>835.92699999999979</v>
      </c>
    </row>
  </sheetData>
  <autoFilter ref="B387:R423" xr:uid="{D104C496-89E4-4732-B80D-77469D9F6720}"/>
  <mergeCells count="49">
    <mergeCell ref="D386:F386"/>
    <mergeCell ref="G386:I386"/>
    <mergeCell ref="J386:L386"/>
    <mergeCell ref="M386:O386"/>
    <mergeCell ref="P386:R386"/>
    <mergeCell ref="D302:F302"/>
    <mergeCell ref="G302:I302"/>
    <mergeCell ref="J302:L302"/>
    <mergeCell ref="M302:O302"/>
    <mergeCell ref="P302:R302"/>
    <mergeCell ref="D218:F218"/>
    <mergeCell ref="G218:I218"/>
    <mergeCell ref="J218:L218"/>
    <mergeCell ref="M218:O218"/>
    <mergeCell ref="P218:R218"/>
    <mergeCell ref="D176:F176"/>
    <mergeCell ref="G176:I176"/>
    <mergeCell ref="J176:L176"/>
    <mergeCell ref="M176:O176"/>
    <mergeCell ref="P176:R176"/>
    <mergeCell ref="D134:F134"/>
    <mergeCell ref="G134:I134"/>
    <mergeCell ref="J134:L134"/>
    <mergeCell ref="M134:O134"/>
    <mergeCell ref="P134:R134"/>
    <mergeCell ref="P48:R48"/>
    <mergeCell ref="D6:F6"/>
    <mergeCell ref="G6:I6"/>
    <mergeCell ref="J6:L6"/>
    <mergeCell ref="M6:O6"/>
    <mergeCell ref="D48:F48"/>
    <mergeCell ref="G48:I48"/>
    <mergeCell ref="J48:L48"/>
    <mergeCell ref="M48:O48"/>
    <mergeCell ref="D91:F91"/>
    <mergeCell ref="G91:I91"/>
    <mergeCell ref="J91:L91"/>
    <mergeCell ref="M91:O91"/>
    <mergeCell ref="P91:R91"/>
    <mergeCell ref="D260:F260"/>
    <mergeCell ref="G260:I260"/>
    <mergeCell ref="J260:L260"/>
    <mergeCell ref="M260:O260"/>
    <mergeCell ref="P260:R260"/>
    <mergeCell ref="D344:F344"/>
    <mergeCell ref="G344:I344"/>
    <mergeCell ref="J344:L344"/>
    <mergeCell ref="M344:O344"/>
    <mergeCell ref="P344:R344"/>
  </mergeCells>
  <conditionalFormatting sqref="C4:M4">
    <cfRule type="duplicateValues" dxfId="75" priority="75"/>
    <cfRule type="duplicateValues" dxfId="74" priority="76"/>
  </conditionalFormatting>
  <conditionalFormatting sqref="C46:M46">
    <cfRule type="duplicateValues" dxfId="73" priority="71"/>
    <cfRule type="duplicateValues" dxfId="72" priority="72"/>
  </conditionalFormatting>
  <conditionalFormatting sqref="C89:M89">
    <cfRule type="duplicateValues" dxfId="71" priority="64"/>
    <cfRule type="duplicateValues" dxfId="70" priority="63"/>
  </conditionalFormatting>
  <conditionalFormatting sqref="C132:M132">
    <cfRule type="duplicateValues" dxfId="69" priority="55"/>
    <cfRule type="duplicateValues" dxfId="68" priority="56"/>
  </conditionalFormatting>
  <conditionalFormatting sqref="C174:M174">
    <cfRule type="duplicateValues" dxfId="67" priority="47"/>
    <cfRule type="duplicateValues" dxfId="66" priority="48"/>
  </conditionalFormatting>
  <conditionalFormatting sqref="C216:M216">
    <cfRule type="duplicateValues" dxfId="65" priority="40"/>
    <cfRule type="duplicateValues" dxfId="64" priority="39"/>
  </conditionalFormatting>
  <conditionalFormatting sqref="C258:M258">
    <cfRule type="duplicateValues" dxfId="63" priority="31"/>
    <cfRule type="duplicateValues" dxfId="62" priority="32"/>
  </conditionalFormatting>
  <conditionalFormatting sqref="C300:M300">
    <cfRule type="duplicateValues" dxfId="61" priority="24"/>
    <cfRule type="duplicateValues" dxfId="60" priority="23"/>
  </conditionalFormatting>
  <conditionalFormatting sqref="C342:M342">
    <cfRule type="duplicateValues" dxfId="59" priority="16"/>
    <cfRule type="duplicateValues" dxfId="58" priority="15"/>
  </conditionalFormatting>
  <conditionalFormatting sqref="C384:M384">
    <cfRule type="duplicateValues" dxfId="57" priority="7"/>
    <cfRule type="duplicateValues" dxfId="56" priority="8"/>
  </conditionalFormatting>
  <conditionalFormatting sqref="J6 G6 C6:D6 M6">
    <cfRule type="duplicateValues" dxfId="55" priority="73"/>
    <cfRule type="duplicateValues" dxfId="54" priority="74"/>
  </conditionalFormatting>
  <conditionalFormatting sqref="J48 G48 C48:D48 M48">
    <cfRule type="duplicateValues" dxfId="53" priority="70"/>
    <cfRule type="duplicateValues" dxfId="52" priority="69"/>
  </conditionalFormatting>
  <conditionalFormatting sqref="J91 G91 C91:D91 M91">
    <cfRule type="duplicateValues" dxfId="51" priority="61"/>
    <cfRule type="duplicateValues" dxfId="50" priority="62"/>
  </conditionalFormatting>
  <conditionalFormatting sqref="J134 G134 C134:D134 M134">
    <cfRule type="duplicateValues" dxfId="49" priority="54"/>
    <cfRule type="duplicateValues" dxfId="48" priority="53"/>
  </conditionalFormatting>
  <conditionalFormatting sqref="J176 G176 C176:D176 M176">
    <cfRule type="duplicateValues" dxfId="47" priority="46"/>
    <cfRule type="duplicateValues" dxfId="46" priority="45"/>
  </conditionalFormatting>
  <conditionalFormatting sqref="J218 G218 C218:D218 M218">
    <cfRule type="duplicateValues" dxfId="45" priority="38"/>
    <cfRule type="duplicateValues" dxfId="44" priority="37"/>
  </conditionalFormatting>
  <conditionalFormatting sqref="J260 G260 C260:D260 M260">
    <cfRule type="duplicateValues" dxfId="43" priority="30"/>
    <cfRule type="duplicateValues" dxfId="42" priority="29"/>
  </conditionalFormatting>
  <conditionalFormatting sqref="J302 G302 C302:D302 M302">
    <cfRule type="duplicateValues" dxfId="41" priority="21"/>
    <cfRule type="duplicateValues" dxfId="40" priority="22"/>
  </conditionalFormatting>
  <conditionalFormatting sqref="J344 G344 C344:D344 M344">
    <cfRule type="duplicateValues" dxfId="39" priority="13"/>
    <cfRule type="duplicateValues" dxfId="38" priority="14"/>
  </conditionalFormatting>
  <conditionalFormatting sqref="J386 G386 C386:D386 M386">
    <cfRule type="duplicateValues" dxfId="37" priority="5"/>
    <cfRule type="duplicateValues" dxfId="36" priority="6"/>
  </conditionalFormatting>
  <conditionalFormatting sqref="P46">
    <cfRule type="duplicateValues" dxfId="35" priority="66"/>
    <cfRule type="duplicateValues" dxfId="34" priority="65"/>
  </conditionalFormatting>
  <conditionalFormatting sqref="P48">
    <cfRule type="duplicateValues" dxfId="33" priority="67"/>
    <cfRule type="duplicateValues" dxfId="32" priority="68"/>
  </conditionalFormatting>
  <conditionalFormatting sqref="P89">
    <cfRule type="duplicateValues" dxfId="31" priority="57"/>
    <cfRule type="duplicateValues" dxfId="30" priority="58"/>
  </conditionalFormatting>
  <conditionalFormatting sqref="P91">
    <cfRule type="duplicateValues" dxfId="29" priority="59"/>
    <cfRule type="duplicateValues" dxfId="28" priority="60"/>
  </conditionalFormatting>
  <conditionalFormatting sqref="P132">
    <cfRule type="duplicateValues" dxfId="27" priority="49"/>
    <cfRule type="duplicateValues" dxfId="26" priority="50"/>
  </conditionalFormatting>
  <conditionalFormatting sqref="P134">
    <cfRule type="duplicateValues" dxfId="25" priority="51"/>
    <cfRule type="duplicateValues" dxfId="24" priority="52"/>
  </conditionalFormatting>
  <conditionalFormatting sqref="P174">
    <cfRule type="duplicateValues" dxfId="23" priority="41"/>
    <cfRule type="duplicateValues" dxfId="22" priority="42"/>
  </conditionalFormatting>
  <conditionalFormatting sqref="P176">
    <cfRule type="duplicateValues" dxfId="21" priority="43"/>
    <cfRule type="duplicateValues" dxfId="20" priority="44"/>
  </conditionalFormatting>
  <conditionalFormatting sqref="P216">
    <cfRule type="duplicateValues" dxfId="19" priority="34"/>
    <cfRule type="duplicateValues" dxfId="18" priority="33"/>
  </conditionalFormatting>
  <conditionalFormatting sqref="P218">
    <cfRule type="duplicateValues" dxfId="17" priority="35"/>
    <cfRule type="duplicateValues" dxfId="16" priority="36"/>
  </conditionalFormatting>
  <conditionalFormatting sqref="P258">
    <cfRule type="duplicateValues" dxfId="15" priority="26"/>
    <cfRule type="duplicateValues" dxfId="14" priority="25"/>
  </conditionalFormatting>
  <conditionalFormatting sqref="P260">
    <cfRule type="duplicateValues" dxfId="13" priority="28"/>
    <cfRule type="duplicateValues" dxfId="12" priority="27"/>
  </conditionalFormatting>
  <conditionalFormatting sqref="P300">
    <cfRule type="duplicateValues" dxfId="11" priority="18"/>
    <cfRule type="duplicateValues" dxfId="10" priority="17"/>
  </conditionalFormatting>
  <conditionalFormatting sqref="P302">
    <cfRule type="duplicateValues" dxfId="9" priority="20"/>
    <cfRule type="duplicateValues" dxfId="8" priority="19"/>
  </conditionalFormatting>
  <conditionalFormatting sqref="P342">
    <cfRule type="duplicateValues" dxfId="7" priority="9"/>
    <cfRule type="duplicateValues" dxfId="6" priority="10"/>
  </conditionalFormatting>
  <conditionalFormatting sqref="P344">
    <cfRule type="duplicateValues" dxfId="5" priority="12"/>
    <cfRule type="duplicateValues" dxfId="4" priority="11"/>
  </conditionalFormatting>
  <conditionalFormatting sqref="P384">
    <cfRule type="duplicateValues" dxfId="3" priority="1"/>
    <cfRule type="duplicateValues" dxfId="2" priority="2"/>
  </conditionalFormatting>
  <conditionalFormatting sqref="P386">
    <cfRule type="duplicateValues" dxfId="1" priority="4"/>
    <cfRule type="duplicateValues" dxfId="0" priority="3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32223-C1AA-42F7-9E34-3D6154A3A4C7}">
  <dimension ref="C3:H41"/>
  <sheetViews>
    <sheetView topLeftCell="A10" workbookViewId="0">
      <selection activeCell="F17" sqref="F17"/>
    </sheetView>
  </sheetViews>
  <sheetFormatPr defaultRowHeight="14.4"/>
  <cols>
    <col min="3" max="3" width="16.44140625" bestFit="1" customWidth="1"/>
    <col min="4" max="4" width="12.77734375" bestFit="1" customWidth="1"/>
    <col min="5" max="5" width="14.5546875" bestFit="1" customWidth="1"/>
    <col min="6" max="7" width="17.21875" bestFit="1" customWidth="1"/>
  </cols>
  <sheetData>
    <row r="3" spans="3:8">
      <c r="C3" s="30" t="s">
        <v>46</v>
      </c>
      <c r="D3" s="30" t="s">
        <v>45</v>
      </c>
      <c r="E3" s="30" t="s">
        <v>47</v>
      </c>
      <c r="F3" s="30" t="s">
        <v>48</v>
      </c>
      <c r="G3" s="30" t="s">
        <v>6</v>
      </c>
    </row>
    <row r="4" spans="3:8">
      <c r="C4">
        <v>45355.44</v>
      </c>
      <c r="D4">
        <v>44941.744999999981</v>
      </c>
      <c r="E4">
        <v>413.69500000000016</v>
      </c>
      <c r="F4">
        <v>302.21934499999958</v>
      </c>
      <c r="G4" s="4">
        <f>(E4+F4)/C4</f>
        <v>1.5784530918452111E-2</v>
      </c>
    </row>
    <row r="6" spans="3:8" ht="14.4" customHeight="1">
      <c r="C6" s="129" t="s">
        <v>65</v>
      </c>
      <c r="D6" s="130"/>
      <c r="E6" s="130"/>
      <c r="F6" s="130"/>
      <c r="G6" s="130"/>
      <c r="H6" s="130"/>
    </row>
    <row r="7" spans="3:8" ht="14.4" customHeight="1">
      <c r="C7" s="129"/>
      <c r="D7" s="130"/>
      <c r="E7" s="130"/>
      <c r="F7" s="130"/>
      <c r="G7" s="130"/>
      <c r="H7" s="130"/>
    </row>
    <row r="8" spans="3:8">
      <c r="C8" s="31" t="s">
        <v>0</v>
      </c>
      <c r="D8" s="31" t="s">
        <v>46</v>
      </c>
      <c r="E8" s="31" t="s">
        <v>45</v>
      </c>
      <c r="F8" s="31" t="s">
        <v>47</v>
      </c>
      <c r="G8" s="31" t="s">
        <v>48</v>
      </c>
      <c r="H8" s="13" t="s">
        <v>6</v>
      </c>
    </row>
    <row r="9" spans="3:8">
      <c r="C9" s="1" t="s">
        <v>36</v>
      </c>
      <c r="D9" s="1">
        <v>150.1</v>
      </c>
      <c r="E9" s="1">
        <v>149.69999999999999</v>
      </c>
      <c r="F9" s="1">
        <v>0.40000000000000213</v>
      </c>
      <c r="G9" s="1">
        <v>7.3630000000000191</v>
      </c>
      <c r="H9" s="7">
        <f t="shared" ref="H9:H41" si="0">(G9+F9)/D9</f>
        <v>5.1718854097268632E-2</v>
      </c>
    </row>
    <row r="10" spans="3:8">
      <c r="C10" s="1" t="s">
        <v>12</v>
      </c>
      <c r="D10" s="1">
        <v>2150</v>
      </c>
      <c r="E10" s="1">
        <v>2096.7499999999995</v>
      </c>
      <c r="F10" s="1">
        <v>53.24999999999995</v>
      </c>
      <c r="G10" s="1">
        <v>20.807999999999918</v>
      </c>
      <c r="H10" s="7">
        <f t="shared" si="0"/>
        <v>3.4445581395348777E-2</v>
      </c>
    </row>
    <row r="11" spans="3:8">
      <c r="C11" s="1" t="s">
        <v>28</v>
      </c>
      <c r="D11" s="1">
        <v>650</v>
      </c>
      <c r="E11" s="1">
        <v>643.37000000000012</v>
      </c>
      <c r="F11" s="1">
        <v>6.6299999999999812</v>
      </c>
      <c r="G11" s="1">
        <v>15.324999999999998</v>
      </c>
      <c r="H11" s="7">
        <f t="shared" si="0"/>
        <v>3.3776923076923045E-2</v>
      </c>
    </row>
    <row r="12" spans="3:8">
      <c r="C12" s="1" t="s">
        <v>20</v>
      </c>
      <c r="D12" s="1">
        <v>1425</v>
      </c>
      <c r="E12" s="1">
        <v>1423.42</v>
      </c>
      <c r="F12" s="1">
        <v>1.5799999999999805</v>
      </c>
      <c r="G12" s="1">
        <v>33.936000000000085</v>
      </c>
      <c r="H12" s="7">
        <f t="shared" si="0"/>
        <v>2.4923508771929868E-2</v>
      </c>
    </row>
    <row r="13" spans="3:8">
      <c r="C13" s="1" t="s">
        <v>19</v>
      </c>
      <c r="D13" s="1">
        <v>2650</v>
      </c>
      <c r="E13" s="1">
        <v>2593.9699999999998</v>
      </c>
      <c r="F13" s="1">
        <v>56.029999999999994</v>
      </c>
      <c r="G13" s="1">
        <v>6.4309999999999912</v>
      </c>
      <c r="H13" s="7">
        <f t="shared" si="0"/>
        <v>2.3570188679245277E-2</v>
      </c>
    </row>
    <row r="14" spans="3:8">
      <c r="C14" s="1" t="s">
        <v>9</v>
      </c>
      <c r="D14" s="1">
        <v>2000</v>
      </c>
      <c r="E14" s="1">
        <v>1990.4199999999996</v>
      </c>
      <c r="F14" s="1">
        <v>9.5799999999999841</v>
      </c>
      <c r="G14" s="1">
        <v>36.250999999999969</v>
      </c>
      <c r="H14" s="7">
        <f t="shared" si="0"/>
        <v>2.2915499999999978E-2</v>
      </c>
    </row>
    <row r="15" spans="3:8">
      <c r="C15" s="1" t="s">
        <v>29</v>
      </c>
      <c r="D15" s="1">
        <v>525</v>
      </c>
      <c r="E15" s="1">
        <v>519.13</v>
      </c>
      <c r="F15" s="1">
        <v>5.8699999999999939</v>
      </c>
      <c r="G15" s="1">
        <v>5.4749999999999881</v>
      </c>
      <c r="H15" s="7">
        <f t="shared" si="0"/>
        <v>2.1609523809523773E-2</v>
      </c>
    </row>
    <row r="16" spans="3:8">
      <c r="C16" s="1" t="s">
        <v>15</v>
      </c>
      <c r="D16" s="1">
        <v>380</v>
      </c>
      <c r="E16" s="1">
        <v>376.96999999999997</v>
      </c>
      <c r="F16" s="1">
        <v>3.0300000000000118</v>
      </c>
      <c r="G16" s="1">
        <v>4.6312449999999608</v>
      </c>
      <c r="H16" s="7">
        <f t="shared" si="0"/>
        <v>2.0161171052631505E-2</v>
      </c>
    </row>
    <row r="17" spans="3:8">
      <c r="C17" s="1" t="s">
        <v>24</v>
      </c>
      <c r="D17" s="1">
        <v>920</v>
      </c>
      <c r="E17" s="1">
        <v>913.92000000000019</v>
      </c>
      <c r="F17" s="1">
        <v>6.0800000000000161</v>
      </c>
      <c r="G17" s="1">
        <v>11.462999999999965</v>
      </c>
      <c r="H17" s="3">
        <f t="shared" si="0"/>
        <v>1.9068478260869545E-2</v>
      </c>
    </row>
    <row r="18" spans="3:8">
      <c r="C18" s="1" t="s">
        <v>33</v>
      </c>
      <c r="D18" s="1">
        <v>728</v>
      </c>
      <c r="E18" s="1">
        <v>723.8</v>
      </c>
      <c r="F18" s="1">
        <v>4.2000000000000028</v>
      </c>
      <c r="G18" s="1">
        <v>8.2909999999999862</v>
      </c>
      <c r="H18" s="3">
        <f t="shared" si="0"/>
        <v>1.7157967032967018E-2</v>
      </c>
    </row>
    <row r="19" spans="3:8">
      <c r="C19" s="1" t="s">
        <v>10</v>
      </c>
      <c r="D19" s="1">
        <v>1845</v>
      </c>
      <c r="E19" s="1">
        <v>1821.3600000000001</v>
      </c>
      <c r="F19" s="1">
        <v>23.639999999999972</v>
      </c>
      <c r="G19" s="1">
        <v>7.7569999999998824</v>
      </c>
      <c r="H19" s="3">
        <f t="shared" si="0"/>
        <v>1.7017344173441657E-2</v>
      </c>
    </row>
    <row r="20" spans="3:8">
      <c r="C20" s="1" t="s">
        <v>31</v>
      </c>
      <c r="D20" s="1">
        <v>1370</v>
      </c>
      <c r="E20" s="1">
        <v>1361.2599999999998</v>
      </c>
      <c r="F20" s="1">
        <v>8.740000000000002</v>
      </c>
      <c r="G20" s="1">
        <v>14.143999999999931</v>
      </c>
      <c r="H20" s="3">
        <f t="shared" si="0"/>
        <v>1.6703649635036448E-2</v>
      </c>
    </row>
    <row r="21" spans="3:8">
      <c r="C21" s="1" t="s">
        <v>32</v>
      </c>
      <c r="D21" s="1">
        <v>721.25</v>
      </c>
      <c r="E21" s="1">
        <v>715.45000000000016</v>
      </c>
      <c r="F21" s="1">
        <v>5.7999999999999936</v>
      </c>
      <c r="G21" s="1">
        <v>6.2149999999999972</v>
      </c>
      <c r="H21" s="3">
        <f t="shared" si="0"/>
        <v>1.66585788561525E-2</v>
      </c>
    </row>
    <row r="22" spans="3:8">
      <c r="C22" s="1" t="s">
        <v>39</v>
      </c>
      <c r="D22" s="1">
        <v>695</v>
      </c>
      <c r="E22" s="1">
        <v>685.99000000000012</v>
      </c>
      <c r="F22" s="1">
        <v>9.0100000000000264</v>
      </c>
      <c r="G22" s="1">
        <v>2.3789999999999809</v>
      </c>
      <c r="H22" s="3">
        <f t="shared" si="0"/>
        <v>1.6387050359712239E-2</v>
      </c>
    </row>
    <row r="23" spans="3:8">
      <c r="C23" s="1" t="s">
        <v>14</v>
      </c>
      <c r="D23" s="1">
        <v>1850</v>
      </c>
      <c r="E23" s="1">
        <v>1841.04</v>
      </c>
      <c r="F23" s="1">
        <v>8.9600000000000364</v>
      </c>
      <c r="G23" s="1">
        <v>20.869000000000003</v>
      </c>
      <c r="H23" s="3">
        <f t="shared" si="0"/>
        <v>1.6123783783783804E-2</v>
      </c>
    </row>
    <row r="24" spans="3:8">
      <c r="C24" s="1" t="s">
        <v>11</v>
      </c>
      <c r="D24" s="1">
        <v>1719</v>
      </c>
      <c r="E24" s="1">
        <v>1702.4700000000005</v>
      </c>
      <c r="F24" s="1">
        <v>16.529999999999959</v>
      </c>
      <c r="G24" s="1">
        <v>9.4670000000000698</v>
      </c>
      <c r="H24" s="3">
        <f t="shared" si="0"/>
        <v>1.512332751599769E-2</v>
      </c>
    </row>
    <row r="25" spans="3:8">
      <c r="C25" s="1" t="s">
        <v>23</v>
      </c>
      <c r="D25" s="1">
        <v>1470</v>
      </c>
      <c r="E25" s="1">
        <v>1457.44</v>
      </c>
      <c r="F25" s="1">
        <v>12.560000000000056</v>
      </c>
      <c r="G25" s="1">
        <v>8.1999999999999815</v>
      </c>
      <c r="H25" s="3">
        <f t="shared" si="0"/>
        <v>1.4122448979591862E-2</v>
      </c>
    </row>
    <row r="26" spans="3:8">
      <c r="C26" s="1" t="s">
        <v>34</v>
      </c>
      <c r="D26" s="1">
        <v>825</v>
      </c>
      <c r="E26" s="1">
        <v>819.23999999999978</v>
      </c>
      <c r="F26" s="1">
        <v>5.759999999999998</v>
      </c>
      <c r="G26" s="1">
        <v>5.6860000000000026</v>
      </c>
      <c r="H26" s="3">
        <f t="shared" si="0"/>
        <v>1.3873939393939395E-2</v>
      </c>
    </row>
    <row r="27" spans="3:8">
      <c r="C27" s="1" t="s">
        <v>35</v>
      </c>
      <c r="D27" s="1">
        <v>2723</v>
      </c>
      <c r="E27" s="1">
        <v>2693.9400000000005</v>
      </c>
      <c r="F27" s="1">
        <v>29.059999999999985</v>
      </c>
      <c r="G27" s="1">
        <v>8.2639999999999834</v>
      </c>
      <c r="H27" s="3">
        <f t="shared" si="0"/>
        <v>1.3706940874035978E-2</v>
      </c>
    </row>
    <row r="28" spans="3:8">
      <c r="C28" s="1" t="s">
        <v>25</v>
      </c>
      <c r="D28" s="1">
        <v>705</v>
      </c>
      <c r="E28" s="1">
        <v>699.83499999999992</v>
      </c>
      <c r="F28" s="1">
        <v>5.1650000000000009</v>
      </c>
      <c r="G28" s="1">
        <v>3.9121000000000077</v>
      </c>
      <c r="H28" s="3">
        <f t="shared" si="0"/>
        <v>1.2875319148936182E-2</v>
      </c>
    </row>
    <row r="29" spans="3:8">
      <c r="C29" s="1" t="s">
        <v>26</v>
      </c>
      <c r="D29" s="1">
        <v>775</v>
      </c>
      <c r="E29" s="1">
        <v>771.98000000000013</v>
      </c>
      <c r="F29" s="1">
        <v>3.0199999999999996</v>
      </c>
      <c r="G29" s="1">
        <v>6.8120000000000083</v>
      </c>
      <c r="H29" s="3">
        <f t="shared" si="0"/>
        <v>1.2686451612903236E-2</v>
      </c>
    </row>
    <row r="30" spans="3:8">
      <c r="C30" s="1" t="s">
        <v>38</v>
      </c>
      <c r="D30" s="1">
        <v>725</v>
      </c>
      <c r="E30" s="1">
        <v>717.02</v>
      </c>
      <c r="F30" s="1">
        <v>7.9800000000000182</v>
      </c>
      <c r="G30" s="1">
        <v>1.2160000000000135</v>
      </c>
      <c r="H30" s="3">
        <f t="shared" si="0"/>
        <v>1.2684137931034527E-2</v>
      </c>
    </row>
    <row r="31" spans="3:8">
      <c r="C31" s="1" t="s">
        <v>27</v>
      </c>
      <c r="D31" s="1">
        <v>596.04999999999995</v>
      </c>
      <c r="E31" s="1">
        <v>591.48</v>
      </c>
      <c r="F31" s="1">
        <v>4.5700000000000038</v>
      </c>
      <c r="G31" s="1">
        <v>2.8850000000000149</v>
      </c>
      <c r="H31" s="3">
        <f t="shared" si="0"/>
        <v>1.2507339988256051E-2</v>
      </c>
    </row>
    <row r="32" spans="3:8">
      <c r="C32" s="1" t="s">
        <v>16</v>
      </c>
      <c r="D32" s="1">
        <v>2388</v>
      </c>
      <c r="E32" s="1">
        <v>2367.31</v>
      </c>
      <c r="F32" s="1">
        <v>20.690000000000008</v>
      </c>
      <c r="G32" s="1">
        <v>7.9609999999999701</v>
      </c>
      <c r="H32" s="3">
        <f t="shared" si="0"/>
        <v>1.1997906197654932E-2</v>
      </c>
    </row>
    <row r="33" spans="3:8">
      <c r="C33" s="1" t="s">
        <v>30</v>
      </c>
      <c r="D33" s="1">
        <v>1007</v>
      </c>
      <c r="E33" s="1">
        <v>998.79</v>
      </c>
      <c r="F33" s="1">
        <v>8.2099999999999937</v>
      </c>
      <c r="G33" s="1">
        <v>3.5069999999999779</v>
      </c>
      <c r="H33" s="3">
        <f t="shared" si="0"/>
        <v>1.1635551142005931E-2</v>
      </c>
    </row>
    <row r="34" spans="3:8">
      <c r="C34" s="1" t="s">
        <v>37</v>
      </c>
      <c r="D34" s="1">
        <v>1550</v>
      </c>
      <c r="E34" s="1">
        <v>1539.05</v>
      </c>
      <c r="F34" s="1">
        <v>10.95000000000001</v>
      </c>
      <c r="G34" s="1">
        <v>6.5259999999999572</v>
      </c>
      <c r="H34" s="3">
        <f t="shared" si="0"/>
        <v>1.1274838709677397E-2</v>
      </c>
    </row>
    <row r="35" spans="3:8">
      <c r="C35" s="1" t="s">
        <v>13</v>
      </c>
      <c r="D35" s="1">
        <v>2648</v>
      </c>
      <c r="E35" s="1">
        <v>2624.2599999999993</v>
      </c>
      <c r="F35" s="1">
        <v>23.739999999999963</v>
      </c>
      <c r="G35" s="1">
        <v>5.0600000000000964</v>
      </c>
      <c r="H35" s="3">
        <f t="shared" si="0"/>
        <v>1.0876132930513618E-2</v>
      </c>
    </row>
    <row r="36" spans="3:8">
      <c r="C36" s="1" t="s">
        <v>22</v>
      </c>
      <c r="D36" s="1">
        <v>1775</v>
      </c>
      <c r="E36" s="1">
        <v>1763.8100000000006</v>
      </c>
      <c r="F36" s="1">
        <v>11.190000000000008</v>
      </c>
      <c r="G36" s="1">
        <v>7.8289999999999704</v>
      </c>
      <c r="H36" s="3">
        <f t="shared" si="0"/>
        <v>1.0714929577464775E-2</v>
      </c>
    </row>
    <row r="37" spans="3:8">
      <c r="C37" s="1" t="s">
        <v>21</v>
      </c>
      <c r="D37" s="1">
        <v>1140</v>
      </c>
      <c r="E37" s="1">
        <v>1131.7599999999998</v>
      </c>
      <c r="F37" s="1">
        <v>8.2400000000000091</v>
      </c>
      <c r="G37" s="1">
        <v>3.8829999999999933</v>
      </c>
      <c r="H37" s="3">
        <f t="shared" si="0"/>
        <v>1.0634210526315791E-2</v>
      </c>
    </row>
    <row r="38" spans="3:8">
      <c r="C38" s="1" t="s">
        <v>8</v>
      </c>
      <c r="D38" s="1">
        <v>3415.04</v>
      </c>
      <c r="E38" s="1">
        <v>3389.7400000000007</v>
      </c>
      <c r="F38" s="1">
        <v>25.299999999999997</v>
      </c>
      <c r="G38" s="1">
        <v>6.8919999999999773</v>
      </c>
      <c r="H38" s="3">
        <f t="shared" si="0"/>
        <v>9.4265367316341744E-3</v>
      </c>
    </row>
    <row r="39" spans="3:8">
      <c r="C39" s="1" t="s">
        <v>17</v>
      </c>
      <c r="D39" s="1">
        <v>1400</v>
      </c>
      <c r="E39" s="1">
        <v>1391.8600000000001</v>
      </c>
      <c r="F39" s="1">
        <v>8.1400000000000041</v>
      </c>
      <c r="G39" s="1">
        <v>3.4689999999999861</v>
      </c>
      <c r="H39" s="3">
        <f t="shared" si="0"/>
        <v>8.2921428571428504E-3</v>
      </c>
    </row>
    <row r="40" spans="3:8">
      <c r="C40" s="1" t="s">
        <v>18</v>
      </c>
      <c r="D40" s="1">
        <v>2435</v>
      </c>
      <c r="E40" s="1">
        <v>2425.21</v>
      </c>
      <c r="F40" s="1">
        <v>9.7899999999999991</v>
      </c>
      <c r="G40" s="1">
        <v>9.3119999999999479</v>
      </c>
      <c r="H40" s="3">
        <f t="shared" si="0"/>
        <v>7.8447638603695875E-3</v>
      </c>
    </row>
    <row r="41" spans="3:8">
      <c r="C41" s="26" t="s">
        <v>60</v>
      </c>
      <c r="D41" s="26">
        <v>45355.44</v>
      </c>
      <c r="E41" s="26">
        <v>44941.74500000001</v>
      </c>
      <c r="F41" s="26">
        <v>413.69499999999999</v>
      </c>
      <c r="G41" s="26">
        <v>302.21934499999969</v>
      </c>
      <c r="H41" s="29">
        <f t="shared" si="0"/>
        <v>1.5784530918452111E-2</v>
      </c>
    </row>
  </sheetData>
  <autoFilter ref="C8:H41" xr:uid="{84532223-C1AA-42F7-9E34-3D6154A3A4C7}">
    <sortState xmlns:xlrd2="http://schemas.microsoft.com/office/spreadsheetml/2017/richdata2" ref="C9:H41">
      <sortCondition descending="1" ref="H8:H41"/>
    </sortState>
  </autoFilter>
  <mergeCells count="1">
    <mergeCell ref="C6:H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DFE9-09B9-4B32-A7A6-823DEFC987A1}">
  <dimension ref="B3:G43"/>
  <sheetViews>
    <sheetView workbookViewId="0">
      <selection activeCell="B43" sqref="B43:G43"/>
    </sheetView>
  </sheetViews>
  <sheetFormatPr defaultRowHeight="14.4"/>
  <cols>
    <col min="1" max="1" width="17.88671875" customWidth="1"/>
    <col min="2" max="2" width="16.44140625" bestFit="1" customWidth="1"/>
    <col min="3" max="3" width="12.77734375" bestFit="1" customWidth="1"/>
    <col min="4" max="4" width="14.5546875" bestFit="1" customWidth="1"/>
    <col min="5" max="6" width="17.21875" bestFit="1" customWidth="1"/>
    <col min="7" max="7" width="9.5546875" bestFit="1" customWidth="1"/>
  </cols>
  <sheetData>
    <row r="3" spans="2:7">
      <c r="B3" s="30" t="s">
        <v>46</v>
      </c>
      <c r="C3" s="30" t="s">
        <v>45</v>
      </c>
      <c r="D3" s="30" t="s">
        <v>47</v>
      </c>
      <c r="E3" s="30" t="s">
        <v>48</v>
      </c>
      <c r="F3" s="30" t="s">
        <v>6</v>
      </c>
    </row>
    <row r="4" spans="2:7">
      <c r="B4">
        <v>87678.142999999967</v>
      </c>
      <c r="C4">
        <v>86919.070000000196</v>
      </c>
      <c r="D4">
        <v>759.07300000000009</v>
      </c>
      <c r="E4">
        <v>527.95615999999973</v>
      </c>
      <c r="F4" s="4">
        <f>(E4+D4)/B4</f>
        <v>1.4679019376585112E-2</v>
      </c>
    </row>
    <row r="7" spans="2:7">
      <c r="B7" s="131" t="s">
        <v>64</v>
      </c>
      <c r="C7" s="131"/>
      <c r="D7" s="131"/>
      <c r="E7" s="131"/>
      <c r="F7" s="131"/>
      <c r="G7" s="131"/>
    </row>
    <row r="8" spans="2:7">
      <c r="B8" s="131"/>
      <c r="C8" s="131"/>
      <c r="D8" s="131"/>
      <c r="E8" s="131"/>
      <c r="F8" s="131"/>
      <c r="G8" s="131"/>
    </row>
    <row r="9" spans="2:7">
      <c r="B9" s="31" t="s">
        <v>0</v>
      </c>
      <c r="C9" s="31" t="s">
        <v>46</v>
      </c>
      <c r="D9" s="31" t="s">
        <v>45</v>
      </c>
      <c r="E9" s="31" t="s">
        <v>47</v>
      </c>
      <c r="F9" s="31" t="s">
        <v>48</v>
      </c>
      <c r="G9" s="31" t="s">
        <v>6</v>
      </c>
    </row>
    <row r="10" spans="2:7">
      <c r="B10" s="1" t="s">
        <v>36</v>
      </c>
      <c r="C10" s="1">
        <v>127.08000000000001</v>
      </c>
      <c r="D10" s="1">
        <v>126.47499999999998</v>
      </c>
      <c r="E10" s="1">
        <v>0.60499999999999776</v>
      </c>
      <c r="F10" s="1">
        <v>5.3450000000000015</v>
      </c>
      <c r="G10" s="7">
        <f t="shared" ref="G10:G43" si="0">(E10+F10)/C10</f>
        <v>4.6820900220333639E-2</v>
      </c>
    </row>
    <row r="11" spans="2:7">
      <c r="B11" s="1" t="s">
        <v>28</v>
      </c>
      <c r="C11" s="1">
        <v>660.5</v>
      </c>
      <c r="D11" s="1">
        <v>652.00000000000011</v>
      </c>
      <c r="E11" s="1">
        <v>8.4999999999999929</v>
      </c>
      <c r="F11" s="1">
        <v>9.5790000000000148</v>
      </c>
      <c r="G11" s="7">
        <f t="shared" si="0"/>
        <v>2.7371688115064356E-2</v>
      </c>
    </row>
    <row r="12" spans="2:7">
      <c r="B12" s="1" t="s">
        <v>32</v>
      </c>
      <c r="C12" s="1">
        <v>581.92000000000007</v>
      </c>
      <c r="D12" s="1">
        <v>574.56000000000006</v>
      </c>
      <c r="E12" s="1">
        <v>7.3599999999999923</v>
      </c>
      <c r="F12" s="1">
        <v>7.4660000000000082</v>
      </c>
      <c r="G12" s="7">
        <f t="shared" si="0"/>
        <v>2.5477728897442944E-2</v>
      </c>
    </row>
    <row r="13" spans="2:7">
      <c r="B13" s="1" t="s">
        <v>15</v>
      </c>
      <c r="C13" s="1">
        <v>2484.58</v>
      </c>
      <c r="D13" s="1">
        <v>2459.3829999999998</v>
      </c>
      <c r="E13" s="1">
        <v>25.197000000000138</v>
      </c>
      <c r="F13" s="1">
        <v>33.173759999999902</v>
      </c>
      <c r="G13" s="7">
        <f t="shared" si="0"/>
        <v>2.3493210120020303E-2</v>
      </c>
    </row>
    <row r="14" spans="2:7">
      <c r="B14" s="1" t="s">
        <v>20</v>
      </c>
      <c r="C14" s="1">
        <v>1060.9000000000001</v>
      </c>
      <c r="D14" s="1">
        <v>1058.7400000000002</v>
      </c>
      <c r="E14" s="1">
        <v>2.1599999999999504</v>
      </c>
      <c r="F14" s="1">
        <v>22.049000000000021</v>
      </c>
      <c r="G14" s="7">
        <f t="shared" si="0"/>
        <v>2.2819304364219029E-2</v>
      </c>
    </row>
    <row r="15" spans="2:7">
      <c r="B15" s="1" t="s">
        <v>44</v>
      </c>
      <c r="C15" s="1">
        <v>120</v>
      </c>
      <c r="D15" s="1">
        <v>119.67999999999999</v>
      </c>
      <c r="E15" s="1">
        <v>0.32000000000000384</v>
      </c>
      <c r="F15" s="1">
        <v>2.324000000000003</v>
      </c>
      <c r="G15" s="7">
        <f t="shared" si="0"/>
        <v>2.2033333333333391E-2</v>
      </c>
    </row>
    <row r="16" spans="2:7">
      <c r="B16" s="1" t="s">
        <v>9</v>
      </c>
      <c r="C16" s="1">
        <v>7097.9400000000005</v>
      </c>
      <c r="D16" s="1">
        <v>7031.1000000000013</v>
      </c>
      <c r="E16" s="1">
        <v>66.840000000000089</v>
      </c>
      <c r="F16" s="1">
        <v>88.368699999999905</v>
      </c>
      <c r="G16" s="7">
        <f t="shared" si="0"/>
        <v>2.1866724711676905E-2</v>
      </c>
    </row>
    <row r="17" spans="2:7">
      <c r="B17" s="1" t="s">
        <v>29</v>
      </c>
      <c r="C17" s="1">
        <v>1008.3000000000001</v>
      </c>
      <c r="D17" s="1">
        <v>993.75999999999988</v>
      </c>
      <c r="E17" s="1">
        <v>14.539999999999992</v>
      </c>
      <c r="F17" s="1">
        <v>5.9149999999999707</v>
      </c>
      <c r="G17" s="7">
        <f t="shared" si="0"/>
        <v>2.0286621045323774E-2</v>
      </c>
    </row>
    <row r="18" spans="2:7">
      <c r="B18" s="1" t="s">
        <v>39</v>
      </c>
      <c r="C18" s="1">
        <v>1033.5</v>
      </c>
      <c r="D18" s="1">
        <v>1016.46</v>
      </c>
      <c r="E18" s="1">
        <v>17.040000000000003</v>
      </c>
      <c r="F18" s="1">
        <v>3.7040000000001108</v>
      </c>
      <c r="G18" s="7">
        <f t="shared" si="0"/>
        <v>2.0071601354620331E-2</v>
      </c>
    </row>
    <row r="19" spans="2:7">
      <c r="B19" s="1" t="s">
        <v>19</v>
      </c>
      <c r="C19" s="1">
        <v>2223.6099999999997</v>
      </c>
      <c r="D19" s="1">
        <v>2185.5300000000002</v>
      </c>
      <c r="E19" s="1">
        <v>38.080000000000013</v>
      </c>
      <c r="F19" s="1">
        <v>5.6669999999999998</v>
      </c>
      <c r="G19" s="3">
        <f t="shared" si="0"/>
        <v>1.9673863672136759E-2</v>
      </c>
    </row>
    <row r="20" spans="2:7">
      <c r="B20" s="1" t="s">
        <v>12</v>
      </c>
      <c r="C20" s="1">
        <v>4803.9499999999989</v>
      </c>
      <c r="D20" s="1">
        <v>4743.8999999999996</v>
      </c>
      <c r="E20" s="1">
        <v>60.049999999999962</v>
      </c>
      <c r="F20" s="1">
        <v>33.294999999999831</v>
      </c>
      <c r="G20" s="3">
        <f t="shared" si="0"/>
        <v>1.9430885000884652E-2</v>
      </c>
    </row>
    <row r="21" spans="2:7">
      <c r="B21" s="1" t="s">
        <v>35</v>
      </c>
      <c r="C21" s="1">
        <v>800</v>
      </c>
      <c r="D21" s="1">
        <v>791.34000000000015</v>
      </c>
      <c r="E21" s="1">
        <v>8.6599999999999966</v>
      </c>
      <c r="F21" s="1">
        <v>6.7640000000000153</v>
      </c>
      <c r="G21" s="3">
        <f t="shared" si="0"/>
        <v>1.9280000000000016E-2</v>
      </c>
    </row>
    <row r="22" spans="2:7">
      <c r="B22" s="1" t="s">
        <v>24</v>
      </c>
      <c r="C22" s="1">
        <v>2168.1099999999997</v>
      </c>
      <c r="D22" s="1">
        <v>2146.9</v>
      </c>
      <c r="E22" s="1">
        <v>21.210000000000008</v>
      </c>
      <c r="F22" s="1">
        <v>20.154000000000103</v>
      </c>
      <c r="G22" s="3">
        <f t="shared" si="0"/>
        <v>1.9078367794992005E-2</v>
      </c>
    </row>
    <row r="23" spans="2:7">
      <c r="B23" s="1" t="s">
        <v>38</v>
      </c>
      <c r="C23" s="1">
        <v>420</v>
      </c>
      <c r="D23" s="1">
        <v>414.58999999999992</v>
      </c>
      <c r="E23" s="1">
        <v>5.4100000000000072</v>
      </c>
      <c r="F23" s="1">
        <v>1.5639999999999854</v>
      </c>
      <c r="G23" s="3">
        <f t="shared" si="0"/>
        <v>1.660476190476189E-2</v>
      </c>
    </row>
    <row r="24" spans="2:7">
      <c r="B24" s="1" t="s">
        <v>18</v>
      </c>
      <c r="C24" s="1">
        <v>4253</v>
      </c>
      <c r="D24" s="1">
        <v>4233.1499999999996</v>
      </c>
      <c r="E24" s="1">
        <v>19.849999999999994</v>
      </c>
      <c r="F24" s="1">
        <v>49.636000000000074</v>
      </c>
      <c r="G24" s="3">
        <f t="shared" si="0"/>
        <v>1.6338114272278409E-2</v>
      </c>
    </row>
    <row r="25" spans="2:7">
      <c r="B25" s="1" t="s">
        <v>14</v>
      </c>
      <c r="C25" s="1">
        <v>6594.0000000000009</v>
      </c>
      <c r="D25" s="1">
        <v>6559.6919999999982</v>
      </c>
      <c r="E25" s="1">
        <v>34.308000000000114</v>
      </c>
      <c r="F25" s="1">
        <v>71.174999999999969</v>
      </c>
      <c r="G25" s="3">
        <f t="shared" si="0"/>
        <v>1.5996815286624215E-2</v>
      </c>
    </row>
    <row r="26" spans="2:7">
      <c r="B26" s="1" t="s">
        <v>34</v>
      </c>
      <c r="C26" s="1">
        <v>1350.52</v>
      </c>
      <c r="D26" s="1">
        <v>1337.0099999999998</v>
      </c>
      <c r="E26" s="1">
        <v>13.509999999999991</v>
      </c>
      <c r="F26" s="1">
        <v>7.0629999999999695</v>
      </c>
      <c r="G26" s="3">
        <f t="shared" si="0"/>
        <v>1.5233391582501527E-2</v>
      </c>
    </row>
    <row r="27" spans="2:7">
      <c r="B27" s="1" t="s">
        <v>10</v>
      </c>
      <c r="C27" s="1">
        <v>5555.9400000000005</v>
      </c>
      <c r="D27" s="1">
        <v>5483.58</v>
      </c>
      <c r="E27" s="1">
        <v>72.360000000000142</v>
      </c>
      <c r="F27" s="1">
        <v>11.431000000000026</v>
      </c>
      <c r="G27" s="3">
        <f t="shared" si="0"/>
        <v>1.5081336371523119E-2</v>
      </c>
    </row>
    <row r="28" spans="2:7">
      <c r="B28" s="1" t="s">
        <v>31</v>
      </c>
      <c r="C28" s="1">
        <v>2452.933</v>
      </c>
      <c r="D28" s="1">
        <v>2438.5300000000007</v>
      </c>
      <c r="E28" s="1">
        <v>14.403000000000002</v>
      </c>
      <c r="F28" s="1">
        <v>21.537999999999862</v>
      </c>
      <c r="G28" s="3">
        <f t="shared" si="0"/>
        <v>1.4652255075862186E-2</v>
      </c>
    </row>
    <row r="29" spans="2:7">
      <c r="B29" s="1" t="s">
        <v>23</v>
      </c>
      <c r="C29" s="1">
        <v>3914.3000000000006</v>
      </c>
      <c r="D29" s="1">
        <v>3876.3099999999995</v>
      </c>
      <c r="E29" s="1">
        <v>37.990000000000123</v>
      </c>
      <c r="F29" s="1">
        <v>15.628000000000075</v>
      </c>
      <c r="G29" s="3">
        <f t="shared" si="0"/>
        <v>1.3697979204455505E-2</v>
      </c>
    </row>
    <row r="30" spans="2:7">
      <c r="B30" s="1" t="s">
        <v>33</v>
      </c>
      <c r="C30" s="1">
        <v>1181.1999999999998</v>
      </c>
      <c r="D30" s="1">
        <v>1179.3900000000001</v>
      </c>
      <c r="E30" s="1">
        <v>1.8099999999999845</v>
      </c>
      <c r="F30" s="1">
        <v>13.72699999999999</v>
      </c>
      <c r="G30" s="3">
        <f t="shared" si="0"/>
        <v>1.3153572637995239E-2</v>
      </c>
    </row>
    <row r="31" spans="2:7">
      <c r="B31" s="1" t="s">
        <v>26</v>
      </c>
      <c r="C31" s="1">
        <v>1407.5600000000002</v>
      </c>
      <c r="D31" s="1">
        <v>1403.43</v>
      </c>
      <c r="E31" s="1">
        <v>4.1300000000000061</v>
      </c>
      <c r="F31" s="1">
        <v>14.223000000000063</v>
      </c>
      <c r="G31" s="3">
        <f t="shared" si="0"/>
        <v>1.3038875785046511E-2</v>
      </c>
    </row>
    <row r="32" spans="2:7">
      <c r="B32" s="1" t="s">
        <v>22</v>
      </c>
      <c r="C32" s="1">
        <v>1668.3999999999999</v>
      </c>
      <c r="D32" s="1">
        <v>1654.7499999999995</v>
      </c>
      <c r="E32" s="1">
        <v>13.649999999999984</v>
      </c>
      <c r="F32" s="1">
        <v>7.8409999999999069</v>
      </c>
      <c r="G32" s="3">
        <f t="shared" si="0"/>
        <v>1.2881203548309695E-2</v>
      </c>
    </row>
    <row r="33" spans="2:7">
      <c r="B33" s="1" t="s">
        <v>21</v>
      </c>
      <c r="C33" s="1">
        <v>1100</v>
      </c>
      <c r="D33" s="1">
        <v>1092.3799999999999</v>
      </c>
      <c r="E33" s="1">
        <v>7.6200000000000259</v>
      </c>
      <c r="F33" s="1">
        <v>5.7750000000001052</v>
      </c>
      <c r="G33" s="3">
        <f t="shared" si="0"/>
        <v>1.2177272727272847E-2</v>
      </c>
    </row>
    <row r="34" spans="2:7">
      <c r="B34" s="1" t="s">
        <v>16</v>
      </c>
      <c r="C34" s="1">
        <v>4408.3500000000013</v>
      </c>
      <c r="D34" s="1">
        <v>4368.03</v>
      </c>
      <c r="E34" s="1">
        <v>40.320000000000149</v>
      </c>
      <c r="F34" s="1">
        <v>10.525999999999895</v>
      </c>
      <c r="G34" s="3">
        <f t="shared" si="0"/>
        <v>1.1534020665328305E-2</v>
      </c>
    </row>
    <row r="35" spans="2:7">
      <c r="B35" s="1" t="s">
        <v>27</v>
      </c>
      <c r="C35" s="1">
        <v>1085.33</v>
      </c>
      <c r="D35" s="1">
        <v>1077.5799999999997</v>
      </c>
      <c r="E35" s="1">
        <v>7.7500000000000107</v>
      </c>
      <c r="F35" s="1">
        <v>4.4834999999999781</v>
      </c>
      <c r="G35" s="3">
        <f t="shared" si="0"/>
        <v>1.1271686952355494E-2</v>
      </c>
    </row>
    <row r="36" spans="2:7">
      <c r="B36" s="1" t="s">
        <v>11</v>
      </c>
      <c r="C36" s="1">
        <v>5095.0999999999985</v>
      </c>
      <c r="D36" s="1">
        <v>5051.75</v>
      </c>
      <c r="E36" s="1">
        <v>43.349999999999781</v>
      </c>
      <c r="F36" s="1">
        <v>13.896999999999606</v>
      </c>
      <c r="G36" s="3">
        <f t="shared" si="0"/>
        <v>1.1235697042256168E-2</v>
      </c>
    </row>
    <row r="37" spans="2:7">
      <c r="B37" s="1" t="s">
        <v>13</v>
      </c>
      <c r="C37" s="1">
        <v>3226.7000000000003</v>
      </c>
      <c r="D37" s="1">
        <v>3198.1</v>
      </c>
      <c r="E37" s="1">
        <v>28.600000000000044</v>
      </c>
      <c r="F37" s="1">
        <v>5.7039999999999758</v>
      </c>
      <c r="G37" s="3">
        <f t="shared" si="0"/>
        <v>1.0631295131248648E-2</v>
      </c>
    </row>
    <row r="38" spans="2:7">
      <c r="B38" s="1" t="s">
        <v>37</v>
      </c>
      <c r="C38" s="1">
        <v>2998.43</v>
      </c>
      <c r="D38" s="1">
        <v>2974</v>
      </c>
      <c r="E38" s="1">
        <v>24.430000000000014</v>
      </c>
      <c r="F38" s="1">
        <v>6.6510000000000336</v>
      </c>
      <c r="G38" s="3">
        <f t="shared" si="0"/>
        <v>1.0365758080061915E-2</v>
      </c>
    </row>
    <row r="39" spans="2:7">
      <c r="B39" s="1" t="s">
        <v>25</v>
      </c>
      <c r="C39" s="1">
        <v>1826.6100000000001</v>
      </c>
      <c r="D39" s="1">
        <v>1814.8299999999997</v>
      </c>
      <c r="E39" s="1">
        <v>11.780000000000044</v>
      </c>
      <c r="F39" s="1">
        <v>6.8312000000001873</v>
      </c>
      <c r="G39" s="3">
        <f t="shared" si="0"/>
        <v>1.0188929218607272E-2</v>
      </c>
    </row>
    <row r="40" spans="2:7">
      <c r="B40" s="1" t="s">
        <v>30</v>
      </c>
      <c r="C40" s="1">
        <v>1083.94</v>
      </c>
      <c r="D40" s="1">
        <v>1075.6199999999999</v>
      </c>
      <c r="E40" s="1">
        <v>8.319999999999979</v>
      </c>
      <c r="F40" s="1">
        <v>2.4070000000000089</v>
      </c>
      <c r="G40" s="3">
        <f t="shared" si="0"/>
        <v>9.8963042234809923E-3</v>
      </c>
    </row>
    <row r="41" spans="2:7">
      <c r="B41" s="1" t="s">
        <v>8</v>
      </c>
      <c r="C41" s="1">
        <v>11383.82</v>
      </c>
      <c r="D41" s="1">
        <v>11300.33</v>
      </c>
      <c r="E41" s="1">
        <v>83.489999999999895</v>
      </c>
      <c r="F41" s="1">
        <v>9.7629999999999484</v>
      </c>
      <c r="G41" s="3">
        <f t="shared" si="0"/>
        <v>8.191714204897815E-3</v>
      </c>
    </row>
    <row r="42" spans="2:7">
      <c r="B42" s="1" t="s">
        <v>17</v>
      </c>
      <c r="C42" s="1">
        <v>2501.6199999999994</v>
      </c>
      <c r="D42" s="1">
        <v>2486.1899999999991</v>
      </c>
      <c r="E42" s="1">
        <v>15.429999999999968</v>
      </c>
      <c r="F42" s="1">
        <v>4.2879999999999701</v>
      </c>
      <c r="G42" s="3">
        <f t="shared" si="0"/>
        <v>7.8820924041221058E-3</v>
      </c>
    </row>
    <row r="43" spans="2:7">
      <c r="B43" s="26" t="s">
        <v>60</v>
      </c>
      <c r="C43" s="26">
        <v>87678.143000000011</v>
      </c>
      <c r="D43" s="26">
        <v>86919.07</v>
      </c>
      <c r="E43" s="26">
        <v>759.07300000000043</v>
      </c>
      <c r="F43" s="26">
        <v>527.9561599999995</v>
      </c>
      <c r="G43" s="29">
        <f t="shared" si="0"/>
        <v>1.4679019376585107E-2</v>
      </c>
    </row>
  </sheetData>
  <autoFilter ref="B9:G43" xr:uid="{546EDFE9-09B9-4B32-A7A6-823DEFC987A1}">
    <sortState xmlns:xlrd2="http://schemas.microsoft.com/office/spreadsheetml/2017/richdata2" ref="B10:G43">
      <sortCondition descending="1" ref="G9:G43"/>
    </sortState>
  </autoFilter>
  <mergeCells count="1">
    <mergeCell ref="B7:G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B4FE7-E432-4338-929A-84D2157DE795}">
  <dimension ref="B3:G41"/>
  <sheetViews>
    <sheetView topLeftCell="A4" workbookViewId="0">
      <selection activeCell="D13" sqref="D13"/>
    </sheetView>
  </sheetViews>
  <sheetFormatPr defaultRowHeight="14.4"/>
  <cols>
    <col min="2" max="2" width="16.44140625" bestFit="1" customWidth="1"/>
    <col min="3" max="3" width="15.5546875" bestFit="1" customWidth="1"/>
    <col min="4" max="5" width="17.21875" bestFit="1" customWidth="1"/>
    <col min="6" max="6" width="21.6640625" bestFit="1" customWidth="1"/>
    <col min="7" max="7" width="6.77734375" customWidth="1"/>
  </cols>
  <sheetData>
    <row r="3" spans="2:7">
      <c r="B3" t="s">
        <v>46</v>
      </c>
      <c r="C3" t="s">
        <v>45</v>
      </c>
      <c r="D3" t="s">
        <v>47</v>
      </c>
      <c r="E3" t="s">
        <v>48</v>
      </c>
      <c r="F3" t="s">
        <v>6</v>
      </c>
    </row>
    <row r="4" spans="2:7">
      <c r="B4">
        <v>24131.945000000018</v>
      </c>
      <c r="C4">
        <v>23834.365999999998</v>
      </c>
      <c r="D4">
        <v>297.57900000000012</v>
      </c>
      <c r="E4">
        <v>137.30649999999957</v>
      </c>
      <c r="F4" s="4">
        <f>(D4+E4)/B4</f>
        <v>1.8021154117498585E-2</v>
      </c>
    </row>
    <row r="6" spans="2:7">
      <c r="B6" s="131" t="s">
        <v>62</v>
      </c>
      <c r="C6" s="131"/>
      <c r="D6" s="131"/>
      <c r="E6" s="131"/>
      <c r="F6" s="131"/>
      <c r="G6" s="131"/>
    </row>
    <row r="7" spans="2:7">
      <c r="B7" s="131"/>
      <c r="C7" s="131"/>
      <c r="D7" s="131"/>
      <c r="E7" s="131"/>
      <c r="F7" s="131"/>
      <c r="G7" s="131"/>
    </row>
    <row r="8" spans="2:7">
      <c r="B8" s="31" t="s">
        <v>0</v>
      </c>
      <c r="C8" s="31" t="s">
        <v>46</v>
      </c>
      <c r="D8" s="31" t="s">
        <v>45</v>
      </c>
      <c r="E8" s="31" t="s">
        <v>47</v>
      </c>
      <c r="F8" s="31" t="s">
        <v>48</v>
      </c>
      <c r="G8" s="31" t="s">
        <v>6</v>
      </c>
    </row>
    <row r="9" spans="2:7">
      <c r="B9" s="1" t="s">
        <v>28</v>
      </c>
      <c r="C9" s="1">
        <v>198.64999999999998</v>
      </c>
      <c r="D9" s="1">
        <v>197.13</v>
      </c>
      <c r="E9" s="1">
        <v>1.519999999999996</v>
      </c>
      <c r="F9" s="1">
        <v>9.0099999999999945</v>
      </c>
      <c r="G9" s="7">
        <f t="shared" ref="G9:G41" si="0">(E9+F9)/C9</f>
        <v>5.3007802668009016E-2</v>
      </c>
    </row>
    <row r="10" spans="2:7">
      <c r="B10" s="1" t="s">
        <v>38</v>
      </c>
      <c r="C10" s="1">
        <v>139.82</v>
      </c>
      <c r="D10" s="1">
        <v>135.1</v>
      </c>
      <c r="E10" s="1">
        <v>4.7199999999999953</v>
      </c>
      <c r="F10" s="1">
        <v>0.6800000000000046</v>
      </c>
      <c r="G10" s="7">
        <f t="shared" si="0"/>
        <v>3.8621084251180091E-2</v>
      </c>
    </row>
    <row r="11" spans="2:7">
      <c r="B11" s="1" t="s">
        <v>9</v>
      </c>
      <c r="C11" s="1">
        <v>1471.0800000000002</v>
      </c>
      <c r="D11" s="1">
        <v>1443.7699999999998</v>
      </c>
      <c r="E11" s="1">
        <v>27.30999999999996</v>
      </c>
      <c r="F11" s="1">
        <v>26.246999999999993</v>
      </c>
      <c r="G11" s="7">
        <f t="shared" si="0"/>
        <v>3.6406585637762695E-2</v>
      </c>
    </row>
    <row r="12" spans="2:7">
      <c r="B12" s="1" t="s">
        <v>35</v>
      </c>
      <c r="C12" s="1">
        <v>368.48</v>
      </c>
      <c r="D12" s="1">
        <v>361.87</v>
      </c>
      <c r="E12" s="1">
        <v>6.6099999999999959</v>
      </c>
      <c r="F12" s="1">
        <v>6.1280000000000108</v>
      </c>
      <c r="G12" s="7">
        <f t="shared" si="0"/>
        <v>3.4569040382110304E-2</v>
      </c>
    </row>
    <row r="13" spans="2:7">
      <c r="B13" s="1" t="s">
        <v>39</v>
      </c>
      <c r="C13" s="1">
        <v>546.54000000000008</v>
      </c>
      <c r="D13" s="1">
        <v>530.30999999999995</v>
      </c>
      <c r="E13" s="1">
        <v>16.229999999999968</v>
      </c>
      <c r="F13" s="1">
        <v>0</v>
      </c>
      <c r="G13" s="7">
        <f t="shared" si="0"/>
        <v>2.9695905148753917E-2</v>
      </c>
    </row>
    <row r="14" spans="2:7">
      <c r="B14" s="1" t="s">
        <v>29</v>
      </c>
      <c r="C14" s="1">
        <v>170.92</v>
      </c>
      <c r="D14" s="1">
        <v>170.07999999999998</v>
      </c>
      <c r="E14" s="1">
        <v>0.83999999999999986</v>
      </c>
      <c r="F14" s="1">
        <v>3.7520000000000042</v>
      </c>
      <c r="G14" s="7">
        <f t="shared" si="0"/>
        <v>2.6866370231687364E-2</v>
      </c>
    </row>
    <row r="15" spans="2:7">
      <c r="B15" s="1" t="s">
        <v>20</v>
      </c>
      <c r="C15" s="1">
        <v>427.54999999999995</v>
      </c>
      <c r="D15" s="1">
        <v>423.65</v>
      </c>
      <c r="E15" s="1">
        <v>3.9000000000000021</v>
      </c>
      <c r="F15" s="1">
        <v>7.3680000000000252</v>
      </c>
      <c r="G15" s="7">
        <f t="shared" si="0"/>
        <v>2.6354812302654726E-2</v>
      </c>
    </row>
    <row r="16" spans="2:7">
      <c r="B16" s="1" t="s">
        <v>14</v>
      </c>
      <c r="C16" s="1">
        <v>607.77</v>
      </c>
      <c r="D16" s="1">
        <v>596.4</v>
      </c>
      <c r="E16" s="1">
        <v>11.370000000000015</v>
      </c>
      <c r="F16" s="1">
        <v>4.5749999999999851</v>
      </c>
      <c r="G16" s="7">
        <f t="shared" si="0"/>
        <v>2.6235253467594651E-2</v>
      </c>
    </row>
    <row r="17" spans="2:7">
      <c r="B17" s="1" t="s">
        <v>19</v>
      </c>
      <c r="C17" s="1">
        <v>1374.04</v>
      </c>
      <c r="D17" s="1">
        <v>1341.47</v>
      </c>
      <c r="E17" s="1">
        <v>32.570000000000007</v>
      </c>
      <c r="F17" s="1">
        <v>2.8939999999999766</v>
      </c>
      <c r="G17" s="7">
        <f t="shared" si="0"/>
        <v>2.5810020086751467E-2</v>
      </c>
    </row>
    <row r="18" spans="2:7">
      <c r="B18" s="1" t="s">
        <v>10</v>
      </c>
      <c r="C18" s="1">
        <v>1565.7</v>
      </c>
      <c r="D18" s="1">
        <v>1534.9299999999994</v>
      </c>
      <c r="E18" s="1">
        <v>30.770000000000053</v>
      </c>
      <c r="F18" s="1">
        <v>7.0090000000000057</v>
      </c>
      <c r="G18" s="7">
        <f t="shared" si="0"/>
        <v>2.4129143514083195E-2</v>
      </c>
    </row>
    <row r="19" spans="2:7">
      <c r="B19" s="1" t="s">
        <v>32</v>
      </c>
      <c r="C19" s="1">
        <v>352.36</v>
      </c>
      <c r="D19" s="1">
        <v>349.21099999999996</v>
      </c>
      <c r="E19" s="1">
        <v>3.1490000000000045</v>
      </c>
      <c r="F19" s="1">
        <v>4.3440000000000119</v>
      </c>
      <c r="G19" s="7">
        <f t="shared" si="0"/>
        <v>2.1265183335225382E-2</v>
      </c>
    </row>
    <row r="20" spans="2:7">
      <c r="B20" s="1" t="s">
        <v>16</v>
      </c>
      <c r="C20" s="1">
        <v>746.43000000000006</v>
      </c>
      <c r="D20" s="1">
        <v>736.88999999999987</v>
      </c>
      <c r="E20" s="1">
        <v>9.5399999999999956</v>
      </c>
      <c r="F20" s="1">
        <v>5.6010000000000151</v>
      </c>
      <c r="G20" s="7">
        <f t="shared" si="0"/>
        <v>2.0284554479321582E-2</v>
      </c>
    </row>
    <row r="21" spans="2:7">
      <c r="B21" s="1" t="s">
        <v>12</v>
      </c>
      <c r="C21" s="1">
        <v>2482.3300000000004</v>
      </c>
      <c r="D21" s="1">
        <v>2461.4899999999989</v>
      </c>
      <c r="E21" s="1">
        <v>20.840000000000085</v>
      </c>
      <c r="F21" s="1">
        <v>28.972999999999779</v>
      </c>
      <c r="G21" s="7">
        <f t="shared" si="0"/>
        <v>2.0067033794862025E-2</v>
      </c>
    </row>
    <row r="22" spans="2:7">
      <c r="B22" s="1" t="s">
        <v>34</v>
      </c>
      <c r="C22" s="1">
        <v>713.92000000000007</v>
      </c>
      <c r="D22" s="1">
        <v>705.29</v>
      </c>
      <c r="E22" s="1">
        <v>8.6300000000000203</v>
      </c>
      <c r="F22" s="1">
        <v>5.4110000000000191</v>
      </c>
      <c r="G22" s="3">
        <f t="shared" si="0"/>
        <v>1.9667469744509242E-2</v>
      </c>
    </row>
    <row r="23" spans="2:7">
      <c r="B23" s="1" t="s">
        <v>37</v>
      </c>
      <c r="C23" s="1">
        <v>443.25999999999993</v>
      </c>
      <c r="D23" s="1">
        <v>436.35999999999996</v>
      </c>
      <c r="E23" s="1">
        <v>6.899999999999995</v>
      </c>
      <c r="F23" s="1">
        <v>0.18800000000000239</v>
      </c>
      <c r="G23" s="3">
        <f t="shared" si="0"/>
        <v>1.5990614988945537E-2</v>
      </c>
    </row>
    <row r="24" spans="2:7">
      <c r="B24" s="1" t="s">
        <v>23</v>
      </c>
      <c r="C24" s="1">
        <v>747.25000000000011</v>
      </c>
      <c r="D24" s="1">
        <v>740.97000000000014</v>
      </c>
      <c r="E24" s="1">
        <v>6.280000000000026</v>
      </c>
      <c r="F24" s="1">
        <v>4.7520000000000007</v>
      </c>
      <c r="G24" s="3">
        <f t="shared" si="0"/>
        <v>1.47634660421546E-2</v>
      </c>
    </row>
    <row r="25" spans="2:7">
      <c r="B25" s="1" t="s">
        <v>30</v>
      </c>
      <c r="C25" s="1">
        <v>510.14000000000004</v>
      </c>
      <c r="D25" s="1">
        <v>505.06999999999994</v>
      </c>
      <c r="E25" s="1">
        <v>5.0700000000000038</v>
      </c>
      <c r="F25" s="1">
        <v>2.2419999999999982</v>
      </c>
      <c r="G25" s="3">
        <f t="shared" si="0"/>
        <v>1.433332026502529E-2</v>
      </c>
    </row>
    <row r="26" spans="2:7">
      <c r="B26" s="1" t="s">
        <v>13</v>
      </c>
      <c r="C26" s="1">
        <v>2306.12</v>
      </c>
      <c r="D26" s="1">
        <v>2276.2599999999998</v>
      </c>
      <c r="E26" s="1">
        <v>29.859999999999985</v>
      </c>
      <c r="F26" s="1">
        <v>0</v>
      </c>
      <c r="G26" s="3">
        <f t="shared" si="0"/>
        <v>1.294815534317381E-2</v>
      </c>
    </row>
    <row r="27" spans="2:7">
      <c r="B27" s="1" t="s">
        <v>36</v>
      </c>
      <c r="C27" s="1">
        <v>98.824999999999989</v>
      </c>
      <c r="D27" s="1">
        <v>98.234999999999999</v>
      </c>
      <c r="E27" s="1">
        <v>0.58999999999999986</v>
      </c>
      <c r="F27" s="1">
        <v>0.66000000000000547</v>
      </c>
      <c r="G27" s="3">
        <f t="shared" si="0"/>
        <v>1.2648621300278325E-2</v>
      </c>
    </row>
    <row r="28" spans="2:7">
      <c r="B28" s="1" t="s">
        <v>22</v>
      </c>
      <c r="C28" s="1">
        <v>167.14999999999998</v>
      </c>
      <c r="D28" s="1">
        <v>166.01999999999998</v>
      </c>
      <c r="E28" s="1">
        <v>1.129999999999999</v>
      </c>
      <c r="F28" s="1">
        <v>0.96100000000000063</v>
      </c>
      <c r="G28" s="3">
        <f t="shared" si="0"/>
        <v>1.2509721806760394E-2</v>
      </c>
    </row>
    <row r="29" spans="2:7">
      <c r="B29" s="1" t="s">
        <v>26</v>
      </c>
      <c r="C29" s="1">
        <v>471.03000000000003</v>
      </c>
      <c r="D29" s="1">
        <v>468.37000000000006</v>
      </c>
      <c r="E29" s="1">
        <v>2.6599999999999966</v>
      </c>
      <c r="F29" s="1">
        <v>3.1430000000000002</v>
      </c>
      <c r="G29" s="3">
        <f t="shared" si="0"/>
        <v>1.231980977857036E-2</v>
      </c>
    </row>
    <row r="30" spans="2:7">
      <c r="B30" s="1" t="s">
        <v>31</v>
      </c>
      <c r="C30" s="1">
        <v>297.49</v>
      </c>
      <c r="D30" s="1">
        <v>295.90999999999997</v>
      </c>
      <c r="E30" s="1">
        <v>1.5799999999999983</v>
      </c>
      <c r="F30" s="1">
        <v>2.0099999999999909</v>
      </c>
      <c r="G30" s="3">
        <f t="shared" si="0"/>
        <v>1.2067632525463005E-2</v>
      </c>
    </row>
    <row r="31" spans="2:7">
      <c r="B31" s="1" t="s">
        <v>25</v>
      </c>
      <c r="C31" s="1">
        <v>763.57</v>
      </c>
      <c r="D31" s="1">
        <v>757.34</v>
      </c>
      <c r="E31" s="1">
        <v>6.2300000000000111</v>
      </c>
      <c r="F31" s="1">
        <v>2.7102999999999478</v>
      </c>
      <c r="G31" s="3">
        <f t="shared" si="0"/>
        <v>1.1708553243317519E-2</v>
      </c>
    </row>
    <row r="32" spans="2:7">
      <c r="B32" s="1" t="s">
        <v>18</v>
      </c>
      <c r="C32" s="1">
        <v>960.4799999999999</v>
      </c>
      <c r="D32" s="1">
        <v>951.28</v>
      </c>
      <c r="E32" s="1">
        <v>9.2000000000000028</v>
      </c>
      <c r="F32" s="1">
        <v>1.9799999999999986</v>
      </c>
      <c r="G32" s="3">
        <f t="shared" si="0"/>
        <v>1.1640013326670001E-2</v>
      </c>
    </row>
    <row r="33" spans="2:7">
      <c r="B33" s="1" t="s">
        <v>33</v>
      </c>
      <c r="C33" s="1">
        <v>227.70000000000002</v>
      </c>
      <c r="D33" s="1">
        <v>226.95999999999998</v>
      </c>
      <c r="E33" s="1">
        <v>0.73999999999999844</v>
      </c>
      <c r="F33" s="1">
        <v>1.8609999999999953</v>
      </c>
      <c r="G33" s="3">
        <f t="shared" si="0"/>
        <v>1.1422924901185743E-2</v>
      </c>
    </row>
    <row r="34" spans="2:7">
      <c r="B34" s="1" t="s">
        <v>21</v>
      </c>
      <c r="C34" s="1">
        <v>353.23</v>
      </c>
      <c r="D34" s="1">
        <v>350.36999999999995</v>
      </c>
      <c r="E34" s="1">
        <v>2.8599999999999994</v>
      </c>
      <c r="F34" s="1">
        <v>1.1049999999999969</v>
      </c>
      <c r="G34" s="3">
        <f t="shared" si="0"/>
        <v>1.1224980890637818E-2</v>
      </c>
    </row>
    <row r="35" spans="2:7">
      <c r="B35" s="1" t="s">
        <v>15</v>
      </c>
      <c r="C35" s="1">
        <v>195.95999999999998</v>
      </c>
      <c r="D35" s="1">
        <v>194.14999999999998</v>
      </c>
      <c r="E35" s="1">
        <v>1.8099999999999987</v>
      </c>
      <c r="F35" s="1">
        <v>0.20200000000000173</v>
      </c>
      <c r="G35" s="3">
        <f t="shared" si="0"/>
        <v>1.0267401510512354E-2</v>
      </c>
    </row>
    <row r="36" spans="2:7">
      <c r="B36" s="1" t="s">
        <v>11</v>
      </c>
      <c r="C36" s="1">
        <v>1450.3500000000001</v>
      </c>
      <c r="D36" s="1">
        <v>1435.51</v>
      </c>
      <c r="E36" s="1">
        <v>14.840000000000011</v>
      </c>
      <c r="F36" s="1">
        <v>0</v>
      </c>
      <c r="G36" s="3">
        <f t="shared" si="0"/>
        <v>1.0232012962388395E-2</v>
      </c>
    </row>
    <row r="37" spans="2:7">
      <c r="B37" s="1" t="s">
        <v>24</v>
      </c>
      <c r="C37" s="1">
        <v>836.41</v>
      </c>
      <c r="D37" s="1">
        <v>830.35000000000025</v>
      </c>
      <c r="E37" s="1">
        <v>6.0599999999999774</v>
      </c>
      <c r="F37" s="1">
        <v>2.3399999999999714</v>
      </c>
      <c r="G37" s="3">
        <f t="shared" si="0"/>
        <v>1.0042921533697527E-2</v>
      </c>
    </row>
    <row r="38" spans="2:7">
      <c r="B38" s="1" t="s">
        <v>27</v>
      </c>
      <c r="C38" s="1">
        <v>437.89</v>
      </c>
      <c r="D38" s="1">
        <v>434.61</v>
      </c>
      <c r="E38" s="1">
        <v>3.2799999999999976</v>
      </c>
      <c r="F38" s="1">
        <v>0.5951999999999984</v>
      </c>
      <c r="G38" s="3">
        <f t="shared" si="0"/>
        <v>8.8497111146634902E-3</v>
      </c>
    </row>
    <row r="39" spans="2:7">
      <c r="B39" s="1" t="s">
        <v>8</v>
      </c>
      <c r="C39" s="1">
        <v>2046.2999999999997</v>
      </c>
      <c r="D39" s="1">
        <v>2030.54</v>
      </c>
      <c r="E39" s="1">
        <v>15.760000000000005</v>
      </c>
      <c r="F39" s="1">
        <v>0.44100000000002382</v>
      </c>
      <c r="G39" s="3">
        <f t="shared" si="0"/>
        <v>7.9172164394272736E-3</v>
      </c>
    </row>
    <row r="40" spans="2:7">
      <c r="B40" s="1" t="s">
        <v>17</v>
      </c>
      <c r="C40" s="1">
        <v>653.19999999999993</v>
      </c>
      <c r="D40" s="1">
        <v>648.46999999999991</v>
      </c>
      <c r="E40" s="1">
        <v>4.7300000000000004</v>
      </c>
      <c r="F40" s="1">
        <v>0.12399999999999167</v>
      </c>
      <c r="G40" s="3">
        <f t="shared" si="0"/>
        <v>7.4311083894672272E-3</v>
      </c>
    </row>
    <row r="41" spans="2:7">
      <c r="B41" s="26" t="s">
        <v>60</v>
      </c>
      <c r="C41" s="26">
        <v>24131.945</v>
      </c>
      <c r="D41" s="26">
        <v>23834.366000000002</v>
      </c>
      <c r="E41" s="26">
        <v>297.57900000000012</v>
      </c>
      <c r="F41" s="26">
        <v>137.30649999999977</v>
      </c>
      <c r="G41" s="29">
        <f t="shared" si="0"/>
        <v>1.8021154117498606E-2</v>
      </c>
    </row>
  </sheetData>
  <autoFilter ref="B8:G8" xr:uid="{07CB4FE7-E432-4338-929A-84D2157DE795}">
    <sortState xmlns:xlrd2="http://schemas.microsoft.com/office/spreadsheetml/2017/richdata2" ref="B9:G40">
      <sortCondition descending="1" ref="G8"/>
    </sortState>
  </autoFilter>
  <mergeCells count="1">
    <mergeCell ref="B6:G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4A519-FB0B-4778-9007-C9AE99E86A84}">
  <dimension ref="A3:G42"/>
  <sheetViews>
    <sheetView workbookViewId="0">
      <selection activeCell="C42" sqref="C42:D42"/>
    </sheetView>
  </sheetViews>
  <sheetFormatPr defaultRowHeight="14.4"/>
  <cols>
    <col min="1" max="1" width="17.88671875" customWidth="1"/>
    <col min="2" max="2" width="16.44140625" bestFit="1" customWidth="1"/>
    <col min="3" max="3" width="12.88671875" bestFit="1" customWidth="1"/>
    <col min="4" max="4" width="10.44140625" bestFit="1" customWidth="1"/>
    <col min="5" max="6" width="17.21875" bestFit="1" customWidth="1"/>
  </cols>
  <sheetData>
    <row r="3" spans="1:7">
      <c r="B3" t="s">
        <v>46</v>
      </c>
      <c r="C3" t="s">
        <v>45</v>
      </c>
      <c r="D3" t="s">
        <v>47</v>
      </c>
      <c r="E3" t="s">
        <v>48</v>
      </c>
      <c r="F3" t="s">
        <v>6</v>
      </c>
    </row>
    <row r="4" spans="1:7">
      <c r="A4" s="20"/>
      <c r="B4">
        <v>14119.81</v>
      </c>
      <c r="C4">
        <v>13953.935000000005</v>
      </c>
      <c r="D4">
        <v>165.87499999999994</v>
      </c>
      <c r="E4">
        <v>179.75566000000066</v>
      </c>
      <c r="F4" s="4">
        <f>(D4+E4)/B4</f>
        <v>2.4478421451846775E-2</v>
      </c>
    </row>
    <row r="5" spans="1:7">
      <c r="A5" s="20"/>
      <c r="F5" s="4"/>
    </row>
    <row r="6" spans="1:7">
      <c r="A6" s="20"/>
      <c r="B6" s="131" t="s">
        <v>63</v>
      </c>
      <c r="C6" s="131"/>
      <c r="D6" s="131"/>
      <c r="E6" s="131"/>
      <c r="F6" s="131"/>
      <c r="G6" s="131"/>
    </row>
    <row r="7" spans="1:7">
      <c r="A7" s="20"/>
      <c r="B7" s="131"/>
      <c r="C7" s="131"/>
      <c r="D7" s="131"/>
      <c r="E7" s="131"/>
      <c r="F7" s="131"/>
      <c r="G7" s="131"/>
    </row>
    <row r="8" spans="1:7">
      <c r="A8" s="20"/>
      <c r="B8" s="13" t="s">
        <v>61</v>
      </c>
      <c r="C8" s="13" t="s">
        <v>46</v>
      </c>
      <c r="D8" s="13" t="s">
        <v>45</v>
      </c>
      <c r="E8" s="13" t="s">
        <v>47</v>
      </c>
      <c r="F8" s="13" t="s">
        <v>48</v>
      </c>
      <c r="G8" s="13" t="s">
        <v>6</v>
      </c>
    </row>
    <row r="9" spans="1:7">
      <c r="A9" s="20"/>
      <c r="B9" s="1" t="s">
        <v>44</v>
      </c>
      <c r="C9" s="1">
        <v>20</v>
      </c>
      <c r="D9" s="1">
        <v>19.88</v>
      </c>
      <c r="E9" s="1">
        <v>0.12000000000000099</v>
      </c>
      <c r="F9" s="1">
        <v>2.0820000000000007</v>
      </c>
      <c r="G9" s="7">
        <f t="shared" ref="G9:G42" si="0">(E9+F9)/C9</f>
        <v>0.11010000000000009</v>
      </c>
    </row>
    <row r="10" spans="1:7">
      <c r="A10" s="20"/>
      <c r="B10" s="1" t="s">
        <v>11</v>
      </c>
      <c r="C10" s="1">
        <v>100</v>
      </c>
      <c r="D10" s="1">
        <v>99.39</v>
      </c>
      <c r="E10" s="1">
        <v>0.60999999999999943</v>
      </c>
      <c r="F10" s="1">
        <v>10.034000000000116</v>
      </c>
      <c r="G10" s="7">
        <f t="shared" si="0"/>
        <v>0.10644000000000116</v>
      </c>
    </row>
    <row r="11" spans="1:7">
      <c r="A11" s="20"/>
      <c r="B11" s="1" t="s">
        <v>10</v>
      </c>
      <c r="C11" s="1">
        <v>160</v>
      </c>
      <c r="D11" s="1">
        <v>157.56</v>
      </c>
      <c r="E11" s="1">
        <v>2.4399999999999942</v>
      </c>
      <c r="F11" s="1">
        <v>7.5380000000000065</v>
      </c>
      <c r="G11" s="7">
        <f t="shared" si="0"/>
        <v>6.2362500000000008E-2</v>
      </c>
    </row>
    <row r="12" spans="1:7">
      <c r="A12" s="20"/>
      <c r="B12" s="1" t="s">
        <v>32</v>
      </c>
      <c r="C12" s="1">
        <v>123</v>
      </c>
      <c r="D12" s="1">
        <v>120.87</v>
      </c>
      <c r="E12" s="1">
        <v>2.129999999999999</v>
      </c>
      <c r="F12" s="1">
        <v>4.6870000000000136</v>
      </c>
      <c r="G12" s="7">
        <f t="shared" si="0"/>
        <v>5.5422764227642377E-2</v>
      </c>
    </row>
    <row r="13" spans="1:7">
      <c r="A13" s="20"/>
      <c r="B13" s="1" t="s">
        <v>12</v>
      </c>
      <c r="C13" s="1">
        <v>1200</v>
      </c>
      <c r="D13" s="1">
        <v>1152.25</v>
      </c>
      <c r="E13" s="1">
        <v>47.750000000000014</v>
      </c>
      <c r="F13" s="1">
        <v>16.195000000000032</v>
      </c>
      <c r="G13" s="7">
        <f t="shared" si="0"/>
        <v>5.3287500000000043E-2</v>
      </c>
    </row>
    <row r="14" spans="1:7">
      <c r="A14" s="20"/>
      <c r="B14" s="1" t="s">
        <v>28</v>
      </c>
      <c r="C14" s="1">
        <v>133.58000000000001</v>
      </c>
      <c r="D14" s="1">
        <v>132.32</v>
      </c>
      <c r="E14" s="1">
        <v>1.2599999999999998</v>
      </c>
      <c r="F14" s="1">
        <v>5.8109999999999999</v>
      </c>
      <c r="G14" s="7">
        <f t="shared" si="0"/>
        <v>5.2934571043569391E-2</v>
      </c>
    </row>
    <row r="15" spans="1:7">
      <c r="A15" s="20"/>
      <c r="B15" s="1" t="s">
        <v>29</v>
      </c>
      <c r="C15" s="1">
        <v>140</v>
      </c>
      <c r="D15" s="1">
        <v>138.36000000000001</v>
      </c>
      <c r="E15" s="1">
        <v>1.639999999999997</v>
      </c>
      <c r="F15" s="1">
        <v>4.8540000000000028</v>
      </c>
      <c r="G15" s="7">
        <f t="shared" si="0"/>
        <v>4.6385714285714287E-2</v>
      </c>
    </row>
    <row r="16" spans="1:7">
      <c r="A16" s="20"/>
      <c r="B16" s="1" t="s">
        <v>35</v>
      </c>
      <c r="C16" s="1">
        <v>180</v>
      </c>
      <c r="D16" s="1">
        <v>178.32</v>
      </c>
      <c r="E16" s="1">
        <v>1.6800000000000033</v>
      </c>
      <c r="F16" s="1">
        <v>5.6109999999999935</v>
      </c>
      <c r="G16" s="7">
        <f t="shared" si="0"/>
        <v>4.0505555555555538E-2</v>
      </c>
    </row>
    <row r="17" spans="1:7">
      <c r="A17" s="20"/>
      <c r="B17" s="1" t="s">
        <v>23</v>
      </c>
      <c r="C17" s="1">
        <v>120</v>
      </c>
      <c r="D17" s="1">
        <v>118.79000000000002</v>
      </c>
      <c r="E17" s="1">
        <v>1.2099999999999973</v>
      </c>
      <c r="F17" s="1">
        <v>3.5760000000001355</v>
      </c>
      <c r="G17" s="7">
        <f t="shared" si="0"/>
        <v>3.9883333333334443E-2</v>
      </c>
    </row>
    <row r="18" spans="1:7">
      <c r="A18" s="20"/>
      <c r="B18" s="1" t="s">
        <v>39</v>
      </c>
      <c r="C18" s="1">
        <v>480</v>
      </c>
      <c r="D18" s="1">
        <v>465.88000000000005</v>
      </c>
      <c r="E18" s="1">
        <v>14.120000000000001</v>
      </c>
      <c r="F18" s="1">
        <v>2.9260000000000161</v>
      </c>
      <c r="G18" s="7">
        <f t="shared" si="0"/>
        <v>3.5512500000000037E-2</v>
      </c>
    </row>
    <row r="19" spans="1:7">
      <c r="A19" s="20"/>
      <c r="B19" s="1" t="s">
        <v>33</v>
      </c>
      <c r="C19" s="1">
        <v>148.19</v>
      </c>
      <c r="D19" s="1">
        <v>147.49</v>
      </c>
      <c r="E19" s="1">
        <v>0.69999999999999929</v>
      </c>
      <c r="F19" s="1">
        <v>4.4080000000000101</v>
      </c>
      <c r="G19" s="7">
        <f t="shared" si="0"/>
        <v>3.4469262433362638E-2</v>
      </c>
    </row>
    <row r="20" spans="1:7">
      <c r="A20" s="20"/>
      <c r="B20" s="1" t="s">
        <v>9</v>
      </c>
      <c r="C20" s="1">
        <v>720.48</v>
      </c>
      <c r="D20" s="1">
        <v>714.19999999999993</v>
      </c>
      <c r="E20" s="1">
        <v>6.2799999999999798</v>
      </c>
      <c r="F20" s="1">
        <v>17.301999999999982</v>
      </c>
      <c r="G20" s="7">
        <f t="shared" si="0"/>
        <v>3.2730957139684602E-2</v>
      </c>
    </row>
    <row r="21" spans="1:7">
      <c r="A21" s="20"/>
      <c r="B21" s="1" t="s">
        <v>37</v>
      </c>
      <c r="C21" s="1">
        <v>100</v>
      </c>
      <c r="D21" s="1">
        <v>99.34</v>
      </c>
      <c r="E21" s="1">
        <v>0.65999999999999659</v>
      </c>
      <c r="F21" s="1">
        <v>2.1130000000000053</v>
      </c>
      <c r="G21" s="7">
        <f t="shared" si="0"/>
        <v>2.7730000000000019E-2</v>
      </c>
    </row>
    <row r="22" spans="1:7">
      <c r="A22" s="20"/>
      <c r="B22" s="1" t="s">
        <v>24</v>
      </c>
      <c r="C22" s="1">
        <v>180</v>
      </c>
      <c r="D22" s="1">
        <v>178.68999999999997</v>
      </c>
      <c r="E22" s="1">
        <v>1.3099999999999987</v>
      </c>
      <c r="F22" s="1">
        <v>3.647000000000006</v>
      </c>
      <c r="G22" s="7">
        <f t="shared" si="0"/>
        <v>2.7538888888888911E-2</v>
      </c>
    </row>
    <row r="23" spans="1:7">
      <c r="A23" s="20"/>
      <c r="B23" s="1" t="s">
        <v>19</v>
      </c>
      <c r="C23" s="1">
        <v>540</v>
      </c>
      <c r="D23" s="1">
        <v>529.67999999999995</v>
      </c>
      <c r="E23" s="1">
        <v>10.31999999999999</v>
      </c>
      <c r="F23" s="1">
        <v>3.0969999999999964</v>
      </c>
      <c r="G23" s="7">
        <f t="shared" si="0"/>
        <v>2.4846296296296269E-2</v>
      </c>
    </row>
    <row r="24" spans="1:7">
      <c r="A24" s="20"/>
      <c r="B24" s="1" t="s">
        <v>13</v>
      </c>
      <c r="C24" s="1">
        <v>460</v>
      </c>
      <c r="D24" s="1">
        <v>454.1</v>
      </c>
      <c r="E24" s="1">
        <v>5.8999999999999879</v>
      </c>
      <c r="F24" s="1">
        <v>5.3450000000000424</v>
      </c>
      <c r="G24" s="7">
        <f t="shared" si="0"/>
        <v>2.4445652173913108E-2</v>
      </c>
    </row>
    <row r="25" spans="1:7">
      <c r="A25" s="20"/>
      <c r="B25" s="1" t="s">
        <v>25</v>
      </c>
      <c r="C25" s="1">
        <v>200</v>
      </c>
      <c r="D25" s="1">
        <v>198.70999999999998</v>
      </c>
      <c r="E25" s="1">
        <v>1.289999999999992</v>
      </c>
      <c r="F25" s="1">
        <v>3.1818</v>
      </c>
      <c r="G25" s="7">
        <f t="shared" si="0"/>
        <v>2.2358999999999959E-2</v>
      </c>
    </row>
    <row r="26" spans="1:7">
      <c r="A26" s="20"/>
      <c r="B26" s="1" t="s">
        <v>26</v>
      </c>
      <c r="C26" s="1">
        <v>240</v>
      </c>
      <c r="D26" s="1">
        <v>239.08000000000004</v>
      </c>
      <c r="E26" s="1">
        <v>0.92000000000000526</v>
      </c>
      <c r="F26" s="1">
        <v>4.3260000000000201</v>
      </c>
      <c r="G26" s="7">
        <f t="shared" si="0"/>
        <v>2.1858333333333438E-2</v>
      </c>
    </row>
    <row r="27" spans="1:7">
      <c r="A27" s="20"/>
      <c r="B27" s="1" t="s">
        <v>16</v>
      </c>
      <c r="C27" s="1">
        <v>500</v>
      </c>
      <c r="D27" s="1">
        <v>495.55000000000007</v>
      </c>
      <c r="E27" s="1">
        <v>4.4500000000000028</v>
      </c>
      <c r="F27" s="1">
        <v>5.9840000000000284</v>
      </c>
      <c r="G27" s="7">
        <f t="shared" si="0"/>
        <v>2.0868000000000064E-2</v>
      </c>
    </row>
    <row r="28" spans="1:7">
      <c r="A28" s="20"/>
      <c r="B28" s="1" t="s">
        <v>34</v>
      </c>
      <c r="C28" s="1">
        <v>340</v>
      </c>
      <c r="D28" s="1">
        <v>337.15000000000003</v>
      </c>
      <c r="E28" s="1">
        <v>2.8500000000000014</v>
      </c>
      <c r="F28" s="1">
        <v>4.1850000000000049</v>
      </c>
      <c r="G28" s="7">
        <f t="shared" si="0"/>
        <v>2.0691176470588254E-2</v>
      </c>
    </row>
    <row r="29" spans="1:7">
      <c r="A29" s="20"/>
      <c r="B29" s="1" t="s">
        <v>15</v>
      </c>
      <c r="C29" s="1">
        <v>310</v>
      </c>
      <c r="D29" s="1">
        <v>307.48</v>
      </c>
      <c r="E29" s="1">
        <v>2.5200000000000031</v>
      </c>
      <c r="F29" s="1">
        <v>3.8568600000000122</v>
      </c>
      <c r="G29" s="7">
        <f t="shared" si="0"/>
        <v>2.0570516129032306E-2</v>
      </c>
    </row>
    <row r="30" spans="1:7">
      <c r="A30" s="20"/>
      <c r="B30" s="1" t="s">
        <v>14</v>
      </c>
      <c r="C30" s="1">
        <v>1080</v>
      </c>
      <c r="D30" s="1">
        <v>1071.82</v>
      </c>
      <c r="E30" s="1">
        <v>8.1799999999999891</v>
      </c>
      <c r="F30" s="1">
        <v>13.977000000000015</v>
      </c>
      <c r="G30" s="7">
        <f t="shared" si="0"/>
        <v>2.0515740740740744E-2</v>
      </c>
    </row>
    <row r="31" spans="1:7">
      <c r="A31" s="20"/>
      <c r="B31" s="1" t="s">
        <v>30</v>
      </c>
      <c r="C31" s="1">
        <v>180</v>
      </c>
      <c r="D31" s="1">
        <v>178.41000000000003</v>
      </c>
      <c r="E31" s="1">
        <v>1.5899999999999963</v>
      </c>
      <c r="F31" s="1">
        <v>2.0370000000000128</v>
      </c>
      <c r="G31" s="7">
        <f t="shared" si="0"/>
        <v>2.015000000000005E-2</v>
      </c>
    </row>
    <row r="32" spans="1:7">
      <c r="A32" s="20"/>
      <c r="B32" s="1" t="s">
        <v>38</v>
      </c>
      <c r="C32" s="1">
        <v>200</v>
      </c>
      <c r="D32" s="1">
        <v>197.57999999999998</v>
      </c>
      <c r="E32" s="1">
        <v>2.4200000000000017</v>
      </c>
      <c r="F32" s="1">
        <v>1.4130000000000038</v>
      </c>
      <c r="G32" s="3">
        <f t="shared" si="0"/>
        <v>1.9165000000000029E-2</v>
      </c>
    </row>
    <row r="33" spans="1:7">
      <c r="A33" s="20"/>
      <c r="B33" s="1" t="s">
        <v>31</v>
      </c>
      <c r="C33" s="1">
        <v>275</v>
      </c>
      <c r="D33" s="1">
        <v>273.37</v>
      </c>
      <c r="E33" s="1">
        <v>1.629999999999999</v>
      </c>
      <c r="F33" s="1">
        <v>3.3559999999999981</v>
      </c>
      <c r="G33" s="3">
        <f t="shared" si="0"/>
        <v>1.8130909090909079E-2</v>
      </c>
    </row>
    <row r="34" spans="1:7">
      <c r="A34" s="20"/>
      <c r="B34" s="1" t="s">
        <v>20</v>
      </c>
      <c r="C34" s="1">
        <v>475</v>
      </c>
      <c r="D34" s="1">
        <v>473.98</v>
      </c>
      <c r="E34" s="1">
        <v>1.0199999999999712</v>
      </c>
      <c r="F34" s="1">
        <v>6.9520000000000621</v>
      </c>
      <c r="G34" s="3">
        <f t="shared" si="0"/>
        <v>1.6783157894736913E-2</v>
      </c>
    </row>
    <row r="35" spans="1:7">
      <c r="A35" s="20"/>
      <c r="B35" s="1" t="s">
        <v>21</v>
      </c>
      <c r="C35" s="1">
        <v>720</v>
      </c>
      <c r="D35" s="1">
        <v>712.55999999999983</v>
      </c>
      <c r="E35" s="1">
        <v>7.4400000000000013</v>
      </c>
      <c r="F35" s="1">
        <v>4.0559999999999814</v>
      </c>
      <c r="G35" s="3">
        <f t="shared" si="0"/>
        <v>1.5966666666666643E-2</v>
      </c>
    </row>
    <row r="36" spans="1:7">
      <c r="A36" s="20"/>
      <c r="B36" s="1" t="s">
        <v>18</v>
      </c>
      <c r="C36" s="1">
        <v>820</v>
      </c>
      <c r="D36" s="1">
        <v>815.32000000000016</v>
      </c>
      <c r="E36" s="1">
        <v>4.6799999999999926</v>
      </c>
      <c r="F36" s="1">
        <v>7.9899999999999904</v>
      </c>
      <c r="G36" s="3">
        <f t="shared" si="0"/>
        <v>1.5451219512195103E-2</v>
      </c>
    </row>
    <row r="37" spans="1:7">
      <c r="A37" s="20"/>
      <c r="B37" s="1" t="s">
        <v>17</v>
      </c>
      <c r="C37" s="1">
        <v>620</v>
      </c>
      <c r="D37" s="1">
        <v>615.43999999999994</v>
      </c>
      <c r="E37" s="1">
        <v>4.5600000000000058</v>
      </c>
      <c r="F37" s="1">
        <v>3.0919999999999872</v>
      </c>
      <c r="G37" s="3">
        <f t="shared" si="0"/>
        <v>1.2341935483870957E-2</v>
      </c>
    </row>
    <row r="38" spans="1:7">
      <c r="B38" s="1" t="s">
        <v>8</v>
      </c>
      <c r="C38" s="1">
        <v>1560</v>
      </c>
      <c r="D38" s="1">
        <v>1547.7199999999996</v>
      </c>
      <c r="E38" s="1">
        <v>12.280000000000012</v>
      </c>
      <c r="F38" s="1">
        <v>6.9409999999998924</v>
      </c>
      <c r="G38" s="3">
        <f t="shared" si="0"/>
        <v>1.2321153846153786E-2</v>
      </c>
    </row>
    <row r="39" spans="1:7">
      <c r="B39" s="1" t="s">
        <v>22</v>
      </c>
      <c r="C39" s="1">
        <v>960</v>
      </c>
      <c r="D39" s="1">
        <v>951.51999999999987</v>
      </c>
      <c r="E39" s="1">
        <v>8.4800000000000075</v>
      </c>
      <c r="F39" s="1">
        <v>3.2389999999999501</v>
      </c>
      <c r="G39" s="3">
        <f t="shared" si="0"/>
        <v>1.2207291666666623E-2</v>
      </c>
    </row>
    <row r="40" spans="1:7">
      <c r="B40" s="1" t="s">
        <v>36</v>
      </c>
      <c r="C40" s="1">
        <v>674.56000000000006</v>
      </c>
      <c r="D40" s="1">
        <v>671.72499999999991</v>
      </c>
      <c r="E40" s="1">
        <v>2.8350000000000151</v>
      </c>
      <c r="F40" s="1">
        <v>5.1250000000000071</v>
      </c>
      <c r="G40" s="3">
        <f t="shared" si="0"/>
        <v>1.1800284629981056E-2</v>
      </c>
    </row>
    <row r="41" spans="1:7">
      <c r="B41" s="1" t="s">
        <v>27</v>
      </c>
      <c r="C41" s="1">
        <v>160</v>
      </c>
      <c r="D41" s="1">
        <v>159.4</v>
      </c>
      <c r="E41" s="1">
        <v>0.60000000000000142</v>
      </c>
      <c r="F41" s="1">
        <v>0.81800000000000161</v>
      </c>
      <c r="G41" s="3">
        <f t="shared" si="0"/>
        <v>8.8625000000000197E-3</v>
      </c>
    </row>
    <row r="42" spans="1:7">
      <c r="B42" s="26" t="s">
        <v>60</v>
      </c>
      <c r="C42" s="19">
        <v>14119.809999999998</v>
      </c>
      <c r="D42" s="19">
        <v>13953.934999999999</v>
      </c>
      <c r="E42" s="26">
        <v>165.87499999999991</v>
      </c>
      <c r="F42" s="26">
        <v>179.75566000000035</v>
      </c>
      <c r="G42" s="29">
        <f t="shared" si="0"/>
        <v>2.4478421451846755E-2</v>
      </c>
    </row>
  </sheetData>
  <autoFilter ref="B8:G8" xr:uid="{5294A519-FB0B-4778-9007-C9AE99E86A84}">
    <sortState xmlns:xlrd2="http://schemas.microsoft.com/office/spreadsheetml/2017/richdata2" ref="B9:G41">
      <sortCondition descending="1" ref="G8"/>
    </sortState>
  </autoFilter>
  <mergeCells count="1">
    <mergeCell ref="B6:G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BD11D-0F00-4744-95E0-96BE0ADBD8D5}">
  <sheetPr>
    <tabColor rgb="FF92D050"/>
  </sheetPr>
  <dimension ref="A3:K12"/>
  <sheetViews>
    <sheetView workbookViewId="0">
      <selection activeCell="I3" sqref="I3"/>
    </sheetView>
  </sheetViews>
  <sheetFormatPr defaultRowHeight="14.4"/>
  <cols>
    <col min="1" max="1" width="30.33203125" bestFit="1" customWidth="1"/>
    <col min="2" max="2" width="11.44140625" bestFit="1" customWidth="1"/>
    <col min="6" max="6" width="13.5546875" bestFit="1" customWidth="1"/>
    <col min="8" max="8" width="11.5546875" bestFit="1" customWidth="1"/>
    <col min="9" max="9" width="13.21875" bestFit="1" customWidth="1"/>
    <col min="10" max="10" width="15.109375" bestFit="1" customWidth="1"/>
    <col min="11" max="12" width="17.88671875" bestFit="1" customWidth="1"/>
    <col min="13" max="39" width="5" bestFit="1" customWidth="1"/>
    <col min="40" max="40" width="13.21875" bestFit="1" customWidth="1"/>
    <col min="41" max="70" width="5" bestFit="1" customWidth="1"/>
    <col min="71" max="71" width="15.109375" bestFit="1" customWidth="1"/>
    <col min="72" max="101" width="5" bestFit="1" customWidth="1"/>
    <col min="102" max="102" width="17.88671875" bestFit="1" customWidth="1"/>
    <col min="103" max="110" width="2" bestFit="1" customWidth="1"/>
    <col min="111" max="132" width="3" bestFit="1" customWidth="1"/>
    <col min="133" max="133" width="16.33203125" bestFit="1" customWidth="1"/>
    <col min="134" max="134" width="18" bestFit="1" customWidth="1"/>
    <col min="135" max="135" width="19.88671875" bestFit="1" customWidth="1"/>
    <col min="136" max="136" width="22.6640625" bestFit="1" customWidth="1"/>
  </cols>
  <sheetData>
    <row r="3" spans="1:11">
      <c r="H3" t="s">
        <v>46</v>
      </c>
      <c r="I3" t="s">
        <v>45</v>
      </c>
      <c r="J3" t="s">
        <v>47</v>
      </c>
      <c r="K3" t="s">
        <v>48</v>
      </c>
    </row>
    <row r="4" spans="1:11">
      <c r="H4" s="15">
        <v>0</v>
      </c>
      <c r="I4" s="15">
        <v>0</v>
      </c>
      <c r="J4" s="15">
        <v>0</v>
      </c>
      <c r="K4">
        <v>0</v>
      </c>
    </row>
    <row r="5" spans="1:11">
      <c r="A5" s="26" t="s">
        <v>50</v>
      </c>
      <c r="B5" s="2">
        <f>GETPIVOTDATA("Sum of TALY",$H$3)</f>
        <v>0</v>
      </c>
      <c r="C5" s="21" t="s">
        <v>52</v>
      </c>
      <c r="D5" s="22">
        <v>85200</v>
      </c>
      <c r="E5" s="18" t="s">
        <v>53</v>
      </c>
      <c r="F5" s="23">
        <f>B5*D5</f>
        <v>0</v>
      </c>
    </row>
    <row r="6" spans="1:11">
      <c r="A6" s="26" t="s">
        <v>51</v>
      </c>
      <c r="B6" s="2">
        <f>GETPIVOTDATA("Sum of NETTO",$H$3)</f>
        <v>0</v>
      </c>
      <c r="C6" s="21" t="s">
        <v>52</v>
      </c>
      <c r="D6" s="22">
        <v>85200</v>
      </c>
      <c r="E6" s="18" t="s">
        <v>53</v>
      </c>
      <c r="F6" s="23">
        <f>B6*D6</f>
        <v>0</v>
      </c>
    </row>
    <row r="7" spans="1:11">
      <c r="A7" s="1"/>
      <c r="B7" s="1"/>
      <c r="C7" s="1"/>
      <c r="D7" s="1"/>
      <c r="E7" s="1"/>
      <c r="F7" s="1"/>
    </row>
    <row r="8" spans="1:11">
      <c r="A8" s="1" t="s">
        <v>55</v>
      </c>
      <c r="B8" s="2">
        <f>GETPIVOTDATA("Sum of SUSUT 1 ",$H$3)</f>
        <v>0</v>
      </c>
      <c r="C8" s="1"/>
      <c r="D8" s="1"/>
      <c r="E8" s="1"/>
      <c r="F8" s="1"/>
    </row>
    <row r="9" spans="1:11">
      <c r="A9" s="1" t="s">
        <v>5</v>
      </c>
      <c r="B9" s="2">
        <f>GETPIVOTDATA("Sum of SUSUT JUAL",$H$3)</f>
        <v>0</v>
      </c>
      <c r="C9" s="1"/>
      <c r="D9" s="1"/>
      <c r="E9" s="1"/>
      <c r="F9" s="1"/>
    </row>
    <row r="10" spans="1:11">
      <c r="A10" s="1" t="s">
        <v>56</v>
      </c>
      <c r="B10" s="2">
        <f>B8+B9</f>
        <v>0</v>
      </c>
      <c r="C10" s="3" t="e">
        <f>B10/B5</f>
        <v>#DIV/0!</v>
      </c>
      <c r="D10" s="1"/>
      <c r="E10" s="1"/>
      <c r="F10" s="1"/>
    </row>
    <row r="11" spans="1:11">
      <c r="A11" s="1"/>
      <c r="B11" s="1"/>
      <c r="C11" s="1"/>
      <c r="D11" s="1"/>
      <c r="E11" s="1"/>
      <c r="F11" s="1"/>
    </row>
    <row r="12" spans="1:11">
      <c r="A12" s="24" t="s">
        <v>59</v>
      </c>
      <c r="B12" s="25" t="e">
        <f>(F5)/(B6-B9)</f>
        <v>#DIV/0!</v>
      </c>
      <c r="C12" s="1"/>
      <c r="D12" s="3"/>
      <c r="E12" s="1"/>
      <c r="F12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A45DB-7258-4028-98FB-12A08B0FB1D6}">
  <sheetPr>
    <tabColor rgb="FFFF0000"/>
  </sheetPr>
  <dimension ref="A3:K12"/>
  <sheetViews>
    <sheetView workbookViewId="0">
      <selection activeCell="F19" sqref="F19"/>
    </sheetView>
  </sheetViews>
  <sheetFormatPr defaultRowHeight="14.4"/>
  <cols>
    <col min="1" max="1" width="28.5546875" bestFit="1" customWidth="1"/>
    <col min="2" max="2" width="11.5546875" customWidth="1"/>
    <col min="3" max="3" width="3.5546875" bestFit="1" customWidth="1"/>
    <col min="4" max="4" width="8.5546875" bestFit="1" customWidth="1"/>
    <col min="5" max="5" width="3.109375" bestFit="1" customWidth="1"/>
    <col min="6" max="6" width="14.5546875" bestFit="1" customWidth="1"/>
    <col min="8" max="8" width="11.5546875" bestFit="1" customWidth="1"/>
    <col min="9" max="9" width="13.21875" bestFit="1" customWidth="1"/>
    <col min="10" max="10" width="15.109375" bestFit="1" customWidth="1"/>
    <col min="11" max="11" width="17.88671875" bestFit="1" customWidth="1"/>
  </cols>
  <sheetData>
    <row r="3" spans="1:11">
      <c r="H3" t="s">
        <v>46</v>
      </c>
      <c r="I3" t="s">
        <v>45</v>
      </c>
      <c r="J3" t="s">
        <v>47</v>
      </c>
      <c r="K3" t="s">
        <v>48</v>
      </c>
    </row>
    <row r="4" spans="1:11">
      <c r="H4" s="15">
        <v>81033.098999999944</v>
      </c>
      <c r="I4" s="15">
        <v>80297.294999999984</v>
      </c>
      <c r="J4" s="15">
        <v>735.80399999999975</v>
      </c>
      <c r="K4" s="20">
        <v>621.3343999999986</v>
      </c>
    </row>
    <row r="5" spans="1:11">
      <c r="A5" s="26" t="s">
        <v>50</v>
      </c>
      <c r="B5" s="2">
        <f>GETPIVOTDATA("Sum of TALY",$H$3)</f>
        <v>81033.098999999944</v>
      </c>
      <c r="C5" s="21" t="s">
        <v>52</v>
      </c>
      <c r="D5" s="22">
        <v>102000</v>
      </c>
      <c r="E5" s="18" t="s">
        <v>53</v>
      </c>
      <c r="F5" s="23">
        <f>B5*D5</f>
        <v>8265376097.9999943</v>
      </c>
    </row>
    <row r="6" spans="1:11">
      <c r="A6" s="26" t="s">
        <v>51</v>
      </c>
      <c r="B6" s="2">
        <f>GETPIVOTDATA("Sum of NETTO",$H$3)</f>
        <v>80297.294999999984</v>
      </c>
      <c r="C6" s="21" t="s">
        <v>52</v>
      </c>
      <c r="D6" s="22">
        <v>102000</v>
      </c>
      <c r="E6" s="18" t="s">
        <v>53</v>
      </c>
      <c r="F6" s="23">
        <f>B6*D6</f>
        <v>8190324089.9999981</v>
      </c>
    </row>
    <row r="7" spans="1:11">
      <c r="A7" s="1"/>
      <c r="B7" s="1"/>
      <c r="C7" s="1"/>
      <c r="D7" s="1"/>
      <c r="E7" s="1"/>
      <c r="F7" s="1"/>
    </row>
    <row r="8" spans="1:11">
      <c r="A8" s="1" t="s">
        <v>55</v>
      </c>
      <c r="B8" s="2">
        <f>GETPIVOTDATA("Sum of SUSUT 1 ",$H$3)</f>
        <v>735.80399999999975</v>
      </c>
      <c r="C8" s="1"/>
      <c r="D8" s="1"/>
      <c r="E8" s="1"/>
      <c r="F8" s="1"/>
    </row>
    <row r="9" spans="1:11">
      <c r="A9" s="1" t="s">
        <v>5</v>
      </c>
      <c r="B9" s="2">
        <f>GETPIVOTDATA("Sum of SUSUT JUAL",$H$3)</f>
        <v>621.3343999999986</v>
      </c>
      <c r="C9" s="1"/>
      <c r="D9" s="1"/>
      <c r="E9" s="1"/>
      <c r="F9" s="1"/>
    </row>
    <row r="10" spans="1:11">
      <c r="A10" s="1" t="s">
        <v>56</v>
      </c>
      <c r="B10" s="2">
        <f>B8+B9</f>
        <v>1357.1383999999985</v>
      </c>
      <c r="C10" s="1"/>
      <c r="D10" s="3">
        <f>B10/B5</f>
        <v>1.6747951352570133E-2</v>
      </c>
      <c r="E10" s="1"/>
      <c r="F10" s="1"/>
    </row>
    <row r="11" spans="1:11">
      <c r="A11" s="1"/>
      <c r="B11" s="1"/>
      <c r="C11" s="1"/>
      <c r="D11" s="1"/>
      <c r="E11" s="1"/>
      <c r="F11" s="1"/>
    </row>
    <row r="12" spans="1:11">
      <c r="A12" s="24" t="s">
        <v>58</v>
      </c>
      <c r="B12" s="25">
        <f>(F5)/(B6-B9)</f>
        <v>103737.38874006114</v>
      </c>
      <c r="C12" s="1"/>
      <c r="D12" s="3"/>
      <c r="E12" s="1"/>
      <c r="F12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61AB3-7A22-47F0-A128-B1316A174D55}">
  <sheetPr>
    <tabColor theme="8" tint="0.59999389629810485"/>
  </sheetPr>
  <dimension ref="A3:K12"/>
  <sheetViews>
    <sheetView workbookViewId="0">
      <selection activeCell="F20" sqref="F20"/>
    </sheetView>
  </sheetViews>
  <sheetFormatPr defaultRowHeight="14.4"/>
  <cols>
    <col min="1" max="1" width="28.77734375" bestFit="1" customWidth="1"/>
    <col min="2" max="2" width="15.77734375" customWidth="1"/>
    <col min="6" max="6" width="14.5546875" bestFit="1" customWidth="1"/>
    <col min="8" max="8" width="11.5546875" bestFit="1" customWidth="1"/>
    <col min="9" max="9" width="13.21875" bestFit="1" customWidth="1"/>
    <col min="10" max="10" width="15.109375" bestFit="1" customWidth="1"/>
    <col min="11" max="11" width="17.88671875" bestFit="1" customWidth="1"/>
  </cols>
  <sheetData>
    <row r="3" spans="1:11">
      <c r="H3" t="s">
        <v>46</v>
      </c>
      <c r="I3" t="s">
        <v>45</v>
      </c>
      <c r="J3" t="s">
        <v>47</v>
      </c>
      <c r="K3" t="s">
        <v>48</v>
      </c>
    </row>
    <row r="4" spans="1:11">
      <c r="H4" s="17">
        <v>0</v>
      </c>
      <c r="I4" s="17">
        <v>0</v>
      </c>
      <c r="J4" s="17">
        <v>0</v>
      </c>
      <c r="K4" s="17">
        <v>0</v>
      </c>
    </row>
    <row r="5" spans="1:11">
      <c r="A5" s="26" t="s">
        <v>50</v>
      </c>
      <c r="B5" s="2">
        <f>GETPIVOTDATA("Sum of TALY",$H$3)</f>
        <v>0</v>
      </c>
      <c r="C5" s="21" t="s">
        <v>52</v>
      </c>
      <c r="D5" s="22">
        <v>118000</v>
      </c>
      <c r="E5" s="18" t="s">
        <v>53</v>
      </c>
      <c r="F5" s="23">
        <f>B5*D5</f>
        <v>0</v>
      </c>
    </row>
    <row r="6" spans="1:11">
      <c r="A6" s="26" t="s">
        <v>51</v>
      </c>
      <c r="B6" s="2">
        <f>GETPIVOTDATA("Sum of NETTO",$H$3)</f>
        <v>0</v>
      </c>
      <c r="C6" s="21" t="s">
        <v>52</v>
      </c>
      <c r="D6" s="22">
        <v>118000</v>
      </c>
      <c r="E6" s="18" t="s">
        <v>53</v>
      </c>
      <c r="F6" s="23">
        <f>B6*D6</f>
        <v>0</v>
      </c>
    </row>
    <row r="7" spans="1:11">
      <c r="A7" s="1"/>
      <c r="B7" s="1"/>
      <c r="C7" s="1"/>
      <c r="D7" s="1"/>
      <c r="E7" s="1"/>
      <c r="F7" s="1"/>
    </row>
    <row r="8" spans="1:11">
      <c r="A8" s="1" t="s">
        <v>55</v>
      </c>
      <c r="B8" s="2">
        <f>GETPIVOTDATA("Sum of SUSUT 1 ",$H$3)</f>
        <v>0</v>
      </c>
      <c r="C8" s="1"/>
      <c r="D8" s="1"/>
      <c r="E8" s="1"/>
      <c r="F8" s="1"/>
    </row>
    <row r="9" spans="1:11">
      <c r="A9" s="1" t="s">
        <v>5</v>
      </c>
      <c r="B9" s="2" t="e">
        <f>GETPIVOTDATA("Count of SUSUT JUAL",$H$3)</f>
        <v>#REF!</v>
      </c>
      <c r="C9" s="1"/>
      <c r="D9" s="1"/>
      <c r="E9" s="1"/>
      <c r="F9" s="1"/>
    </row>
    <row r="10" spans="1:11">
      <c r="A10" s="1" t="s">
        <v>56</v>
      </c>
      <c r="B10" s="2" t="e">
        <f>B8+B9</f>
        <v>#REF!</v>
      </c>
      <c r="C10" s="3" t="e">
        <f>B10/B5</f>
        <v>#REF!</v>
      </c>
      <c r="D10" s="1"/>
      <c r="E10" s="1"/>
      <c r="F10" s="1"/>
    </row>
    <row r="11" spans="1:11">
      <c r="A11" s="1"/>
      <c r="B11" s="1"/>
      <c r="C11" s="1"/>
      <c r="D11" s="1"/>
      <c r="E11" s="1"/>
      <c r="F11" s="1"/>
    </row>
    <row r="12" spans="1:11">
      <c r="A12" s="24" t="s">
        <v>57</v>
      </c>
      <c r="B12" s="25" t="e">
        <f>(F5)/(B6-B9)</f>
        <v>#REF!</v>
      </c>
      <c r="C12" s="1"/>
      <c r="D12" s="3"/>
      <c r="E12" s="1"/>
      <c r="F12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4021-AC77-4313-9448-5BB0725D0D38}">
  <sheetPr>
    <tabColor theme="7" tint="0.39997558519241921"/>
  </sheetPr>
  <dimension ref="A3:N14"/>
  <sheetViews>
    <sheetView workbookViewId="0">
      <selection activeCell="I20" sqref="I20"/>
    </sheetView>
  </sheetViews>
  <sheetFormatPr defaultRowHeight="14.4"/>
  <cols>
    <col min="1" max="1" width="26.88671875" bestFit="1" customWidth="1"/>
    <col min="2" max="2" width="13.21875" bestFit="1" customWidth="1"/>
    <col min="3" max="3" width="5" customWidth="1"/>
    <col min="4" max="4" width="8.33203125" customWidth="1"/>
    <col min="5" max="5" width="2.88671875" customWidth="1"/>
    <col min="6" max="6" width="13.5546875" bestFit="1" customWidth="1"/>
    <col min="7" max="7" width="16.109375" bestFit="1" customWidth="1"/>
    <col min="8" max="8" width="11.5546875" bestFit="1" customWidth="1"/>
    <col min="9" max="9" width="13.21875" bestFit="1" customWidth="1"/>
    <col min="10" max="10" width="15.109375" bestFit="1" customWidth="1"/>
    <col min="11" max="11" width="17.88671875" bestFit="1" customWidth="1"/>
    <col min="12" max="12" width="10.109375" bestFit="1" customWidth="1"/>
    <col min="13" max="13" width="13.5546875" bestFit="1" customWidth="1"/>
    <col min="14" max="14" width="16.109375" bestFit="1" customWidth="1"/>
  </cols>
  <sheetData>
    <row r="3" spans="1:14">
      <c r="H3" s="1" t="s">
        <v>46</v>
      </c>
      <c r="I3" s="1" t="s">
        <v>45</v>
      </c>
      <c r="J3" s="1" t="s">
        <v>47</v>
      </c>
      <c r="K3" s="1" t="s">
        <v>48</v>
      </c>
      <c r="L3" s="19" t="s">
        <v>49</v>
      </c>
    </row>
    <row r="4" spans="1:14">
      <c r="H4" s="1">
        <v>0</v>
      </c>
      <c r="I4" s="1">
        <v>0</v>
      </c>
      <c r="J4" s="27">
        <v>0</v>
      </c>
      <c r="K4" s="1">
        <v>0</v>
      </c>
      <c r="L4" s="18">
        <v>86500</v>
      </c>
      <c r="M4" s="17">
        <f>GETPIVOTDATA("Sum of TALY",$H$3)*L4</f>
        <v>0</v>
      </c>
      <c r="N4" s="15">
        <f>GETPIVOTDATA("Sum of NETTO",$H$3)*L4</f>
        <v>0</v>
      </c>
    </row>
    <row r="5" spans="1:14">
      <c r="C5" s="15"/>
      <c r="E5" s="16"/>
      <c r="F5" s="17"/>
      <c r="G5" s="15"/>
    </row>
    <row r="6" spans="1:14">
      <c r="C6" s="15"/>
      <c r="E6" s="16"/>
      <c r="F6" s="17"/>
      <c r="G6" s="15"/>
    </row>
    <row r="7" spans="1:14">
      <c r="A7" s="26" t="s">
        <v>50</v>
      </c>
      <c r="B7" s="1">
        <f>GETPIVOTDATA("Sum of TALY",$H$3)</f>
        <v>0</v>
      </c>
      <c r="C7" s="21" t="s">
        <v>52</v>
      </c>
      <c r="D7" s="22">
        <v>86500</v>
      </c>
      <c r="E7" s="18" t="s">
        <v>53</v>
      </c>
      <c r="F7" s="23">
        <f>B7*D7</f>
        <v>0</v>
      </c>
      <c r="G7" s="15"/>
    </row>
    <row r="8" spans="1:14">
      <c r="A8" s="26" t="s">
        <v>51</v>
      </c>
      <c r="B8" s="1">
        <f>GETPIVOTDATA("Sum of NETTO",$H$3)</f>
        <v>0</v>
      </c>
      <c r="C8" s="21" t="s">
        <v>52</v>
      </c>
      <c r="D8" s="22">
        <v>86500</v>
      </c>
      <c r="E8" s="18" t="s">
        <v>53</v>
      </c>
      <c r="F8" s="23">
        <f>B8*D8</f>
        <v>0</v>
      </c>
      <c r="G8" s="15"/>
    </row>
    <row r="9" spans="1:14">
      <c r="A9" s="1"/>
      <c r="B9" s="1"/>
      <c r="C9" s="1"/>
      <c r="D9" s="1"/>
      <c r="E9" s="1"/>
      <c r="F9" s="1"/>
    </row>
    <row r="10" spans="1:14">
      <c r="A10" s="1" t="s">
        <v>55</v>
      </c>
      <c r="B10" s="2">
        <f>GETPIVOTDATA("Sum of SUSUT 1 ",$H$3)</f>
        <v>0</v>
      </c>
      <c r="C10" s="1"/>
      <c r="D10" s="1"/>
      <c r="E10" s="1"/>
      <c r="F10" s="1"/>
    </row>
    <row r="11" spans="1:14">
      <c r="A11" s="1" t="s">
        <v>5</v>
      </c>
      <c r="B11" s="2">
        <f>GETPIVOTDATA("Sum of SUSUT JUAL",$H$3)</f>
        <v>0</v>
      </c>
      <c r="C11" s="1"/>
      <c r="D11" s="1"/>
      <c r="E11" s="1"/>
      <c r="F11" s="1"/>
    </row>
    <row r="12" spans="1:14">
      <c r="A12" s="1" t="s">
        <v>56</v>
      </c>
      <c r="B12" s="2">
        <f>B10+B11</f>
        <v>0</v>
      </c>
      <c r="C12" s="1"/>
      <c r="D12" s="3" t="e">
        <f>B12/B7</f>
        <v>#DIV/0!</v>
      </c>
      <c r="E12" s="1"/>
      <c r="F12" s="1"/>
    </row>
    <row r="13" spans="1:14">
      <c r="A13" s="1"/>
      <c r="B13" s="1"/>
      <c r="C13" s="1"/>
      <c r="D13" s="1"/>
      <c r="E13" s="1"/>
      <c r="F13" s="1"/>
    </row>
    <row r="14" spans="1:14">
      <c r="A14" s="24" t="s">
        <v>54</v>
      </c>
      <c r="B14" s="25" t="e">
        <f>(M4)/(GETPIVOTDATA("Sum of NETTO",$H$3)-GETPIVOTDATA("Sum of SUSUT JUAL",$H$3))</f>
        <v>#DIV/0!</v>
      </c>
      <c r="C14" s="1"/>
      <c r="D14" s="3"/>
      <c r="E14" s="1"/>
      <c r="F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REKAP</vt:lpstr>
      <vt:lpstr>SHANKLE</vt:lpstr>
      <vt:lpstr>RENDANG</vt:lpstr>
      <vt:lpstr>PREMIUM</vt:lpstr>
      <vt:lpstr>Sheet6</vt:lpstr>
      <vt:lpstr>RAWON</vt:lpstr>
      <vt:lpstr>stok by lap</vt:lpstr>
      <vt:lpstr>Sheet1</vt:lpstr>
      <vt:lpstr>may</vt:lpstr>
      <vt:lpstr>SHANKLE 1</vt:lpstr>
      <vt:lpstr>RENDANG 1</vt:lpstr>
      <vt:lpstr>PREM 1</vt:lpstr>
      <vt:lpstr>RAWON 1</vt:lpstr>
      <vt:lpstr>MODAL SANKLE</vt:lpstr>
      <vt:lpstr>MODAL RENDANG</vt:lpstr>
      <vt:lpstr>MODAL PREMIUM</vt:lpstr>
      <vt:lpstr>MODAL RAWON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Yahya_MD</dc:creator>
  <cp:lastModifiedBy>Yahya_MD</cp:lastModifiedBy>
  <dcterms:created xsi:type="dcterms:W3CDTF">2026-03-25T08:55:15Z</dcterms:created>
  <dcterms:modified xsi:type="dcterms:W3CDTF">2026-08-03T00:32:26Z</dcterms:modified>
</cp:coreProperties>
</file>